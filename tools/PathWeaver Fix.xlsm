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eam294\Documents\GitHub\FRC2019\tools\"/>
    </mc:Choice>
  </mc:AlternateContent>
  <bookViews>
    <workbookView xWindow="0" yWindow="0" windowWidth="14490" windowHeight="12360"/>
  </bookViews>
  <sheets>
    <sheet name="Main" sheetId="1" r:id="rId1"/>
    <sheet name="Center" sheetId="2" r:id="rId2"/>
    <sheet name="Left" sheetId="3" r:id="rId3"/>
    <sheet name="Right" sheetId="4" r:id="rId4"/>
  </sheets>
  <calcPr calcId="152511"/>
</workbook>
</file>

<file path=xl/calcChain.xml><?xml version="1.0" encoding="utf-8"?>
<calcChain xmlns="http://schemas.openxmlformats.org/spreadsheetml/2006/main">
  <c r="H46" i="4" l="1"/>
  <c r="H130" i="4"/>
  <c r="E131" i="4"/>
  <c r="H7" i="3"/>
  <c r="H11" i="3"/>
  <c r="H12" i="3"/>
  <c r="H15" i="3"/>
  <c r="H19" i="3"/>
  <c r="H23" i="3"/>
  <c r="H27" i="3"/>
  <c r="H28" i="3"/>
  <c r="H31" i="3"/>
  <c r="H35" i="3"/>
  <c r="H39" i="3"/>
  <c r="H43" i="3"/>
  <c r="H44" i="3"/>
  <c r="H46" i="3"/>
  <c r="H47" i="3"/>
  <c r="H48" i="3"/>
  <c r="H50" i="3"/>
  <c r="H51" i="3"/>
  <c r="H52" i="3"/>
  <c r="H54" i="3"/>
  <c r="H55" i="3"/>
  <c r="H56" i="3"/>
  <c r="H58" i="3"/>
  <c r="H59" i="3"/>
  <c r="H60" i="3"/>
  <c r="H62" i="3"/>
  <c r="H63" i="3"/>
  <c r="H64" i="3"/>
  <c r="H66" i="3"/>
  <c r="H67" i="3"/>
  <c r="H68" i="3"/>
  <c r="H70" i="3"/>
  <c r="H71" i="3"/>
  <c r="H72" i="3"/>
  <c r="H74" i="3"/>
  <c r="H75" i="3"/>
  <c r="H76" i="3"/>
  <c r="H78" i="3"/>
  <c r="H79" i="3"/>
  <c r="H80" i="3"/>
  <c r="H82" i="3"/>
  <c r="H83" i="3"/>
  <c r="H84" i="3"/>
  <c r="H86" i="3"/>
  <c r="H87" i="3"/>
  <c r="H88" i="3"/>
  <c r="H90" i="3"/>
  <c r="H91" i="3"/>
  <c r="H92" i="3"/>
  <c r="H94" i="3"/>
  <c r="H95" i="3"/>
  <c r="H96" i="3"/>
  <c r="H98" i="3"/>
  <c r="H99" i="3"/>
  <c r="H100" i="3"/>
  <c r="H102" i="3"/>
  <c r="H103" i="3"/>
  <c r="H104" i="3"/>
  <c r="H106" i="3"/>
  <c r="H107" i="3"/>
  <c r="H108" i="3"/>
  <c r="H110" i="3"/>
  <c r="H111" i="3"/>
  <c r="H112" i="3"/>
  <c r="H114" i="3"/>
  <c r="H115" i="3"/>
  <c r="H116" i="3"/>
  <c r="H118" i="3"/>
  <c r="H119" i="3"/>
  <c r="H120" i="3"/>
  <c r="H123" i="3"/>
  <c r="H124" i="3"/>
  <c r="H127" i="3"/>
  <c r="H128" i="3"/>
  <c r="E131" i="3"/>
  <c r="H131" i="3"/>
  <c r="L6" i="1"/>
  <c r="M6" i="1"/>
  <c r="N6" i="1"/>
  <c r="L7" i="1"/>
  <c r="M7" i="1"/>
  <c r="N7" i="1"/>
  <c r="H7" i="4" s="1"/>
  <c r="L8" i="1"/>
  <c r="M8" i="1"/>
  <c r="N8" i="1"/>
  <c r="H8" i="4" s="1"/>
  <c r="L9" i="1"/>
  <c r="M9" i="1"/>
  <c r="N9" i="1"/>
  <c r="H9" i="4" s="1"/>
  <c r="L10" i="1"/>
  <c r="M10" i="1"/>
  <c r="N10" i="1"/>
  <c r="L11" i="1"/>
  <c r="M11" i="1"/>
  <c r="N11" i="1"/>
  <c r="H11" i="4" s="1"/>
  <c r="L12" i="1"/>
  <c r="M12" i="1"/>
  <c r="N12" i="1"/>
  <c r="H12" i="4" s="1"/>
  <c r="L13" i="1"/>
  <c r="M13" i="1"/>
  <c r="N13" i="1"/>
  <c r="H13" i="4" s="1"/>
  <c r="L14" i="1"/>
  <c r="M14" i="1"/>
  <c r="N14" i="1"/>
  <c r="H14" i="3" s="1"/>
  <c r="L15" i="1"/>
  <c r="M15" i="1"/>
  <c r="N15" i="1"/>
  <c r="H15" i="4" s="1"/>
  <c r="L16" i="1"/>
  <c r="M16" i="1"/>
  <c r="N16" i="1"/>
  <c r="H16" i="4" s="1"/>
  <c r="L17" i="1"/>
  <c r="M17" i="1"/>
  <c r="N17" i="1"/>
  <c r="H17" i="4" s="1"/>
  <c r="L18" i="1"/>
  <c r="M18" i="1"/>
  <c r="N18" i="1"/>
  <c r="L19" i="1"/>
  <c r="M19" i="1"/>
  <c r="N19" i="1"/>
  <c r="H19" i="4" s="1"/>
  <c r="L20" i="1"/>
  <c r="M20" i="1"/>
  <c r="N20" i="1"/>
  <c r="H20" i="4" s="1"/>
  <c r="L21" i="1"/>
  <c r="M21" i="1"/>
  <c r="N21" i="1"/>
  <c r="H21" i="4" s="1"/>
  <c r="L22" i="1"/>
  <c r="M22" i="1"/>
  <c r="N22" i="1"/>
  <c r="L23" i="1"/>
  <c r="M23" i="1"/>
  <c r="N23" i="1"/>
  <c r="H23" i="4" s="1"/>
  <c r="L24" i="1"/>
  <c r="M24" i="1"/>
  <c r="N24" i="1"/>
  <c r="H24" i="4" s="1"/>
  <c r="L25" i="1"/>
  <c r="M25" i="1"/>
  <c r="N25" i="1"/>
  <c r="H25" i="4" s="1"/>
  <c r="L26" i="1"/>
  <c r="M26" i="1"/>
  <c r="N26" i="1"/>
  <c r="L27" i="1"/>
  <c r="M27" i="1"/>
  <c r="N27" i="1"/>
  <c r="H27" i="4" s="1"/>
  <c r="L28" i="1"/>
  <c r="M28" i="1"/>
  <c r="N28" i="1"/>
  <c r="H28" i="4" s="1"/>
  <c r="L29" i="1"/>
  <c r="M29" i="1"/>
  <c r="N29" i="1"/>
  <c r="H29" i="4" s="1"/>
  <c r="L30" i="1"/>
  <c r="M30" i="1"/>
  <c r="N30" i="1"/>
  <c r="H30" i="3" s="1"/>
  <c r="L31" i="1"/>
  <c r="M31" i="1"/>
  <c r="N31" i="1"/>
  <c r="H31" i="4" s="1"/>
  <c r="L32" i="1"/>
  <c r="M32" i="1"/>
  <c r="N32" i="1"/>
  <c r="H32" i="4" s="1"/>
  <c r="L33" i="1"/>
  <c r="M33" i="1"/>
  <c r="N33" i="1"/>
  <c r="H33" i="4" s="1"/>
  <c r="L34" i="1"/>
  <c r="M34" i="1"/>
  <c r="N34" i="1"/>
  <c r="L35" i="1"/>
  <c r="M35" i="1"/>
  <c r="N35" i="1"/>
  <c r="H35" i="4" s="1"/>
  <c r="L36" i="1"/>
  <c r="M36" i="1"/>
  <c r="N36" i="1"/>
  <c r="H36" i="4" s="1"/>
  <c r="L37" i="1"/>
  <c r="M37" i="1"/>
  <c r="N37" i="1"/>
  <c r="H37" i="4" s="1"/>
  <c r="L38" i="1"/>
  <c r="M38" i="1"/>
  <c r="N38" i="1"/>
  <c r="L39" i="1"/>
  <c r="M39" i="1"/>
  <c r="N39" i="1"/>
  <c r="H39" i="4" s="1"/>
  <c r="L40" i="1"/>
  <c r="M40" i="1"/>
  <c r="N40" i="1"/>
  <c r="H40" i="4" s="1"/>
  <c r="L41" i="1"/>
  <c r="M41" i="1"/>
  <c r="N41" i="1"/>
  <c r="H41" i="4" s="1"/>
  <c r="L42" i="1"/>
  <c r="M42" i="1"/>
  <c r="N42" i="1"/>
  <c r="L43" i="1"/>
  <c r="M43" i="1"/>
  <c r="N43" i="1"/>
  <c r="H43" i="4" s="1"/>
  <c r="L44" i="1"/>
  <c r="M44" i="1"/>
  <c r="N44" i="1"/>
  <c r="H44" i="4" s="1"/>
  <c r="L45" i="1"/>
  <c r="M45" i="1"/>
  <c r="N45" i="1"/>
  <c r="H45" i="4" s="1"/>
  <c r="L46" i="1"/>
  <c r="M46" i="1"/>
  <c r="N46" i="1"/>
  <c r="L47" i="1"/>
  <c r="M47" i="1"/>
  <c r="N47" i="1"/>
  <c r="H47" i="4" s="1"/>
  <c r="L48" i="1"/>
  <c r="M48" i="1"/>
  <c r="N48" i="1"/>
  <c r="H48" i="4" s="1"/>
  <c r="L49" i="1"/>
  <c r="M49" i="1"/>
  <c r="N49" i="1"/>
  <c r="H49" i="4" s="1"/>
  <c r="L50" i="1"/>
  <c r="M50" i="1"/>
  <c r="N50" i="1"/>
  <c r="H50" i="4" s="1"/>
  <c r="L51" i="1"/>
  <c r="M51" i="1"/>
  <c r="N51" i="1"/>
  <c r="H51" i="4" s="1"/>
  <c r="L52" i="1"/>
  <c r="M52" i="1"/>
  <c r="N52" i="1"/>
  <c r="H52" i="4" s="1"/>
  <c r="L53" i="1"/>
  <c r="M53" i="1"/>
  <c r="N53" i="1"/>
  <c r="H53" i="4" s="1"/>
  <c r="L54" i="1"/>
  <c r="M54" i="1"/>
  <c r="N54" i="1"/>
  <c r="H54" i="4" s="1"/>
  <c r="L55" i="1"/>
  <c r="M55" i="1"/>
  <c r="N55" i="1"/>
  <c r="H55" i="4" s="1"/>
  <c r="L56" i="1"/>
  <c r="M56" i="1"/>
  <c r="N56" i="1"/>
  <c r="H56" i="4" s="1"/>
  <c r="L57" i="1"/>
  <c r="M57" i="1"/>
  <c r="N57" i="1"/>
  <c r="H57" i="4" s="1"/>
  <c r="L58" i="1"/>
  <c r="M58" i="1"/>
  <c r="N58" i="1"/>
  <c r="H58" i="4" s="1"/>
  <c r="L59" i="1"/>
  <c r="M59" i="1"/>
  <c r="N59" i="1"/>
  <c r="H59" i="4" s="1"/>
  <c r="L60" i="1"/>
  <c r="M60" i="1"/>
  <c r="N60" i="1"/>
  <c r="H60" i="4" s="1"/>
  <c r="L61" i="1"/>
  <c r="M61" i="1"/>
  <c r="N61" i="1"/>
  <c r="H61" i="4" s="1"/>
  <c r="L62" i="1"/>
  <c r="M62" i="1"/>
  <c r="N62" i="1"/>
  <c r="H62" i="4" s="1"/>
  <c r="L63" i="1"/>
  <c r="M63" i="1"/>
  <c r="N63" i="1"/>
  <c r="H63" i="4" s="1"/>
  <c r="L64" i="1"/>
  <c r="M64" i="1"/>
  <c r="N64" i="1"/>
  <c r="H64" i="4" s="1"/>
  <c r="L65" i="1"/>
  <c r="M65" i="1"/>
  <c r="N65" i="1"/>
  <c r="H65" i="4" s="1"/>
  <c r="L66" i="1"/>
  <c r="M66" i="1"/>
  <c r="N66" i="1"/>
  <c r="H66" i="4" s="1"/>
  <c r="L67" i="1"/>
  <c r="M67" i="1"/>
  <c r="N67" i="1"/>
  <c r="H67" i="4" s="1"/>
  <c r="L68" i="1"/>
  <c r="M68" i="1"/>
  <c r="N68" i="1"/>
  <c r="H68" i="4" s="1"/>
  <c r="L69" i="1"/>
  <c r="M69" i="1"/>
  <c r="N69" i="1"/>
  <c r="H69" i="4" s="1"/>
  <c r="L70" i="1"/>
  <c r="M70" i="1"/>
  <c r="N70" i="1"/>
  <c r="H70" i="4" s="1"/>
  <c r="L71" i="1"/>
  <c r="M71" i="1"/>
  <c r="N71" i="1"/>
  <c r="H71" i="4" s="1"/>
  <c r="L72" i="1"/>
  <c r="M72" i="1"/>
  <c r="N72" i="1"/>
  <c r="H72" i="4" s="1"/>
  <c r="L73" i="1"/>
  <c r="M73" i="1"/>
  <c r="N73" i="1"/>
  <c r="H73" i="4" s="1"/>
  <c r="L74" i="1"/>
  <c r="M74" i="1"/>
  <c r="N74" i="1"/>
  <c r="H74" i="4" s="1"/>
  <c r="L75" i="1"/>
  <c r="M75" i="1"/>
  <c r="N75" i="1"/>
  <c r="H75" i="4" s="1"/>
  <c r="L76" i="1"/>
  <c r="M76" i="1"/>
  <c r="N76" i="1"/>
  <c r="H76" i="4" s="1"/>
  <c r="L77" i="1"/>
  <c r="M77" i="1"/>
  <c r="N77" i="1"/>
  <c r="H77" i="4" s="1"/>
  <c r="L78" i="1"/>
  <c r="M78" i="1"/>
  <c r="N78" i="1"/>
  <c r="H78" i="4" s="1"/>
  <c r="L79" i="1"/>
  <c r="M79" i="1"/>
  <c r="N79" i="1"/>
  <c r="H79" i="4" s="1"/>
  <c r="L80" i="1"/>
  <c r="M80" i="1"/>
  <c r="N80" i="1"/>
  <c r="H80" i="4" s="1"/>
  <c r="L81" i="1"/>
  <c r="M81" i="1"/>
  <c r="N81" i="1"/>
  <c r="H81" i="4" s="1"/>
  <c r="L82" i="1"/>
  <c r="M82" i="1"/>
  <c r="N82" i="1"/>
  <c r="H82" i="4" s="1"/>
  <c r="L83" i="1"/>
  <c r="M83" i="1"/>
  <c r="N83" i="1"/>
  <c r="H83" i="4" s="1"/>
  <c r="L84" i="1"/>
  <c r="M84" i="1"/>
  <c r="N84" i="1"/>
  <c r="H84" i="4" s="1"/>
  <c r="L85" i="1"/>
  <c r="M85" i="1"/>
  <c r="N85" i="1"/>
  <c r="H85" i="4" s="1"/>
  <c r="L86" i="1"/>
  <c r="M86" i="1"/>
  <c r="N86" i="1"/>
  <c r="H86" i="4" s="1"/>
  <c r="L87" i="1"/>
  <c r="M87" i="1"/>
  <c r="N87" i="1"/>
  <c r="H87" i="4" s="1"/>
  <c r="L88" i="1"/>
  <c r="M88" i="1"/>
  <c r="N88" i="1"/>
  <c r="H88" i="4" s="1"/>
  <c r="L89" i="1"/>
  <c r="M89" i="1"/>
  <c r="N89" i="1"/>
  <c r="H89" i="4" s="1"/>
  <c r="L90" i="1"/>
  <c r="M90" i="1"/>
  <c r="N90" i="1"/>
  <c r="H90" i="4" s="1"/>
  <c r="L91" i="1"/>
  <c r="M91" i="1"/>
  <c r="N91" i="1"/>
  <c r="H91" i="4" s="1"/>
  <c r="L92" i="1"/>
  <c r="M92" i="1"/>
  <c r="N92" i="1"/>
  <c r="H92" i="4" s="1"/>
  <c r="L93" i="1"/>
  <c r="M93" i="1"/>
  <c r="N93" i="1"/>
  <c r="H93" i="4" s="1"/>
  <c r="L94" i="1"/>
  <c r="M94" i="1"/>
  <c r="N94" i="1"/>
  <c r="H94" i="4" s="1"/>
  <c r="L95" i="1"/>
  <c r="M95" i="1"/>
  <c r="N95" i="1"/>
  <c r="H95" i="4" s="1"/>
  <c r="L96" i="1"/>
  <c r="M96" i="1"/>
  <c r="N96" i="1"/>
  <c r="H96" i="4" s="1"/>
  <c r="L97" i="1"/>
  <c r="M97" i="1"/>
  <c r="N97" i="1"/>
  <c r="H97" i="4" s="1"/>
  <c r="L98" i="1"/>
  <c r="M98" i="1"/>
  <c r="N98" i="1"/>
  <c r="H98" i="4" s="1"/>
  <c r="L99" i="1"/>
  <c r="M99" i="1"/>
  <c r="N99" i="1"/>
  <c r="H99" i="4" s="1"/>
  <c r="L100" i="1"/>
  <c r="M100" i="1"/>
  <c r="N100" i="1"/>
  <c r="H100" i="4" s="1"/>
  <c r="L101" i="1"/>
  <c r="M101" i="1"/>
  <c r="N101" i="1"/>
  <c r="H101" i="4" s="1"/>
  <c r="L102" i="1"/>
  <c r="M102" i="1"/>
  <c r="N102" i="1"/>
  <c r="H102" i="4" s="1"/>
  <c r="L103" i="1"/>
  <c r="M103" i="1"/>
  <c r="N103" i="1"/>
  <c r="H103" i="4" s="1"/>
  <c r="L104" i="1"/>
  <c r="M104" i="1"/>
  <c r="N104" i="1"/>
  <c r="H104" i="4" s="1"/>
  <c r="L105" i="1"/>
  <c r="M105" i="1"/>
  <c r="N105" i="1"/>
  <c r="H105" i="4" s="1"/>
  <c r="L106" i="1"/>
  <c r="M106" i="1"/>
  <c r="N106" i="1"/>
  <c r="H106" i="4" s="1"/>
  <c r="L107" i="1"/>
  <c r="M107" i="1"/>
  <c r="N107" i="1"/>
  <c r="H107" i="4" s="1"/>
  <c r="L108" i="1"/>
  <c r="M108" i="1"/>
  <c r="N108" i="1"/>
  <c r="H108" i="4" s="1"/>
  <c r="L109" i="1"/>
  <c r="M109" i="1"/>
  <c r="N109" i="1"/>
  <c r="H109" i="4" s="1"/>
  <c r="L110" i="1"/>
  <c r="M110" i="1"/>
  <c r="N110" i="1"/>
  <c r="H110" i="4" s="1"/>
  <c r="L111" i="1"/>
  <c r="M111" i="1"/>
  <c r="N111" i="1"/>
  <c r="H111" i="4" s="1"/>
  <c r="L112" i="1"/>
  <c r="M112" i="1"/>
  <c r="N112" i="1"/>
  <c r="H112" i="4" s="1"/>
  <c r="L113" i="1"/>
  <c r="M113" i="1"/>
  <c r="N113" i="1"/>
  <c r="H113" i="4" s="1"/>
  <c r="L114" i="1"/>
  <c r="M114" i="1"/>
  <c r="N114" i="1"/>
  <c r="H114" i="4" s="1"/>
  <c r="L115" i="1"/>
  <c r="M115" i="1"/>
  <c r="N115" i="1"/>
  <c r="H115" i="4" s="1"/>
  <c r="L116" i="1"/>
  <c r="M116" i="1"/>
  <c r="N116" i="1"/>
  <c r="H116" i="4" s="1"/>
  <c r="L117" i="1"/>
  <c r="M117" i="1"/>
  <c r="N117" i="1"/>
  <c r="H117" i="4" s="1"/>
  <c r="L118" i="1"/>
  <c r="M118" i="1"/>
  <c r="N118" i="1"/>
  <c r="H118" i="4" s="1"/>
  <c r="L119" i="1"/>
  <c r="M119" i="1"/>
  <c r="N119" i="1"/>
  <c r="H119" i="4" s="1"/>
  <c r="L120" i="1"/>
  <c r="M120" i="1"/>
  <c r="N120" i="1"/>
  <c r="H120" i="4" s="1"/>
  <c r="L121" i="1"/>
  <c r="M121" i="1"/>
  <c r="N121" i="1"/>
  <c r="H121" i="4" s="1"/>
  <c r="L122" i="1"/>
  <c r="M122" i="1"/>
  <c r="N122" i="1"/>
  <c r="H122" i="4" s="1"/>
  <c r="L123" i="1"/>
  <c r="M123" i="1"/>
  <c r="N123" i="1"/>
  <c r="H123" i="4" s="1"/>
  <c r="L124" i="1"/>
  <c r="M124" i="1"/>
  <c r="N124" i="1"/>
  <c r="H124" i="4" s="1"/>
  <c r="L125" i="1"/>
  <c r="M125" i="1"/>
  <c r="N125" i="1"/>
  <c r="H125" i="4" s="1"/>
  <c r="L126" i="1"/>
  <c r="M126" i="1"/>
  <c r="N126" i="1"/>
  <c r="H126" i="4" s="1"/>
  <c r="L127" i="1"/>
  <c r="M127" i="1"/>
  <c r="N127" i="1"/>
  <c r="H127" i="4" s="1"/>
  <c r="L128" i="1"/>
  <c r="M128" i="1"/>
  <c r="N128" i="1"/>
  <c r="H128" i="4" s="1"/>
  <c r="L129" i="1"/>
  <c r="M129" i="1"/>
  <c r="N129" i="1"/>
  <c r="H129" i="4" s="1"/>
  <c r="L130" i="1"/>
  <c r="M130" i="1"/>
  <c r="N130" i="1"/>
  <c r="H130" i="3" s="1"/>
  <c r="L131" i="1"/>
  <c r="M131" i="1"/>
  <c r="N131" i="1"/>
  <c r="H131" i="4" s="1"/>
  <c r="H17" i="3" l="1"/>
  <c r="H38" i="4"/>
  <c r="H38" i="3"/>
  <c r="H22" i="4"/>
  <c r="H22" i="3"/>
  <c r="H10" i="4"/>
  <c r="H10" i="3"/>
  <c r="H125" i="3"/>
  <c r="H42" i="4"/>
  <c r="H42" i="3"/>
  <c r="H34" i="3"/>
  <c r="H34" i="4"/>
  <c r="H26" i="4"/>
  <c r="H26" i="3"/>
  <c r="H18" i="3"/>
  <c r="H18" i="4"/>
  <c r="H129" i="3"/>
  <c r="H121" i="3"/>
  <c r="H37" i="3"/>
  <c r="H32" i="3"/>
  <c r="H21" i="3"/>
  <c r="H16" i="3"/>
  <c r="H126" i="3"/>
  <c r="H122" i="3"/>
  <c r="H117" i="3"/>
  <c r="H113" i="3"/>
  <c r="H109" i="3"/>
  <c r="H105" i="3"/>
  <c r="H101" i="3"/>
  <c r="H97" i="3"/>
  <c r="H93" i="3"/>
  <c r="H89" i="3"/>
  <c r="H85" i="3"/>
  <c r="H81" i="3"/>
  <c r="H77" i="3"/>
  <c r="H73" i="3"/>
  <c r="H69" i="3"/>
  <c r="H65" i="3"/>
  <c r="H61" i="3"/>
  <c r="H57" i="3"/>
  <c r="H53" i="3"/>
  <c r="H49" i="3"/>
  <c r="H45" i="3"/>
  <c r="H41" i="3"/>
  <c r="H36" i="3"/>
  <c r="H25" i="3"/>
  <c r="H20" i="3"/>
  <c r="H9" i="3"/>
  <c r="H14" i="4"/>
  <c r="H33" i="3"/>
  <c r="H6" i="4"/>
  <c r="H6" i="3"/>
  <c r="H40" i="3"/>
  <c r="H29" i="3"/>
  <c r="H24" i="3"/>
  <c r="H13" i="3"/>
  <c r="H8" i="3"/>
  <c r="H30" i="4"/>
  <c r="L5" i="1"/>
  <c r="M5" i="1"/>
  <c r="N5" i="1"/>
  <c r="H5" i="4" l="1"/>
  <c r="H5" i="3"/>
  <c r="K2" i="1" l="1"/>
  <c r="N4" i="1"/>
  <c r="H4" i="4" s="1"/>
  <c r="L4" i="1"/>
  <c r="M4" i="1"/>
  <c r="M3" i="1"/>
  <c r="M2" i="1" s="1"/>
  <c r="Q2" i="1" s="1"/>
  <c r="L3" i="1"/>
  <c r="L2" i="1" s="1"/>
  <c r="P2" i="1" s="1"/>
  <c r="N3" i="1"/>
  <c r="H3" i="3" s="1"/>
  <c r="A5" i="4" l="1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130" i="4"/>
  <c r="A131" i="4"/>
  <c r="F131" i="4" s="1"/>
  <c r="G131" i="4" s="1"/>
  <c r="A90" i="4"/>
  <c r="A93" i="4"/>
  <c r="A98" i="4"/>
  <c r="A101" i="4"/>
  <c r="A106" i="4"/>
  <c r="A109" i="4"/>
  <c r="A114" i="4"/>
  <c r="A117" i="4"/>
  <c r="A122" i="4"/>
  <c r="A125" i="4"/>
  <c r="A9" i="3"/>
  <c r="A13" i="3"/>
  <c r="A17" i="3"/>
  <c r="A21" i="3"/>
  <c r="A25" i="3"/>
  <c r="A29" i="3"/>
  <c r="A33" i="3"/>
  <c r="A37" i="3"/>
  <c r="A41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91" i="4"/>
  <c r="A96" i="4"/>
  <c r="A99" i="4"/>
  <c r="A104" i="4"/>
  <c r="A107" i="4"/>
  <c r="A112" i="4"/>
  <c r="A115" i="4"/>
  <c r="A120" i="4"/>
  <c r="A123" i="4"/>
  <c r="A128" i="4"/>
  <c r="A8" i="3"/>
  <c r="A12" i="3"/>
  <c r="A16" i="3"/>
  <c r="A20" i="3"/>
  <c r="A24" i="3"/>
  <c r="A28" i="3"/>
  <c r="A32" i="3"/>
  <c r="A36" i="3"/>
  <c r="A40" i="3"/>
  <c r="A44" i="3"/>
  <c r="A97" i="4"/>
  <c r="A102" i="4"/>
  <c r="A113" i="4"/>
  <c r="A118" i="4"/>
  <c r="A129" i="4"/>
  <c r="A7" i="3"/>
  <c r="A18" i="3"/>
  <c r="A23" i="3"/>
  <c r="A34" i="3"/>
  <c r="A39" i="3"/>
  <c r="A121" i="3"/>
  <c r="A125" i="3"/>
  <c r="A129" i="3"/>
  <c r="A95" i="4"/>
  <c r="A116" i="4"/>
  <c r="A38" i="3"/>
  <c r="A92" i="4"/>
  <c r="A103" i="4"/>
  <c r="A108" i="4"/>
  <c r="A119" i="4"/>
  <c r="A124" i="4"/>
  <c r="A5" i="3"/>
  <c r="A14" i="3"/>
  <c r="A19" i="3"/>
  <c r="A30" i="3"/>
  <c r="A35" i="3"/>
  <c r="A124" i="3"/>
  <c r="A128" i="3"/>
  <c r="A126" i="4"/>
  <c r="A10" i="3"/>
  <c r="A15" i="3"/>
  <c r="A26" i="3"/>
  <c r="A31" i="3"/>
  <c r="A42" i="3"/>
  <c r="A127" i="3"/>
  <c r="A127" i="4"/>
  <c r="A11" i="3"/>
  <c r="A22" i="3"/>
  <c r="A43" i="3"/>
  <c r="A94" i="4"/>
  <c r="A105" i="4"/>
  <c r="A110" i="4"/>
  <c r="A121" i="4"/>
  <c r="A123" i="3"/>
  <c r="A131" i="3"/>
  <c r="F131" i="3" s="1"/>
  <c r="G131" i="3" s="1"/>
  <c r="A100" i="4"/>
  <c r="A111" i="4"/>
  <c r="A6" i="3"/>
  <c r="A27" i="3"/>
  <c r="A122" i="3"/>
  <c r="A126" i="3"/>
  <c r="A130" i="3"/>
  <c r="N2" i="1"/>
  <c r="H2" i="4" s="1"/>
  <c r="P3" i="1"/>
  <c r="P4" i="1" s="1"/>
  <c r="V4" i="1" s="1"/>
  <c r="B4" i="4" s="1"/>
  <c r="H4" i="3"/>
  <c r="A3" i="4"/>
  <c r="A4" i="4"/>
  <c r="A2" i="4"/>
  <c r="A3" i="3"/>
  <c r="A4" i="3"/>
  <c r="Q3" i="1"/>
  <c r="T3" i="1" s="1"/>
  <c r="C3" i="3" s="1"/>
  <c r="H3" i="4"/>
  <c r="A2" i="3"/>
  <c r="T2" i="1" l="1"/>
  <c r="C2" i="3" s="1"/>
  <c r="V2" i="1"/>
  <c r="B2" i="4" s="1"/>
  <c r="W2" i="1"/>
  <c r="C2" i="4" s="1"/>
  <c r="H2" i="3"/>
  <c r="S4" i="1"/>
  <c r="B4" i="3" s="1"/>
  <c r="P5" i="1"/>
  <c r="P6" i="1" s="1"/>
  <c r="S2" i="1"/>
  <c r="B2" i="3" s="1"/>
  <c r="W3" i="1"/>
  <c r="C3" i="4" s="1"/>
  <c r="S3" i="1"/>
  <c r="B3" i="3" s="1"/>
  <c r="Q4" i="1"/>
  <c r="V3" i="1"/>
  <c r="B3" i="4" s="1"/>
  <c r="S6" i="1" l="1"/>
  <c r="B6" i="3" s="1"/>
  <c r="V6" i="1"/>
  <c r="B6" i="4" s="1"/>
  <c r="P7" i="1"/>
  <c r="D3" i="4"/>
  <c r="E2" i="4" s="1"/>
  <c r="D3" i="3"/>
  <c r="E2" i="3" s="1"/>
  <c r="V5" i="1"/>
  <c r="B5" i="4" s="1"/>
  <c r="S5" i="1"/>
  <c r="B5" i="3" s="1"/>
  <c r="W4" i="1"/>
  <c r="C4" i="4" s="1"/>
  <c r="Q5" i="1"/>
  <c r="Q6" i="1" s="1"/>
  <c r="T4" i="1"/>
  <c r="C4" i="3" s="1"/>
  <c r="P8" i="1" l="1"/>
  <c r="S7" i="1"/>
  <c r="B7" i="3" s="1"/>
  <c r="V7" i="1"/>
  <c r="B7" i="4" s="1"/>
  <c r="W6" i="1"/>
  <c r="C6" i="4" s="1"/>
  <c r="Q7" i="1"/>
  <c r="T6" i="1"/>
  <c r="C6" i="3" s="1"/>
  <c r="D4" i="4"/>
  <c r="D5" i="4" s="1"/>
  <c r="D6" i="4" s="1"/>
  <c r="D4" i="3"/>
  <c r="T5" i="1"/>
  <c r="C5" i="3" s="1"/>
  <c r="W5" i="1"/>
  <c r="C5" i="4" s="1"/>
  <c r="E5" i="4" l="1"/>
  <c r="D5" i="3"/>
  <c r="D6" i="3" s="1"/>
  <c r="W7" i="1"/>
  <c r="C7" i="4" s="1"/>
  <c r="D7" i="4" s="1"/>
  <c r="Q8" i="1"/>
  <c r="T7" i="1"/>
  <c r="C7" i="3" s="1"/>
  <c r="P9" i="1"/>
  <c r="S8" i="1"/>
  <c r="B8" i="3" s="1"/>
  <c r="V8" i="1"/>
  <c r="B8" i="4" s="1"/>
  <c r="E3" i="4"/>
  <c r="E3" i="3"/>
  <c r="E6" i="4" l="1"/>
  <c r="F5" i="4" s="1"/>
  <c r="S9" i="1"/>
  <c r="B9" i="3" s="1"/>
  <c r="P10" i="1"/>
  <c r="V9" i="1"/>
  <c r="B9" i="4" s="1"/>
  <c r="E5" i="3"/>
  <c r="D7" i="3"/>
  <c r="T8" i="1"/>
  <c r="C8" i="3" s="1"/>
  <c r="Q9" i="1"/>
  <c r="W8" i="1"/>
  <c r="C8" i="4" s="1"/>
  <c r="D8" i="4" s="1"/>
  <c r="F2" i="3"/>
  <c r="F2" i="4"/>
  <c r="E4" i="4"/>
  <c r="F3" i="4" s="1"/>
  <c r="E4" i="3"/>
  <c r="F3" i="3" s="1"/>
  <c r="E7" i="4" l="1"/>
  <c r="F6" i="4" s="1"/>
  <c r="G5" i="4" s="1"/>
  <c r="P11" i="1"/>
  <c r="S10" i="1"/>
  <c r="B10" i="3" s="1"/>
  <c r="V10" i="1"/>
  <c r="B10" i="4" s="1"/>
  <c r="E6" i="3"/>
  <c r="F5" i="3" s="1"/>
  <c r="D8" i="3"/>
  <c r="W9" i="1"/>
  <c r="C9" i="4" s="1"/>
  <c r="D9" i="4" s="1"/>
  <c r="T9" i="1"/>
  <c r="C9" i="3" s="1"/>
  <c r="Q10" i="1"/>
  <c r="G2" i="3"/>
  <c r="G2" i="4"/>
  <c r="F4" i="4"/>
  <c r="G3" i="4" s="1"/>
  <c r="F4" i="3"/>
  <c r="G3" i="3" s="1"/>
  <c r="E8" i="4" l="1"/>
  <c r="F7" i="4" s="1"/>
  <c r="G6" i="4" s="1"/>
  <c r="E7" i="3"/>
  <c r="F6" i="3" s="1"/>
  <c r="G5" i="3" s="1"/>
  <c r="D9" i="3"/>
  <c r="S11" i="1"/>
  <c r="B11" i="3" s="1"/>
  <c r="P12" i="1"/>
  <c r="V11" i="1"/>
  <c r="B11" i="4" s="1"/>
  <c r="Q11" i="1"/>
  <c r="T10" i="1"/>
  <c r="C10" i="3" s="1"/>
  <c r="W10" i="1"/>
  <c r="C10" i="4" s="1"/>
  <c r="D10" i="4" s="1"/>
  <c r="G4" i="4"/>
  <c r="G4" i="3"/>
  <c r="E9" i="4" l="1"/>
  <c r="F8" i="4" s="1"/>
  <c r="G7" i="4" s="1"/>
  <c r="E8" i="3"/>
  <c r="F7" i="3" s="1"/>
  <c r="G6" i="3" s="1"/>
  <c r="D10" i="3"/>
  <c r="Q12" i="1"/>
  <c r="T11" i="1"/>
  <c r="C11" i="3" s="1"/>
  <c r="W11" i="1"/>
  <c r="C11" i="4" s="1"/>
  <c r="D11" i="4" s="1"/>
  <c r="S12" i="1"/>
  <c r="B12" i="3" s="1"/>
  <c r="P13" i="1"/>
  <c r="V12" i="1"/>
  <c r="B12" i="4" s="1"/>
  <c r="E10" i="4" l="1"/>
  <c r="F9" i="4" s="1"/>
  <c r="G8" i="4" s="1"/>
  <c r="D11" i="3"/>
  <c r="E9" i="3"/>
  <c r="F8" i="3" s="1"/>
  <c r="G7" i="3" s="1"/>
  <c r="S13" i="1"/>
  <c r="B13" i="3" s="1"/>
  <c r="P14" i="1"/>
  <c r="V13" i="1"/>
  <c r="B13" i="4" s="1"/>
  <c r="W12" i="1"/>
  <c r="C12" i="4" s="1"/>
  <c r="D12" i="4" s="1"/>
  <c r="Q13" i="1"/>
  <c r="T12" i="1"/>
  <c r="C12" i="3" s="1"/>
  <c r="E11" i="4" l="1"/>
  <c r="F10" i="4" s="1"/>
  <c r="G9" i="4" s="1"/>
  <c r="E10" i="3"/>
  <c r="F9" i="3" s="1"/>
  <c r="G8" i="3" s="1"/>
  <c r="D12" i="3"/>
  <c r="S14" i="1"/>
  <c r="B14" i="3" s="1"/>
  <c r="P15" i="1"/>
  <c r="V14" i="1"/>
  <c r="B14" i="4" s="1"/>
  <c r="Q14" i="1"/>
  <c r="T13" i="1"/>
  <c r="C13" i="3" s="1"/>
  <c r="W13" i="1"/>
  <c r="C13" i="4" s="1"/>
  <c r="D13" i="4" s="1"/>
  <c r="E12" i="4" l="1"/>
  <c r="F11" i="4" s="1"/>
  <c r="G10" i="4" s="1"/>
  <c r="W14" i="1"/>
  <c r="C14" i="4" s="1"/>
  <c r="D14" i="4" s="1"/>
  <c r="T14" i="1"/>
  <c r="C14" i="3" s="1"/>
  <c r="Q15" i="1"/>
  <c r="V15" i="1"/>
  <c r="B15" i="4" s="1"/>
  <c r="S15" i="1"/>
  <c r="B15" i="3" s="1"/>
  <c r="P16" i="1"/>
  <c r="E11" i="3"/>
  <c r="F10" i="3" s="1"/>
  <c r="G9" i="3" s="1"/>
  <c r="D13" i="3"/>
  <c r="E13" i="4" l="1"/>
  <c r="F12" i="4" s="1"/>
  <c r="G11" i="4" s="1"/>
  <c r="V16" i="1"/>
  <c r="B16" i="4" s="1"/>
  <c r="P17" i="1"/>
  <c r="S16" i="1"/>
  <c r="B16" i="3" s="1"/>
  <c r="D14" i="3"/>
  <c r="E12" i="3"/>
  <c r="F11" i="3" s="1"/>
  <c r="G10" i="3" s="1"/>
  <c r="T15" i="1"/>
  <c r="C15" i="3" s="1"/>
  <c r="W15" i="1"/>
  <c r="C15" i="4" s="1"/>
  <c r="D15" i="4" s="1"/>
  <c r="Q16" i="1"/>
  <c r="E14" i="4" l="1"/>
  <c r="F13" i="4" s="1"/>
  <c r="G12" i="4" s="1"/>
  <c r="S17" i="1"/>
  <c r="B17" i="3" s="1"/>
  <c r="V17" i="1"/>
  <c r="B17" i="4" s="1"/>
  <c r="P18" i="1"/>
  <c r="Q17" i="1"/>
  <c r="T16" i="1"/>
  <c r="C16" i="3" s="1"/>
  <c r="W16" i="1"/>
  <c r="C16" i="4" s="1"/>
  <c r="D16" i="4" s="1"/>
  <c r="D15" i="3"/>
  <c r="E13" i="3"/>
  <c r="F12" i="3" s="1"/>
  <c r="G11" i="3" s="1"/>
  <c r="E15" i="4" l="1"/>
  <c r="F14" i="4" s="1"/>
  <c r="G13" i="4" s="1"/>
  <c r="W17" i="1"/>
  <c r="C17" i="4" s="1"/>
  <c r="D17" i="4" s="1"/>
  <c r="T17" i="1"/>
  <c r="C17" i="3" s="1"/>
  <c r="Q18" i="1"/>
  <c r="E14" i="3"/>
  <c r="F13" i="3" s="1"/>
  <c r="G12" i="3" s="1"/>
  <c r="D16" i="3"/>
  <c r="V18" i="1"/>
  <c r="B18" i="4" s="1"/>
  <c r="P19" i="1"/>
  <c r="S18" i="1"/>
  <c r="B18" i="3" s="1"/>
  <c r="E16" i="4" l="1"/>
  <c r="F15" i="4" s="1"/>
  <c r="G14" i="4" s="1"/>
  <c r="E15" i="3"/>
  <c r="F14" i="3" s="1"/>
  <c r="G13" i="3" s="1"/>
  <c r="D17" i="3"/>
  <c r="V19" i="1"/>
  <c r="B19" i="4" s="1"/>
  <c r="P20" i="1"/>
  <c r="S19" i="1"/>
  <c r="B19" i="3" s="1"/>
  <c r="W18" i="1"/>
  <c r="C18" i="4" s="1"/>
  <c r="D18" i="4" s="1"/>
  <c r="Q19" i="1"/>
  <c r="T18" i="1"/>
  <c r="C18" i="3" s="1"/>
  <c r="E17" i="4" l="1"/>
  <c r="F16" i="4" s="1"/>
  <c r="G15" i="4" s="1"/>
  <c r="E16" i="3"/>
  <c r="F15" i="3" s="1"/>
  <c r="G14" i="3" s="1"/>
  <c r="D18" i="3"/>
  <c r="S20" i="1"/>
  <c r="B20" i="3" s="1"/>
  <c r="P21" i="1"/>
  <c r="V20" i="1"/>
  <c r="B20" i="4" s="1"/>
  <c r="T19" i="1"/>
  <c r="C19" i="3" s="1"/>
  <c r="Q20" i="1"/>
  <c r="W19" i="1"/>
  <c r="C19" i="4" s="1"/>
  <c r="D19" i="4" s="1"/>
  <c r="E18" i="4" l="1"/>
  <c r="F17" i="4" s="1"/>
  <c r="G16" i="4" s="1"/>
  <c r="E17" i="3"/>
  <c r="F16" i="3" s="1"/>
  <c r="G15" i="3" s="1"/>
  <c r="D19" i="3"/>
  <c r="V21" i="1"/>
  <c r="B21" i="4" s="1"/>
  <c r="S21" i="1"/>
  <c r="B21" i="3" s="1"/>
  <c r="P22" i="1"/>
  <c r="T20" i="1"/>
  <c r="C20" i="3" s="1"/>
  <c r="W20" i="1"/>
  <c r="C20" i="4" s="1"/>
  <c r="D20" i="4" s="1"/>
  <c r="Q21" i="1"/>
  <c r="E19" i="4" l="1"/>
  <c r="F18" i="4" s="1"/>
  <c r="G17" i="4" s="1"/>
  <c r="E18" i="3"/>
  <c r="F17" i="3" s="1"/>
  <c r="G16" i="3" s="1"/>
  <c r="D20" i="3"/>
  <c r="V22" i="1"/>
  <c r="B22" i="4" s="1"/>
  <c r="S22" i="1"/>
  <c r="B22" i="3" s="1"/>
  <c r="P23" i="1"/>
  <c r="W21" i="1"/>
  <c r="C21" i="4" s="1"/>
  <c r="D21" i="4" s="1"/>
  <c r="T21" i="1"/>
  <c r="C21" i="3" s="1"/>
  <c r="Q22" i="1"/>
  <c r="E20" i="4" l="1"/>
  <c r="F19" i="4" s="1"/>
  <c r="G18" i="4" s="1"/>
  <c r="S23" i="1"/>
  <c r="B23" i="3" s="1"/>
  <c r="V23" i="1"/>
  <c r="B23" i="4" s="1"/>
  <c r="P24" i="1"/>
  <c r="W22" i="1"/>
  <c r="C22" i="4" s="1"/>
  <c r="D22" i="4" s="1"/>
  <c r="Q23" i="1"/>
  <c r="T22" i="1"/>
  <c r="C22" i="3" s="1"/>
  <c r="E19" i="3"/>
  <c r="F18" i="3" s="1"/>
  <c r="G17" i="3" s="1"/>
  <c r="D21" i="3"/>
  <c r="E21" i="4" l="1"/>
  <c r="F20" i="4" s="1"/>
  <c r="G19" i="4" s="1"/>
  <c r="T23" i="1"/>
  <c r="C23" i="3" s="1"/>
  <c r="Q24" i="1"/>
  <c r="W23" i="1"/>
  <c r="C23" i="4" s="1"/>
  <c r="D23" i="4" s="1"/>
  <c r="E20" i="3"/>
  <c r="F19" i="3" s="1"/>
  <c r="G18" i="3" s="1"/>
  <c r="D22" i="3"/>
  <c r="V24" i="1"/>
  <c r="B24" i="4" s="1"/>
  <c r="P25" i="1"/>
  <c r="S24" i="1"/>
  <c r="B24" i="3" s="1"/>
  <c r="E22" i="4" l="1"/>
  <c r="F21" i="4" s="1"/>
  <c r="G20" i="4" s="1"/>
  <c r="E21" i="3"/>
  <c r="F20" i="3" s="1"/>
  <c r="G19" i="3" s="1"/>
  <c r="D23" i="3"/>
  <c r="Q25" i="1"/>
  <c r="T24" i="1"/>
  <c r="C24" i="3" s="1"/>
  <c r="W24" i="1"/>
  <c r="C24" i="4" s="1"/>
  <c r="D24" i="4" s="1"/>
  <c r="S25" i="1"/>
  <c r="B25" i="3" s="1"/>
  <c r="V25" i="1"/>
  <c r="B25" i="4" s="1"/>
  <c r="P26" i="1"/>
  <c r="E23" i="4" l="1"/>
  <c r="F22" i="4" s="1"/>
  <c r="G21" i="4" s="1"/>
  <c r="E22" i="3"/>
  <c r="F21" i="3" s="1"/>
  <c r="G20" i="3" s="1"/>
  <c r="D24" i="3"/>
  <c r="V26" i="1"/>
  <c r="B26" i="4" s="1"/>
  <c r="S26" i="1"/>
  <c r="B26" i="3" s="1"/>
  <c r="P27" i="1"/>
  <c r="W25" i="1"/>
  <c r="C25" i="4" s="1"/>
  <c r="D25" i="4" s="1"/>
  <c r="Q26" i="1"/>
  <c r="T25" i="1"/>
  <c r="C25" i="3" s="1"/>
  <c r="E24" i="4" l="1"/>
  <c r="F23" i="4" s="1"/>
  <c r="G22" i="4" s="1"/>
  <c r="E23" i="3"/>
  <c r="F22" i="3" s="1"/>
  <c r="G21" i="3" s="1"/>
  <c r="D25" i="3"/>
  <c r="V27" i="1"/>
  <c r="B27" i="4" s="1"/>
  <c r="S27" i="1"/>
  <c r="B27" i="3" s="1"/>
  <c r="P28" i="1"/>
  <c r="W26" i="1"/>
  <c r="C26" i="4" s="1"/>
  <c r="D26" i="4" s="1"/>
  <c r="Q27" i="1"/>
  <c r="T26" i="1"/>
  <c r="C26" i="3" s="1"/>
  <c r="E25" i="4" l="1"/>
  <c r="F24" i="4" s="1"/>
  <c r="G23" i="4" s="1"/>
  <c r="V28" i="1"/>
  <c r="B28" i="4" s="1"/>
  <c r="P29" i="1"/>
  <c r="S28" i="1"/>
  <c r="B28" i="3" s="1"/>
  <c r="E24" i="3"/>
  <c r="F23" i="3" s="1"/>
  <c r="G22" i="3" s="1"/>
  <c r="D26" i="3"/>
  <c r="T27" i="1"/>
  <c r="C27" i="3" s="1"/>
  <c r="W27" i="1"/>
  <c r="C27" i="4" s="1"/>
  <c r="D27" i="4" s="1"/>
  <c r="Q28" i="1"/>
  <c r="E26" i="4" l="1"/>
  <c r="F25" i="4" s="1"/>
  <c r="G24" i="4" s="1"/>
  <c r="V29" i="1"/>
  <c r="B29" i="4" s="1"/>
  <c r="P30" i="1"/>
  <c r="S29" i="1"/>
  <c r="B29" i="3" s="1"/>
  <c r="E25" i="3"/>
  <c r="F24" i="3" s="1"/>
  <c r="G23" i="3" s="1"/>
  <c r="D27" i="3"/>
  <c r="Q29" i="1"/>
  <c r="T28" i="1"/>
  <c r="C28" i="3" s="1"/>
  <c r="W28" i="1"/>
  <c r="C28" i="4" s="1"/>
  <c r="D28" i="4" s="1"/>
  <c r="E27" i="4" l="1"/>
  <c r="F26" i="4" s="1"/>
  <c r="G25" i="4" s="1"/>
  <c r="W29" i="1"/>
  <c r="C29" i="4" s="1"/>
  <c r="D29" i="4" s="1"/>
  <c r="Q30" i="1"/>
  <c r="T29" i="1"/>
  <c r="C29" i="3" s="1"/>
  <c r="E26" i="3"/>
  <c r="F25" i="3" s="1"/>
  <c r="G24" i="3" s="1"/>
  <c r="D28" i="3"/>
  <c r="V30" i="1"/>
  <c r="B30" i="4" s="1"/>
  <c r="P31" i="1"/>
  <c r="S30" i="1"/>
  <c r="B30" i="3" s="1"/>
  <c r="E28" i="4" l="1"/>
  <c r="F27" i="4" s="1"/>
  <c r="G26" i="4" s="1"/>
  <c r="E27" i="3"/>
  <c r="F26" i="3" s="1"/>
  <c r="G25" i="3" s="1"/>
  <c r="D29" i="3"/>
  <c r="Q31" i="1"/>
  <c r="T30" i="1"/>
  <c r="C30" i="3" s="1"/>
  <c r="W30" i="1"/>
  <c r="C30" i="4" s="1"/>
  <c r="D30" i="4" s="1"/>
  <c r="S31" i="1"/>
  <c r="B31" i="3" s="1"/>
  <c r="V31" i="1"/>
  <c r="B31" i="4" s="1"/>
  <c r="P32" i="1"/>
  <c r="E29" i="4" l="1"/>
  <c r="F28" i="4" s="1"/>
  <c r="G27" i="4" s="1"/>
  <c r="E28" i="3"/>
  <c r="F27" i="3" s="1"/>
  <c r="G26" i="3" s="1"/>
  <c r="D30" i="3"/>
  <c r="V32" i="1"/>
  <c r="B32" i="4" s="1"/>
  <c r="P33" i="1"/>
  <c r="S32" i="1"/>
  <c r="B32" i="3" s="1"/>
  <c r="T31" i="1"/>
  <c r="C31" i="3" s="1"/>
  <c r="W31" i="1"/>
  <c r="C31" i="4" s="1"/>
  <c r="D31" i="4" s="1"/>
  <c r="Q32" i="1"/>
  <c r="E30" i="4" l="1"/>
  <c r="F29" i="4" s="1"/>
  <c r="G28" i="4" s="1"/>
  <c r="Q33" i="1"/>
  <c r="T32" i="1"/>
  <c r="C32" i="3" s="1"/>
  <c r="W32" i="1"/>
  <c r="C32" i="4" s="1"/>
  <c r="D32" i="4" s="1"/>
  <c r="P34" i="1"/>
  <c r="S33" i="1"/>
  <c r="B33" i="3" s="1"/>
  <c r="V33" i="1"/>
  <c r="B33" i="4" s="1"/>
  <c r="E29" i="3"/>
  <c r="F28" i="3" s="1"/>
  <c r="G27" i="3" s="1"/>
  <c r="D31" i="3"/>
  <c r="E31" i="4" l="1"/>
  <c r="F30" i="4" s="1"/>
  <c r="G29" i="4" s="1"/>
  <c r="W33" i="1"/>
  <c r="C33" i="4" s="1"/>
  <c r="D33" i="4" s="1"/>
  <c r="T33" i="1"/>
  <c r="C33" i="3" s="1"/>
  <c r="Q34" i="1"/>
  <c r="E30" i="3"/>
  <c r="F29" i="3" s="1"/>
  <c r="G28" i="3" s="1"/>
  <c r="D32" i="3"/>
  <c r="V34" i="1"/>
  <c r="B34" i="4" s="1"/>
  <c r="P35" i="1"/>
  <c r="S34" i="1"/>
  <c r="B34" i="3" s="1"/>
  <c r="E32" i="4" l="1"/>
  <c r="F31" i="4" s="1"/>
  <c r="G30" i="4" s="1"/>
  <c r="E31" i="3"/>
  <c r="F30" i="3" s="1"/>
  <c r="G29" i="3" s="1"/>
  <c r="D33" i="3"/>
  <c r="V35" i="1"/>
  <c r="B35" i="4" s="1"/>
  <c r="P36" i="1"/>
  <c r="S35" i="1"/>
  <c r="B35" i="3" s="1"/>
  <c r="T34" i="1"/>
  <c r="C34" i="3" s="1"/>
  <c r="W34" i="1"/>
  <c r="C34" i="4" s="1"/>
  <c r="D34" i="4" s="1"/>
  <c r="Q35" i="1"/>
  <c r="E33" i="4" l="1"/>
  <c r="F32" i="4" s="1"/>
  <c r="G31" i="4" s="1"/>
  <c r="T35" i="1"/>
  <c r="C35" i="3" s="1"/>
  <c r="W35" i="1"/>
  <c r="C35" i="4" s="1"/>
  <c r="D35" i="4" s="1"/>
  <c r="Q36" i="1"/>
  <c r="V36" i="1"/>
  <c r="B36" i="4" s="1"/>
  <c r="P37" i="1"/>
  <c r="S36" i="1"/>
  <c r="B36" i="3" s="1"/>
  <c r="E32" i="3"/>
  <c r="F31" i="3" s="1"/>
  <c r="G30" i="3" s="1"/>
  <c r="D34" i="3"/>
  <c r="E34" i="4" l="1"/>
  <c r="F33" i="4" s="1"/>
  <c r="G32" i="4" s="1"/>
  <c r="V37" i="1"/>
  <c r="B37" i="4" s="1"/>
  <c r="P38" i="1"/>
  <c r="S37" i="1"/>
  <c r="B37" i="3" s="1"/>
  <c r="E33" i="3"/>
  <c r="F32" i="3" s="1"/>
  <c r="G31" i="3" s="1"/>
  <c r="D35" i="3"/>
  <c r="Q37" i="1"/>
  <c r="W36" i="1"/>
  <c r="C36" i="4" s="1"/>
  <c r="D36" i="4" s="1"/>
  <c r="T36" i="1"/>
  <c r="C36" i="3" s="1"/>
  <c r="E35" i="4" l="1"/>
  <c r="F34" i="4" s="1"/>
  <c r="G33" i="4" s="1"/>
  <c r="W37" i="1"/>
  <c r="C37" i="4" s="1"/>
  <c r="D37" i="4" s="1"/>
  <c r="Q38" i="1"/>
  <c r="T37" i="1"/>
  <c r="C37" i="3" s="1"/>
  <c r="E34" i="3"/>
  <c r="F33" i="3" s="1"/>
  <c r="G32" i="3" s="1"/>
  <c r="D36" i="3"/>
  <c r="V38" i="1"/>
  <c r="B38" i="4" s="1"/>
  <c r="S38" i="1"/>
  <c r="B38" i="3" s="1"/>
  <c r="P39" i="1"/>
  <c r="E36" i="4" l="1"/>
  <c r="F35" i="4" s="1"/>
  <c r="G34" i="4" s="1"/>
  <c r="W38" i="1"/>
  <c r="C38" i="4" s="1"/>
  <c r="D38" i="4" s="1"/>
  <c r="Q39" i="1"/>
  <c r="T38" i="1"/>
  <c r="C38" i="3" s="1"/>
  <c r="E35" i="3"/>
  <c r="F34" i="3" s="1"/>
  <c r="G33" i="3" s="1"/>
  <c r="D37" i="3"/>
  <c r="V39" i="1"/>
  <c r="B39" i="4" s="1"/>
  <c r="S39" i="1"/>
  <c r="B39" i="3" s="1"/>
  <c r="P40" i="1"/>
  <c r="E37" i="4" l="1"/>
  <c r="F36" i="4" s="1"/>
  <c r="G35" i="4" s="1"/>
  <c r="T39" i="1"/>
  <c r="C39" i="3" s="1"/>
  <c r="Q40" i="1"/>
  <c r="W39" i="1"/>
  <c r="C39" i="4" s="1"/>
  <c r="D39" i="4" s="1"/>
  <c r="E36" i="3"/>
  <c r="F35" i="3" s="1"/>
  <c r="G34" i="3" s="1"/>
  <c r="D38" i="3"/>
  <c r="V40" i="1"/>
  <c r="B40" i="4" s="1"/>
  <c r="P41" i="1"/>
  <c r="S40" i="1"/>
  <c r="B40" i="3" s="1"/>
  <c r="E38" i="4" l="1"/>
  <c r="F37" i="4" s="1"/>
  <c r="G36" i="4" s="1"/>
  <c r="Q41" i="1"/>
  <c r="T40" i="1"/>
  <c r="C40" i="3" s="1"/>
  <c r="W40" i="1"/>
  <c r="C40" i="4" s="1"/>
  <c r="D40" i="4" s="1"/>
  <c r="E37" i="3"/>
  <c r="F36" i="3" s="1"/>
  <c r="G35" i="3" s="1"/>
  <c r="D39" i="3"/>
  <c r="V41" i="1"/>
  <c r="B41" i="4" s="1"/>
  <c r="S41" i="1"/>
  <c r="B41" i="3" s="1"/>
  <c r="P42" i="1"/>
  <c r="E39" i="4" l="1"/>
  <c r="F38" i="4" s="1"/>
  <c r="G37" i="4" s="1"/>
  <c r="E38" i="3"/>
  <c r="F37" i="3" s="1"/>
  <c r="G36" i="3" s="1"/>
  <c r="D40" i="3"/>
  <c r="W41" i="1"/>
  <c r="C41" i="4" s="1"/>
  <c r="D41" i="4" s="1"/>
  <c r="Q42" i="1"/>
  <c r="T41" i="1"/>
  <c r="C41" i="3" s="1"/>
  <c r="V42" i="1"/>
  <c r="B42" i="4" s="1"/>
  <c r="S42" i="1"/>
  <c r="B42" i="3" s="1"/>
  <c r="P43" i="1"/>
  <c r="E40" i="4" l="1"/>
  <c r="F39" i="4" s="1"/>
  <c r="G38" i="4" s="1"/>
  <c r="E39" i="3"/>
  <c r="F38" i="3" s="1"/>
  <c r="G37" i="3" s="1"/>
  <c r="D41" i="3"/>
  <c r="V43" i="1"/>
  <c r="B43" i="4" s="1"/>
  <c r="P44" i="1"/>
  <c r="S43" i="1"/>
  <c r="B43" i="3" s="1"/>
  <c r="W42" i="1"/>
  <c r="C42" i="4" s="1"/>
  <c r="D42" i="4" s="1"/>
  <c r="Q43" i="1"/>
  <c r="T42" i="1"/>
  <c r="C42" i="3" s="1"/>
  <c r="E41" i="4" l="1"/>
  <c r="F40" i="4" s="1"/>
  <c r="G39" i="4" s="1"/>
  <c r="E40" i="3"/>
  <c r="F39" i="3" s="1"/>
  <c r="G38" i="3" s="1"/>
  <c r="D42" i="3"/>
  <c r="V44" i="1"/>
  <c r="B44" i="4" s="1"/>
  <c r="P45" i="1"/>
  <c r="S44" i="1"/>
  <c r="B44" i="3" s="1"/>
  <c r="T43" i="1"/>
  <c r="C43" i="3" s="1"/>
  <c r="W43" i="1"/>
  <c r="C43" i="4" s="1"/>
  <c r="D43" i="4" s="1"/>
  <c r="Q44" i="1"/>
  <c r="E42" i="4" l="1"/>
  <c r="F41" i="4" s="1"/>
  <c r="G40" i="4" s="1"/>
  <c r="E41" i="3"/>
  <c r="F40" i="3" s="1"/>
  <c r="G39" i="3" s="1"/>
  <c r="D43" i="3"/>
  <c r="S45" i="1"/>
  <c r="B45" i="3" s="1"/>
  <c r="V45" i="1"/>
  <c r="B45" i="4" s="1"/>
  <c r="P46" i="1"/>
  <c r="Q45" i="1"/>
  <c r="W44" i="1"/>
  <c r="C44" i="4" s="1"/>
  <c r="D44" i="4" s="1"/>
  <c r="T44" i="1"/>
  <c r="C44" i="3" s="1"/>
  <c r="E43" i="4" l="1"/>
  <c r="F42" i="4" s="1"/>
  <c r="G41" i="4" s="1"/>
  <c r="W45" i="1"/>
  <c r="C45" i="4" s="1"/>
  <c r="D45" i="4" s="1"/>
  <c r="T45" i="1"/>
  <c r="C45" i="3" s="1"/>
  <c r="Q46" i="1"/>
  <c r="S46" i="1"/>
  <c r="B46" i="3" s="1"/>
  <c r="V46" i="1"/>
  <c r="B46" i="4" s="1"/>
  <c r="P47" i="1"/>
  <c r="E42" i="3"/>
  <c r="F41" i="3" s="1"/>
  <c r="G40" i="3" s="1"/>
  <c r="D44" i="3"/>
  <c r="E44" i="4" l="1"/>
  <c r="F43" i="4" s="1"/>
  <c r="G42" i="4" s="1"/>
  <c r="S47" i="1"/>
  <c r="B47" i="3" s="1"/>
  <c r="P48" i="1"/>
  <c r="V47" i="1"/>
  <c r="B47" i="4" s="1"/>
  <c r="E43" i="3"/>
  <c r="F42" i="3" s="1"/>
  <c r="G41" i="3" s="1"/>
  <c r="D45" i="3"/>
  <c r="Q47" i="1"/>
  <c r="W46" i="1"/>
  <c r="C46" i="4" s="1"/>
  <c r="D46" i="4" s="1"/>
  <c r="T46" i="1"/>
  <c r="C46" i="3" s="1"/>
  <c r="E45" i="4" l="1"/>
  <c r="F44" i="4" s="1"/>
  <c r="G43" i="4" s="1"/>
  <c r="T47" i="1"/>
  <c r="C47" i="3" s="1"/>
  <c r="W47" i="1"/>
  <c r="C47" i="4" s="1"/>
  <c r="D47" i="4" s="1"/>
  <c r="Q48" i="1"/>
  <c r="E44" i="3"/>
  <c r="F43" i="3" s="1"/>
  <c r="G42" i="3" s="1"/>
  <c r="D46" i="3"/>
  <c r="P49" i="1"/>
  <c r="S48" i="1"/>
  <c r="B48" i="3" s="1"/>
  <c r="V48" i="1"/>
  <c r="B48" i="4" s="1"/>
  <c r="E46" i="4" l="1"/>
  <c r="F45" i="4" s="1"/>
  <c r="G44" i="4" s="1"/>
  <c r="V49" i="1"/>
  <c r="B49" i="4" s="1"/>
  <c r="S49" i="1"/>
  <c r="B49" i="3" s="1"/>
  <c r="P50" i="1"/>
  <c r="D47" i="3"/>
  <c r="E45" i="3"/>
  <c r="F44" i="3" s="1"/>
  <c r="G43" i="3" s="1"/>
  <c r="W48" i="1"/>
  <c r="C48" i="4" s="1"/>
  <c r="D48" i="4" s="1"/>
  <c r="T48" i="1"/>
  <c r="C48" i="3" s="1"/>
  <c r="Q49" i="1"/>
  <c r="E47" i="4" l="1"/>
  <c r="F46" i="4" s="1"/>
  <c r="G45" i="4" s="1"/>
  <c r="Q50" i="1"/>
  <c r="T49" i="1"/>
  <c r="C49" i="3" s="1"/>
  <c r="W49" i="1"/>
  <c r="C49" i="4" s="1"/>
  <c r="D49" i="4" s="1"/>
  <c r="E46" i="3"/>
  <c r="F45" i="3" s="1"/>
  <c r="G44" i="3" s="1"/>
  <c r="D48" i="3"/>
  <c r="P51" i="1"/>
  <c r="S50" i="1"/>
  <c r="B50" i="3" s="1"/>
  <c r="V50" i="1"/>
  <c r="B50" i="4" s="1"/>
  <c r="E48" i="4" l="1"/>
  <c r="F47" i="4" s="1"/>
  <c r="G46" i="4" s="1"/>
  <c r="D49" i="3"/>
  <c r="E47" i="3"/>
  <c r="F46" i="3" s="1"/>
  <c r="G45" i="3" s="1"/>
  <c r="W50" i="1"/>
  <c r="C50" i="4" s="1"/>
  <c r="D50" i="4" s="1"/>
  <c r="Q51" i="1"/>
  <c r="T50" i="1"/>
  <c r="C50" i="3" s="1"/>
  <c r="S51" i="1"/>
  <c r="B51" i="3" s="1"/>
  <c r="V51" i="1"/>
  <c r="B51" i="4" s="1"/>
  <c r="P52" i="1"/>
  <c r="E49" i="4" l="1"/>
  <c r="F48" i="4" s="1"/>
  <c r="G47" i="4" s="1"/>
  <c r="E48" i="3"/>
  <c r="F47" i="3" s="1"/>
  <c r="G46" i="3" s="1"/>
  <c r="D50" i="3"/>
  <c r="S52" i="1"/>
  <c r="B52" i="3" s="1"/>
  <c r="V52" i="1"/>
  <c r="B52" i="4" s="1"/>
  <c r="P53" i="1"/>
  <c r="W51" i="1"/>
  <c r="C51" i="4" s="1"/>
  <c r="D51" i="4" s="1"/>
  <c r="T51" i="1"/>
  <c r="C51" i="3" s="1"/>
  <c r="Q52" i="1"/>
  <c r="E50" i="4" l="1"/>
  <c r="F49" i="4" s="1"/>
  <c r="G48" i="4" s="1"/>
  <c r="E49" i="3"/>
  <c r="F48" i="3" s="1"/>
  <c r="G47" i="3" s="1"/>
  <c r="D51" i="3"/>
  <c r="V53" i="1"/>
  <c r="B53" i="4" s="1"/>
  <c r="S53" i="1"/>
  <c r="B53" i="3" s="1"/>
  <c r="P54" i="1"/>
  <c r="Q53" i="1"/>
  <c r="T52" i="1"/>
  <c r="C52" i="3" s="1"/>
  <c r="W52" i="1"/>
  <c r="C52" i="4" s="1"/>
  <c r="D52" i="4" s="1"/>
  <c r="E51" i="4" l="1"/>
  <c r="F50" i="4" s="1"/>
  <c r="G49" i="4" s="1"/>
  <c r="V54" i="1"/>
  <c r="B54" i="4" s="1"/>
  <c r="S54" i="1"/>
  <c r="B54" i="3" s="1"/>
  <c r="P55" i="1"/>
  <c r="Q54" i="1"/>
  <c r="W53" i="1"/>
  <c r="C53" i="4" s="1"/>
  <c r="D53" i="4" s="1"/>
  <c r="T53" i="1"/>
  <c r="C53" i="3" s="1"/>
  <c r="E50" i="3"/>
  <c r="F49" i="3" s="1"/>
  <c r="G48" i="3" s="1"/>
  <c r="D52" i="3"/>
  <c r="E52" i="4" l="1"/>
  <c r="F51" i="4" s="1"/>
  <c r="G50" i="4" s="1"/>
  <c r="E51" i="3"/>
  <c r="F50" i="3" s="1"/>
  <c r="G49" i="3" s="1"/>
  <c r="D53" i="3"/>
  <c r="W54" i="1"/>
  <c r="C54" i="4" s="1"/>
  <c r="D54" i="4" s="1"/>
  <c r="Q55" i="1"/>
  <c r="T54" i="1"/>
  <c r="C54" i="3" s="1"/>
  <c r="V55" i="1"/>
  <c r="B55" i="4" s="1"/>
  <c r="P56" i="1"/>
  <c r="S55" i="1"/>
  <c r="B55" i="3" s="1"/>
  <c r="E53" i="4" l="1"/>
  <c r="F52" i="4" s="1"/>
  <c r="G51" i="4" s="1"/>
  <c r="E52" i="3"/>
  <c r="F51" i="3" s="1"/>
  <c r="G50" i="3" s="1"/>
  <c r="D54" i="3"/>
  <c r="W55" i="1"/>
  <c r="C55" i="4" s="1"/>
  <c r="D55" i="4" s="1"/>
  <c r="Q56" i="1"/>
  <c r="T55" i="1"/>
  <c r="C55" i="3" s="1"/>
  <c r="V56" i="1"/>
  <c r="B56" i="4" s="1"/>
  <c r="P57" i="1"/>
  <c r="S56" i="1"/>
  <c r="B56" i="3" s="1"/>
  <c r="E54" i="4" l="1"/>
  <c r="F53" i="4" s="1"/>
  <c r="G52" i="4" s="1"/>
  <c r="E53" i="3"/>
  <c r="F52" i="3" s="1"/>
  <c r="G51" i="3" s="1"/>
  <c r="D55" i="3"/>
  <c r="Q57" i="1"/>
  <c r="T56" i="1"/>
  <c r="C56" i="3" s="1"/>
  <c r="W56" i="1"/>
  <c r="C56" i="4" s="1"/>
  <c r="D56" i="4" s="1"/>
  <c r="P58" i="1"/>
  <c r="S57" i="1"/>
  <c r="B57" i="3" s="1"/>
  <c r="V57" i="1"/>
  <c r="B57" i="4" s="1"/>
  <c r="E55" i="4" l="1"/>
  <c r="F54" i="4" s="1"/>
  <c r="G53" i="4" s="1"/>
  <c r="E54" i="3"/>
  <c r="F53" i="3" s="1"/>
  <c r="G52" i="3" s="1"/>
  <c r="D56" i="3"/>
  <c r="P59" i="1"/>
  <c r="S58" i="1"/>
  <c r="B58" i="3" s="1"/>
  <c r="V58" i="1"/>
  <c r="B58" i="4" s="1"/>
  <c r="Q58" i="1"/>
  <c r="W57" i="1"/>
  <c r="C57" i="4" s="1"/>
  <c r="D57" i="4" s="1"/>
  <c r="T57" i="1"/>
  <c r="C57" i="3" s="1"/>
  <c r="E56" i="4" l="1"/>
  <c r="F55" i="4" s="1"/>
  <c r="G54" i="4" s="1"/>
  <c r="E55" i="3"/>
  <c r="F54" i="3" s="1"/>
  <c r="G53" i="3" s="1"/>
  <c r="D57" i="3"/>
  <c r="W58" i="1"/>
  <c r="C58" i="4" s="1"/>
  <c r="D58" i="4" s="1"/>
  <c r="Q59" i="1"/>
  <c r="T58" i="1"/>
  <c r="C58" i="3" s="1"/>
  <c r="V59" i="1"/>
  <c r="B59" i="4" s="1"/>
  <c r="S59" i="1"/>
  <c r="B59" i="3" s="1"/>
  <c r="P60" i="1"/>
  <c r="E57" i="4" l="1"/>
  <c r="F56" i="4" s="1"/>
  <c r="G55" i="4" s="1"/>
  <c r="E56" i="3"/>
  <c r="F55" i="3" s="1"/>
  <c r="G54" i="3" s="1"/>
  <c r="D58" i="3"/>
  <c r="S60" i="1"/>
  <c r="B60" i="3" s="1"/>
  <c r="V60" i="1"/>
  <c r="B60" i="4" s="1"/>
  <c r="P61" i="1"/>
  <c r="W59" i="1"/>
  <c r="C59" i="4" s="1"/>
  <c r="D59" i="4" s="1"/>
  <c r="T59" i="1"/>
  <c r="C59" i="3" s="1"/>
  <c r="Q60" i="1"/>
  <c r="E58" i="4" l="1"/>
  <c r="F57" i="4" s="1"/>
  <c r="G56" i="4" s="1"/>
  <c r="E57" i="3"/>
  <c r="F56" i="3" s="1"/>
  <c r="G55" i="3" s="1"/>
  <c r="D59" i="3"/>
  <c r="S61" i="1"/>
  <c r="B61" i="3" s="1"/>
  <c r="V61" i="1"/>
  <c r="B61" i="4" s="1"/>
  <c r="P62" i="1"/>
  <c r="Q61" i="1"/>
  <c r="T60" i="1"/>
  <c r="C60" i="3" s="1"/>
  <c r="W60" i="1"/>
  <c r="C60" i="4" s="1"/>
  <c r="D60" i="4" s="1"/>
  <c r="E59" i="4" l="1"/>
  <c r="F58" i="4" s="1"/>
  <c r="G57" i="4" s="1"/>
  <c r="E58" i="3"/>
  <c r="F57" i="3" s="1"/>
  <c r="G56" i="3" s="1"/>
  <c r="D60" i="3"/>
  <c r="P63" i="1"/>
  <c r="V62" i="1"/>
  <c r="B62" i="4" s="1"/>
  <c r="S62" i="1"/>
  <c r="B62" i="3" s="1"/>
  <c r="W61" i="1"/>
  <c r="C61" i="4" s="1"/>
  <c r="D61" i="4" s="1"/>
  <c r="T61" i="1"/>
  <c r="C61" i="3" s="1"/>
  <c r="Q62" i="1"/>
  <c r="E60" i="4" l="1"/>
  <c r="F59" i="4" s="1"/>
  <c r="G58" i="4" s="1"/>
  <c r="E59" i="3"/>
  <c r="F58" i="3" s="1"/>
  <c r="G57" i="3" s="1"/>
  <c r="D61" i="3"/>
  <c r="Q63" i="1"/>
  <c r="T62" i="1"/>
  <c r="C62" i="3" s="1"/>
  <c r="W62" i="1"/>
  <c r="C62" i="4" s="1"/>
  <c r="D62" i="4" s="1"/>
  <c r="V63" i="1"/>
  <c r="B63" i="4" s="1"/>
  <c r="P64" i="1"/>
  <c r="S63" i="1"/>
  <c r="B63" i="3" s="1"/>
  <c r="E61" i="4" l="1"/>
  <c r="F60" i="4" s="1"/>
  <c r="G59" i="4" s="1"/>
  <c r="E60" i="3"/>
  <c r="F59" i="3" s="1"/>
  <c r="G58" i="3" s="1"/>
  <c r="D62" i="3"/>
  <c r="V64" i="1"/>
  <c r="B64" i="4" s="1"/>
  <c r="P65" i="1"/>
  <c r="S64" i="1"/>
  <c r="B64" i="3" s="1"/>
  <c r="Q64" i="1"/>
  <c r="T63" i="1"/>
  <c r="C63" i="3" s="1"/>
  <c r="W63" i="1"/>
  <c r="C63" i="4" s="1"/>
  <c r="D63" i="4" s="1"/>
  <c r="E62" i="4" l="1"/>
  <c r="F61" i="4" s="1"/>
  <c r="G60" i="4" s="1"/>
  <c r="T64" i="1"/>
  <c r="C64" i="3" s="1"/>
  <c r="W64" i="1"/>
  <c r="C64" i="4" s="1"/>
  <c r="D64" i="4" s="1"/>
  <c r="Q65" i="1"/>
  <c r="E61" i="3"/>
  <c r="F60" i="3" s="1"/>
  <c r="G59" i="3" s="1"/>
  <c r="D63" i="3"/>
  <c r="P66" i="1"/>
  <c r="V65" i="1"/>
  <c r="B65" i="4" s="1"/>
  <c r="S65" i="1"/>
  <c r="B65" i="3" s="1"/>
  <c r="E63" i="4" l="1"/>
  <c r="F62" i="4" s="1"/>
  <c r="G61" i="4" s="1"/>
  <c r="S66" i="1"/>
  <c r="B66" i="3" s="1"/>
  <c r="V66" i="1"/>
  <c r="B66" i="4" s="1"/>
  <c r="P67" i="1"/>
  <c r="E62" i="3"/>
  <c r="F61" i="3" s="1"/>
  <c r="G60" i="3" s="1"/>
  <c r="D64" i="3"/>
  <c r="Q66" i="1"/>
  <c r="T65" i="1"/>
  <c r="C65" i="3" s="1"/>
  <c r="W65" i="1"/>
  <c r="C65" i="4" s="1"/>
  <c r="D65" i="4" s="1"/>
  <c r="E64" i="4" l="1"/>
  <c r="F63" i="4" s="1"/>
  <c r="G62" i="4" s="1"/>
  <c r="W66" i="1"/>
  <c r="C66" i="4" s="1"/>
  <c r="D66" i="4" s="1"/>
  <c r="Q67" i="1"/>
  <c r="T66" i="1"/>
  <c r="C66" i="3" s="1"/>
  <c r="E63" i="3"/>
  <c r="F62" i="3" s="1"/>
  <c r="G61" i="3" s="1"/>
  <c r="D65" i="3"/>
  <c r="V67" i="1"/>
  <c r="B67" i="4" s="1"/>
  <c r="S67" i="1"/>
  <c r="B67" i="3" s="1"/>
  <c r="P68" i="1"/>
  <c r="E65" i="4" l="1"/>
  <c r="F64" i="4" s="1"/>
  <c r="G63" i="4" s="1"/>
  <c r="E64" i="3"/>
  <c r="F63" i="3" s="1"/>
  <c r="G62" i="3" s="1"/>
  <c r="D66" i="3"/>
  <c r="T67" i="1"/>
  <c r="C67" i="3" s="1"/>
  <c r="W67" i="1"/>
  <c r="C67" i="4" s="1"/>
  <c r="D67" i="4" s="1"/>
  <c r="Q68" i="1"/>
  <c r="S68" i="1"/>
  <c r="B68" i="3" s="1"/>
  <c r="V68" i="1"/>
  <c r="B68" i="4" s="1"/>
  <c r="P69" i="1"/>
  <c r="E66" i="4" l="1"/>
  <c r="F65" i="4" s="1"/>
  <c r="G64" i="4" s="1"/>
  <c r="E65" i="3"/>
  <c r="F64" i="3" s="1"/>
  <c r="G63" i="3" s="1"/>
  <c r="D67" i="3"/>
  <c r="W68" i="1"/>
  <c r="C68" i="4" s="1"/>
  <c r="D68" i="4" s="1"/>
  <c r="T68" i="1"/>
  <c r="C68" i="3" s="1"/>
  <c r="Q69" i="1"/>
  <c r="S69" i="1"/>
  <c r="B69" i="3" s="1"/>
  <c r="V69" i="1"/>
  <c r="B69" i="4" s="1"/>
  <c r="P70" i="1"/>
  <c r="E67" i="4" l="1"/>
  <c r="F66" i="4" s="1"/>
  <c r="G65" i="4" s="1"/>
  <c r="E66" i="3"/>
  <c r="F65" i="3" s="1"/>
  <c r="G64" i="3" s="1"/>
  <c r="D68" i="3"/>
  <c r="T69" i="1"/>
  <c r="C69" i="3" s="1"/>
  <c r="W69" i="1"/>
  <c r="C69" i="4" s="1"/>
  <c r="D69" i="4" s="1"/>
  <c r="Q70" i="1"/>
  <c r="S70" i="1"/>
  <c r="B70" i="3" s="1"/>
  <c r="V70" i="1"/>
  <c r="B70" i="4" s="1"/>
  <c r="P71" i="1"/>
  <c r="E68" i="4" l="1"/>
  <c r="F67" i="4" s="1"/>
  <c r="G66" i="4" s="1"/>
  <c r="E67" i="3"/>
  <c r="F66" i="3" s="1"/>
  <c r="G65" i="3" s="1"/>
  <c r="D69" i="3"/>
  <c r="W70" i="1"/>
  <c r="C70" i="4" s="1"/>
  <c r="D70" i="4" s="1"/>
  <c r="Q71" i="1"/>
  <c r="T70" i="1"/>
  <c r="C70" i="3" s="1"/>
  <c r="V71" i="1"/>
  <c r="B71" i="4" s="1"/>
  <c r="P72" i="1"/>
  <c r="S71" i="1"/>
  <c r="B71" i="3" s="1"/>
  <c r="E69" i="4" l="1"/>
  <c r="F68" i="4" s="1"/>
  <c r="G67" i="4" s="1"/>
  <c r="E68" i="3"/>
  <c r="F67" i="3" s="1"/>
  <c r="G66" i="3" s="1"/>
  <c r="D70" i="3"/>
  <c r="W71" i="1"/>
  <c r="C71" i="4" s="1"/>
  <c r="D71" i="4" s="1"/>
  <c r="T71" i="1"/>
  <c r="C71" i="3" s="1"/>
  <c r="Q72" i="1"/>
  <c r="P73" i="1"/>
  <c r="V72" i="1"/>
  <c r="B72" i="4" s="1"/>
  <c r="S72" i="1"/>
  <c r="B72" i="3" s="1"/>
  <c r="E70" i="4" l="1"/>
  <c r="F69" i="4" s="1"/>
  <c r="G68" i="4" s="1"/>
  <c r="E69" i="3"/>
  <c r="F68" i="3" s="1"/>
  <c r="G67" i="3" s="1"/>
  <c r="D71" i="3"/>
  <c r="V73" i="1"/>
  <c r="B73" i="4" s="1"/>
  <c r="P74" i="1"/>
  <c r="S73" i="1"/>
  <c r="B73" i="3" s="1"/>
  <c r="T72" i="1"/>
  <c r="C72" i="3" s="1"/>
  <c r="W72" i="1"/>
  <c r="C72" i="4" s="1"/>
  <c r="D72" i="4" s="1"/>
  <c r="Q73" i="1"/>
  <c r="E71" i="4" l="1"/>
  <c r="F70" i="4" s="1"/>
  <c r="G69" i="4" s="1"/>
  <c r="W73" i="1"/>
  <c r="C73" i="4" s="1"/>
  <c r="D73" i="4" s="1"/>
  <c r="Q74" i="1"/>
  <c r="T73" i="1"/>
  <c r="C73" i="3" s="1"/>
  <c r="S74" i="1"/>
  <c r="B74" i="3" s="1"/>
  <c r="P75" i="1"/>
  <c r="V74" i="1"/>
  <c r="B74" i="4" s="1"/>
  <c r="E70" i="3"/>
  <c r="F69" i="3" s="1"/>
  <c r="G68" i="3" s="1"/>
  <c r="D72" i="3"/>
  <c r="E72" i="4" l="1"/>
  <c r="F71" i="4" s="1"/>
  <c r="G70" i="4" s="1"/>
  <c r="V75" i="1"/>
  <c r="B75" i="4" s="1"/>
  <c r="P76" i="1"/>
  <c r="S75" i="1"/>
  <c r="B75" i="3" s="1"/>
  <c r="E71" i="3"/>
  <c r="F70" i="3" s="1"/>
  <c r="G69" i="3" s="1"/>
  <c r="D73" i="3"/>
  <c r="W74" i="1"/>
  <c r="C74" i="4" s="1"/>
  <c r="D74" i="4" s="1"/>
  <c r="Q75" i="1"/>
  <c r="T74" i="1"/>
  <c r="C74" i="3" s="1"/>
  <c r="E73" i="4" l="1"/>
  <c r="F72" i="4" s="1"/>
  <c r="G71" i="4" s="1"/>
  <c r="E72" i="3"/>
  <c r="F71" i="3" s="1"/>
  <c r="G70" i="3" s="1"/>
  <c r="D74" i="3"/>
  <c r="V76" i="1"/>
  <c r="B76" i="4" s="1"/>
  <c r="P77" i="1"/>
  <c r="S76" i="1"/>
  <c r="B76" i="3" s="1"/>
  <c r="W75" i="1"/>
  <c r="C75" i="4" s="1"/>
  <c r="D75" i="4" s="1"/>
  <c r="Q76" i="1"/>
  <c r="T75" i="1"/>
  <c r="C75" i="3" s="1"/>
  <c r="E74" i="4" l="1"/>
  <c r="F73" i="4" s="1"/>
  <c r="G72" i="4" s="1"/>
  <c r="E73" i="3"/>
  <c r="F72" i="3" s="1"/>
  <c r="G71" i="3" s="1"/>
  <c r="D75" i="3"/>
  <c r="V77" i="1"/>
  <c r="B77" i="4" s="1"/>
  <c r="P78" i="1"/>
  <c r="S77" i="1"/>
  <c r="B77" i="3" s="1"/>
  <c r="T76" i="1"/>
  <c r="C76" i="3" s="1"/>
  <c r="W76" i="1"/>
  <c r="C76" i="4" s="1"/>
  <c r="D76" i="4" s="1"/>
  <c r="Q77" i="1"/>
  <c r="E75" i="4" l="1"/>
  <c r="F74" i="4" s="1"/>
  <c r="G73" i="4" s="1"/>
  <c r="E74" i="3"/>
  <c r="F73" i="3" s="1"/>
  <c r="G72" i="3" s="1"/>
  <c r="D76" i="3"/>
  <c r="Q78" i="1"/>
  <c r="W77" i="1"/>
  <c r="C77" i="4" s="1"/>
  <c r="D77" i="4" s="1"/>
  <c r="T77" i="1"/>
  <c r="C77" i="3" s="1"/>
  <c r="S78" i="1"/>
  <c r="B78" i="3" s="1"/>
  <c r="V78" i="1"/>
  <c r="B78" i="4" s="1"/>
  <c r="P79" i="1"/>
  <c r="E76" i="4" l="1"/>
  <c r="F75" i="4" s="1"/>
  <c r="G74" i="4" s="1"/>
  <c r="E75" i="3"/>
  <c r="F74" i="3" s="1"/>
  <c r="G73" i="3" s="1"/>
  <c r="D77" i="3"/>
  <c r="V79" i="1"/>
  <c r="B79" i="4" s="1"/>
  <c r="P80" i="1"/>
  <c r="S79" i="1"/>
  <c r="B79" i="3" s="1"/>
  <c r="W78" i="1"/>
  <c r="C78" i="4" s="1"/>
  <c r="D78" i="4" s="1"/>
  <c r="Q79" i="1"/>
  <c r="T78" i="1"/>
  <c r="C78" i="3" s="1"/>
  <c r="E77" i="4" l="1"/>
  <c r="F76" i="4" s="1"/>
  <c r="G75" i="4" s="1"/>
  <c r="E76" i="3"/>
  <c r="F75" i="3" s="1"/>
  <c r="G74" i="3" s="1"/>
  <c r="D78" i="3"/>
  <c r="P81" i="1"/>
  <c r="V80" i="1"/>
  <c r="B80" i="4" s="1"/>
  <c r="S80" i="1"/>
  <c r="B80" i="3" s="1"/>
  <c r="W79" i="1"/>
  <c r="C79" i="4" s="1"/>
  <c r="D79" i="4" s="1"/>
  <c r="Q80" i="1"/>
  <c r="T79" i="1"/>
  <c r="C79" i="3" s="1"/>
  <c r="E78" i="4" l="1"/>
  <c r="F77" i="4" s="1"/>
  <c r="G76" i="4" s="1"/>
  <c r="E77" i="3"/>
  <c r="F76" i="3" s="1"/>
  <c r="G75" i="3" s="1"/>
  <c r="D79" i="3"/>
  <c r="T80" i="1"/>
  <c r="C80" i="3" s="1"/>
  <c r="W80" i="1"/>
  <c r="C80" i="4" s="1"/>
  <c r="D80" i="4" s="1"/>
  <c r="Q81" i="1"/>
  <c r="S81" i="1"/>
  <c r="B81" i="3" s="1"/>
  <c r="V81" i="1"/>
  <c r="B81" i="4" s="1"/>
  <c r="P82" i="1"/>
  <c r="E79" i="4" l="1"/>
  <c r="F78" i="4" s="1"/>
  <c r="G77" i="4" s="1"/>
  <c r="W81" i="1"/>
  <c r="C81" i="4" s="1"/>
  <c r="D81" i="4" s="1"/>
  <c r="T81" i="1"/>
  <c r="C81" i="3" s="1"/>
  <c r="Q82" i="1"/>
  <c r="E78" i="3"/>
  <c r="F77" i="3" s="1"/>
  <c r="G76" i="3" s="1"/>
  <c r="D80" i="3"/>
  <c r="P83" i="1"/>
  <c r="V82" i="1"/>
  <c r="B82" i="4" s="1"/>
  <c r="S82" i="1"/>
  <c r="B82" i="3" s="1"/>
  <c r="E80" i="4" l="1"/>
  <c r="F79" i="4" s="1"/>
  <c r="G78" i="4" s="1"/>
  <c r="P84" i="1"/>
  <c r="S83" i="1"/>
  <c r="B83" i="3" s="1"/>
  <c r="V83" i="1"/>
  <c r="B83" i="4" s="1"/>
  <c r="E79" i="3"/>
  <c r="F78" i="3" s="1"/>
  <c r="G77" i="3" s="1"/>
  <c r="D81" i="3"/>
  <c r="T82" i="1"/>
  <c r="C82" i="3" s="1"/>
  <c r="Q83" i="1"/>
  <c r="W82" i="1"/>
  <c r="C82" i="4" s="1"/>
  <c r="D82" i="4" s="1"/>
  <c r="E81" i="4" l="1"/>
  <c r="F80" i="4" s="1"/>
  <c r="G79" i="4" s="1"/>
  <c r="E80" i="3"/>
  <c r="F79" i="3" s="1"/>
  <c r="G78" i="3" s="1"/>
  <c r="D82" i="3"/>
  <c r="S84" i="1"/>
  <c r="B84" i="3" s="1"/>
  <c r="P85" i="1"/>
  <c r="V84" i="1"/>
  <c r="B84" i="4" s="1"/>
  <c r="T83" i="1"/>
  <c r="C83" i="3" s="1"/>
  <c r="Q84" i="1"/>
  <c r="W83" i="1"/>
  <c r="C83" i="4" s="1"/>
  <c r="D83" i="4" s="1"/>
  <c r="E82" i="4" l="1"/>
  <c r="F81" i="4" s="1"/>
  <c r="G80" i="4" s="1"/>
  <c r="E81" i="3"/>
  <c r="F80" i="3" s="1"/>
  <c r="G79" i="3" s="1"/>
  <c r="D83" i="3"/>
  <c r="S85" i="1"/>
  <c r="B85" i="3" s="1"/>
  <c r="V85" i="1"/>
  <c r="B85" i="4" s="1"/>
  <c r="P86" i="1"/>
  <c r="W84" i="1"/>
  <c r="C84" i="4" s="1"/>
  <c r="D84" i="4" s="1"/>
  <c r="Q85" i="1"/>
  <c r="T84" i="1"/>
  <c r="C84" i="3" s="1"/>
  <c r="E83" i="4" l="1"/>
  <c r="F82" i="4" s="1"/>
  <c r="G81" i="4" s="1"/>
  <c r="E82" i="3"/>
  <c r="F81" i="3" s="1"/>
  <c r="G80" i="3" s="1"/>
  <c r="D84" i="3"/>
  <c r="S86" i="1"/>
  <c r="B86" i="3" s="1"/>
  <c r="P87" i="1"/>
  <c r="V86" i="1"/>
  <c r="B86" i="4" s="1"/>
  <c r="Q86" i="1"/>
  <c r="T85" i="1"/>
  <c r="C85" i="3" s="1"/>
  <c r="W85" i="1"/>
  <c r="C85" i="4" s="1"/>
  <c r="D85" i="4" s="1"/>
  <c r="E84" i="4" l="1"/>
  <c r="F83" i="4" s="1"/>
  <c r="G82" i="4" s="1"/>
  <c r="W86" i="1"/>
  <c r="C86" i="4" s="1"/>
  <c r="D86" i="4" s="1"/>
  <c r="Q87" i="1"/>
  <c r="T86" i="1"/>
  <c r="C86" i="3" s="1"/>
  <c r="E83" i="3"/>
  <c r="F82" i="3" s="1"/>
  <c r="G81" i="3" s="1"/>
  <c r="D85" i="3"/>
  <c r="V87" i="1"/>
  <c r="B87" i="4" s="1"/>
  <c r="P88" i="1"/>
  <c r="S87" i="1"/>
  <c r="B87" i="3" s="1"/>
  <c r="E85" i="4" l="1"/>
  <c r="F84" i="4" s="1"/>
  <c r="G83" i="4" s="1"/>
  <c r="W87" i="1"/>
  <c r="C87" i="4" s="1"/>
  <c r="D87" i="4" s="1"/>
  <c r="Q88" i="1"/>
  <c r="T87" i="1"/>
  <c r="C87" i="3" s="1"/>
  <c r="E84" i="3"/>
  <c r="F83" i="3" s="1"/>
  <c r="G82" i="3" s="1"/>
  <c r="D86" i="3"/>
  <c r="P89" i="1"/>
  <c r="S88" i="1"/>
  <c r="B88" i="3" s="1"/>
  <c r="V88" i="1"/>
  <c r="B88" i="4" s="1"/>
  <c r="E86" i="4" l="1"/>
  <c r="F85" i="4" s="1"/>
  <c r="G84" i="4" s="1"/>
  <c r="Q89" i="1"/>
  <c r="W88" i="1"/>
  <c r="C88" i="4" s="1"/>
  <c r="D88" i="4" s="1"/>
  <c r="T88" i="1"/>
  <c r="C88" i="3" s="1"/>
  <c r="E85" i="3"/>
  <c r="F84" i="3" s="1"/>
  <c r="G83" i="3" s="1"/>
  <c r="D87" i="3"/>
  <c r="V89" i="1"/>
  <c r="B89" i="4" s="1"/>
  <c r="S89" i="1"/>
  <c r="B89" i="3" s="1"/>
  <c r="P90" i="1"/>
  <c r="E87" i="4" l="1"/>
  <c r="F86" i="4" s="1"/>
  <c r="G85" i="4" s="1"/>
  <c r="E86" i="3"/>
  <c r="F85" i="3" s="1"/>
  <c r="G84" i="3" s="1"/>
  <c r="D88" i="3"/>
  <c r="T89" i="1"/>
  <c r="C89" i="3" s="1"/>
  <c r="Q90" i="1"/>
  <c r="W89" i="1"/>
  <c r="C89" i="4" s="1"/>
  <c r="D89" i="4" s="1"/>
  <c r="P91" i="1"/>
  <c r="S90" i="1"/>
  <c r="B90" i="3" s="1"/>
  <c r="V90" i="1"/>
  <c r="B90" i="4" s="1"/>
  <c r="E88" i="4" l="1"/>
  <c r="F87" i="4" s="1"/>
  <c r="G86" i="4" s="1"/>
  <c r="V91" i="1"/>
  <c r="B91" i="4" s="1"/>
  <c r="P92" i="1"/>
  <c r="S91" i="1"/>
  <c r="B91" i="3" s="1"/>
  <c r="T90" i="1"/>
  <c r="C90" i="3" s="1"/>
  <c r="Q91" i="1"/>
  <c r="W90" i="1"/>
  <c r="C90" i="4" s="1"/>
  <c r="D90" i="4" s="1"/>
  <c r="E87" i="3"/>
  <c r="F86" i="3" s="1"/>
  <c r="G85" i="3" s="1"/>
  <c r="D89" i="3"/>
  <c r="E89" i="4" l="1"/>
  <c r="F88" i="4" s="1"/>
  <c r="G87" i="4" s="1"/>
  <c r="T91" i="1"/>
  <c r="C91" i="3" s="1"/>
  <c r="W91" i="1"/>
  <c r="C91" i="4" s="1"/>
  <c r="D91" i="4" s="1"/>
  <c r="Q92" i="1"/>
  <c r="S92" i="1"/>
  <c r="B92" i="3" s="1"/>
  <c r="P93" i="1"/>
  <c r="V92" i="1"/>
  <c r="B92" i="4" s="1"/>
  <c r="E88" i="3"/>
  <c r="F87" i="3" s="1"/>
  <c r="G86" i="3" s="1"/>
  <c r="D90" i="3"/>
  <c r="E90" i="4" l="1"/>
  <c r="F89" i="4" s="1"/>
  <c r="G88" i="4" s="1"/>
  <c r="V93" i="1"/>
  <c r="B93" i="4" s="1"/>
  <c r="S93" i="1"/>
  <c r="B93" i="3" s="1"/>
  <c r="P94" i="1"/>
  <c r="E89" i="3"/>
  <c r="F88" i="3" s="1"/>
  <c r="G87" i="3" s="1"/>
  <c r="D91" i="3"/>
  <c r="Q93" i="1"/>
  <c r="W92" i="1"/>
  <c r="C92" i="4" s="1"/>
  <c r="D92" i="4" s="1"/>
  <c r="T92" i="1"/>
  <c r="C92" i="3" s="1"/>
  <c r="E91" i="4" l="1"/>
  <c r="F90" i="4" s="1"/>
  <c r="G89" i="4" s="1"/>
  <c r="D92" i="3"/>
  <c r="E90" i="3"/>
  <c r="F89" i="3" s="1"/>
  <c r="G88" i="3" s="1"/>
  <c r="Q94" i="1"/>
  <c r="T93" i="1"/>
  <c r="C93" i="3" s="1"/>
  <c r="W93" i="1"/>
  <c r="C93" i="4" s="1"/>
  <c r="D93" i="4" s="1"/>
  <c r="S94" i="1"/>
  <c r="B94" i="3" s="1"/>
  <c r="V94" i="1"/>
  <c r="B94" i="4" s="1"/>
  <c r="P95" i="1"/>
  <c r="E92" i="4" l="1"/>
  <c r="F91" i="4" s="1"/>
  <c r="G90" i="4" s="1"/>
  <c r="D93" i="3"/>
  <c r="E91" i="3"/>
  <c r="F90" i="3" s="1"/>
  <c r="G89" i="3" s="1"/>
  <c r="V95" i="1"/>
  <c r="B95" i="4" s="1"/>
  <c r="S95" i="1"/>
  <c r="B95" i="3" s="1"/>
  <c r="P96" i="1"/>
  <c r="W94" i="1"/>
  <c r="C94" i="4" s="1"/>
  <c r="D94" i="4" s="1"/>
  <c r="Q95" i="1"/>
  <c r="T94" i="1"/>
  <c r="C94" i="3" s="1"/>
  <c r="E93" i="4" l="1"/>
  <c r="F92" i="4" s="1"/>
  <c r="G91" i="4" s="1"/>
  <c r="P97" i="1"/>
  <c r="V96" i="1"/>
  <c r="B96" i="4" s="1"/>
  <c r="S96" i="1"/>
  <c r="B96" i="3" s="1"/>
  <c r="D94" i="3"/>
  <c r="E92" i="3"/>
  <c r="F91" i="3" s="1"/>
  <c r="G90" i="3" s="1"/>
  <c r="T95" i="1"/>
  <c r="C95" i="3" s="1"/>
  <c r="W95" i="1"/>
  <c r="C95" i="4" s="1"/>
  <c r="D95" i="4" s="1"/>
  <c r="Q96" i="1"/>
  <c r="E94" i="4" l="1"/>
  <c r="F93" i="4" s="1"/>
  <c r="G92" i="4" s="1"/>
  <c r="P98" i="1"/>
  <c r="S97" i="1"/>
  <c r="B97" i="3" s="1"/>
  <c r="V97" i="1"/>
  <c r="B97" i="4" s="1"/>
  <c r="Q97" i="1"/>
  <c r="W96" i="1"/>
  <c r="C96" i="4" s="1"/>
  <c r="D96" i="4" s="1"/>
  <c r="T96" i="1"/>
  <c r="C96" i="3" s="1"/>
  <c r="D95" i="3"/>
  <c r="E93" i="3"/>
  <c r="F92" i="3" s="1"/>
  <c r="G91" i="3" s="1"/>
  <c r="E95" i="4" l="1"/>
  <c r="F94" i="4" s="1"/>
  <c r="G93" i="4" s="1"/>
  <c r="V98" i="1"/>
  <c r="B98" i="4" s="1"/>
  <c r="P99" i="1"/>
  <c r="S98" i="1"/>
  <c r="B98" i="3" s="1"/>
  <c r="T97" i="1"/>
  <c r="C97" i="3" s="1"/>
  <c r="Q98" i="1"/>
  <c r="W97" i="1"/>
  <c r="C97" i="4" s="1"/>
  <c r="D97" i="4" s="1"/>
  <c r="D96" i="3"/>
  <c r="E94" i="3"/>
  <c r="F93" i="3" s="1"/>
  <c r="G92" i="3" s="1"/>
  <c r="E96" i="4" l="1"/>
  <c r="F95" i="4" s="1"/>
  <c r="G94" i="4" s="1"/>
  <c r="Q99" i="1"/>
  <c r="T98" i="1"/>
  <c r="C98" i="3" s="1"/>
  <c r="W98" i="1"/>
  <c r="C98" i="4" s="1"/>
  <c r="D98" i="4" s="1"/>
  <c r="V99" i="1"/>
  <c r="B99" i="4" s="1"/>
  <c r="S99" i="1"/>
  <c r="B99" i="3" s="1"/>
  <c r="P100" i="1"/>
  <c r="D97" i="3"/>
  <c r="E95" i="3"/>
  <c r="F94" i="3" s="1"/>
  <c r="G93" i="3" s="1"/>
  <c r="E97" i="4" l="1"/>
  <c r="F96" i="4" s="1"/>
  <c r="G95" i="4" s="1"/>
  <c r="V100" i="1"/>
  <c r="B100" i="4" s="1"/>
  <c r="P101" i="1"/>
  <c r="S100" i="1"/>
  <c r="B100" i="3" s="1"/>
  <c r="W99" i="1"/>
  <c r="C99" i="4" s="1"/>
  <c r="D99" i="4" s="1"/>
  <c r="Q100" i="1"/>
  <c r="T99" i="1"/>
  <c r="C99" i="3" s="1"/>
  <c r="D98" i="3"/>
  <c r="E96" i="3"/>
  <c r="F95" i="3" s="1"/>
  <c r="G94" i="3" s="1"/>
  <c r="E98" i="4" l="1"/>
  <c r="F97" i="4" s="1"/>
  <c r="G96" i="4" s="1"/>
  <c r="V101" i="1"/>
  <c r="B101" i="4" s="1"/>
  <c r="S101" i="1"/>
  <c r="B101" i="3" s="1"/>
  <c r="P102" i="1"/>
  <c r="W100" i="1"/>
  <c r="C100" i="4" s="1"/>
  <c r="D100" i="4" s="1"/>
  <c r="Q101" i="1"/>
  <c r="T100" i="1"/>
  <c r="C100" i="3" s="1"/>
  <c r="D99" i="3"/>
  <c r="E97" i="3"/>
  <c r="F96" i="3" s="1"/>
  <c r="G95" i="3" s="1"/>
  <c r="E99" i="4" l="1"/>
  <c r="F98" i="4" s="1"/>
  <c r="G97" i="4" s="1"/>
  <c r="T101" i="1"/>
  <c r="C101" i="3" s="1"/>
  <c r="W101" i="1"/>
  <c r="C101" i="4" s="1"/>
  <c r="D101" i="4" s="1"/>
  <c r="Q102" i="1"/>
  <c r="D100" i="3"/>
  <c r="E98" i="3"/>
  <c r="F97" i="3" s="1"/>
  <c r="G96" i="3" s="1"/>
  <c r="V102" i="1"/>
  <c r="B102" i="4" s="1"/>
  <c r="P103" i="1"/>
  <c r="S102" i="1"/>
  <c r="B102" i="3" s="1"/>
  <c r="E100" i="4" l="1"/>
  <c r="F99" i="4" s="1"/>
  <c r="G98" i="4" s="1"/>
  <c r="D101" i="3"/>
  <c r="E99" i="3"/>
  <c r="F98" i="3" s="1"/>
  <c r="G97" i="3" s="1"/>
  <c r="P104" i="1"/>
  <c r="S103" i="1"/>
  <c r="B103" i="3" s="1"/>
  <c r="V103" i="1"/>
  <c r="B103" i="4" s="1"/>
  <c r="Q103" i="1"/>
  <c r="W102" i="1"/>
  <c r="C102" i="4" s="1"/>
  <c r="D102" i="4" s="1"/>
  <c r="T102" i="1"/>
  <c r="C102" i="3" s="1"/>
  <c r="E101" i="4" l="1"/>
  <c r="F100" i="4" s="1"/>
  <c r="G99" i="4" s="1"/>
  <c r="D102" i="3"/>
  <c r="E100" i="3"/>
  <c r="F99" i="3" s="1"/>
  <c r="G98" i="3" s="1"/>
  <c r="W103" i="1"/>
  <c r="C103" i="4" s="1"/>
  <c r="D103" i="4" s="1"/>
  <c r="Q104" i="1"/>
  <c r="T103" i="1"/>
  <c r="C103" i="3" s="1"/>
  <c r="V104" i="1"/>
  <c r="B104" i="4" s="1"/>
  <c r="P105" i="1"/>
  <c r="S104" i="1"/>
  <c r="B104" i="3" s="1"/>
  <c r="E102" i="4" l="1"/>
  <c r="F101" i="4" s="1"/>
  <c r="G100" i="4" s="1"/>
  <c r="D103" i="3"/>
  <c r="E101" i="3"/>
  <c r="F100" i="3" s="1"/>
  <c r="G99" i="3" s="1"/>
  <c r="T104" i="1"/>
  <c r="C104" i="3" s="1"/>
  <c r="W104" i="1"/>
  <c r="C104" i="4" s="1"/>
  <c r="D104" i="4" s="1"/>
  <c r="Q105" i="1"/>
  <c r="P106" i="1"/>
  <c r="S105" i="1"/>
  <c r="B105" i="3" s="1"/>
  <c r="V105" i="1"/>
  <c r="B105" i="4" s="1"/>
  <c r="E103" i="4" l="1"/>
  <c r="F102" i="4" s="1"/>
  <c r="G101" i="4" s="1"/>
  <c r="D104" i="3"/>
  <c r="E102" i="3"/>
  <c r="F101" i="3" s="1"/>
  <c r="G100" i="3" s="1"/>
  <c r="S106" i="1"/>
  <c r="B106" i="3" s="1"/>
  <c r="V106" i="1"/>
  <c r="B106" i="4" s="1"/>
  <c r="P107" i="1"/>
  <c r="T105" i="1"/>
  <c r="C105" i="3" s="1"/>
  <c r="Q106" i="1"/>
  <c r="W105" i="1"/>
  <c r="C105" i="4" s="1"/>
  <c r="D105" i="4" s="1"/>
  <c r="E104" i="4" l="1"/>
  <c r="F103" i="4" s="1"/>
  <c r="G102" i="4" s="1"/>
  <c r="S107" i="1"/>
  <c r="B107" i="3" s="1"/>
  <c r="P108" i="1"/>
  <c r="V107" i="1"/>
  <c r="B107" i="4" s="1"/>
  <c r="D105" i="3"/>
  <c r="E103" i="3"/>
  <c r="F102" i="3" s="1"/>
  <c r="G101" i="3" s="1"/>
  <c r="T106" i="1"/>
  <c r="C106" i="3" s="1"/>
  <c r="W106" i="1"/>
  <c r="C106" i="4" s="1"/>
  <c r="D106" i="4" s="1"/>
  <c r="Q107" i="1"/>
  <c r="E105" i="4" l="1"/>
  <c r="F104" i="4" s="1"/>
  <c r="G103" i="4" s="1"/>
  <c r="V108" i="1"/>
  <c r="B108" i="4" s="1"/>
  <c r="S108" i="1"/>
  <c r="B108" i="3" s="1"/>
  <c r="P109" i="1"/>
  <c r="W107" i="1"/>
  <c r="C107" i="4" s="1"/>
  <c r="D107" i="4" s="1"/>
  <c r="Q108" i="1"/>
  <c r="T107" i="1"/>
  <c r="C107" i="3" s="1"/>
  <c r="D106" i="3"/>
  <c r="E104" i="3"/>
  <c r="F103" i="3" s="1"/>
  <c r="G102" i="3" s="1"/>
  <c r="E106" i="4" l="1"/>
  <c r="F105" i="4" s="1"/>
  <c r="G104" i="4" s="1"/>
  <c r="Q109" i="1"/>
  <c r="T108" i="1"/>
  <c r="C108" i="3" s="1"/>
  <c r="W108" i="1"/>
  <c r="C108" i="4" s="1"/>
  <c r="D108" i="4" s="1"/>
  <c r="D107" i="3"/>
  <c r="E105" i="3"/>
  <c r="F104" i="3" s="1"/>
  <c r="G103" i="3" s="1"/>
  <c r="S109" i="1"/>
  <c r="B109" i="3" s="1"/>
  <c r="V109" i="1"/>
  <c r="B109" i="4" s="1"/>
  <c r="P110" i="1"/>
  <c r="E107" i="4" l="1"/>
  <c r="F106" i="4" s="1"/>
  <c r="G105" i="4" s="1"/>
  <c r="T109" i="1"/>
  <c r="C109" i="3" s="1"/>
  <c r="Q110" i="1"/>
  <c r="W109" i="1"/>
  <c r="C109" i="4" s="1"/>
  <c r="D109" i="4" s="1"/>
  <c r="V110" i="1"/>
  <c r="B110" i="4" s="1"/>
  <c r="P111" i="1"/>
  <c r="S110" i="1"/>
  <c r="B110" i="3" s="1"/>
  <c r="D108" i="3"/>
  <c r="E106" i="3"/>
  <c r="F105" i="3" s="1"/>
  <c r="G104" i="3" s="1"/>
  <c r="E108" i="4" l="1"/>
  <c r="F107" i="4" s="1"/>
  <c r="G106" i="4" s="1"/>
  <c r="Q111" i="1"/>
  <c r="T110" i="1"/>
  <c r="C110" i="3" s="1"/>
  <c r="W110" i="1"/>
  <c r="C110" i="4" s="1"/>
  <c r="D110" i="4" s="1"/>
  <c r="S111" i="1"/>
  <c r="B111" i="3" s="1"/>
  <c r="V111" i="1"/>
  <c r="B111" i="4" s="1"/>
  <c r="P112" i="1"/>
  <c r="D109" i="3"/>
  <c r="E107" i="3"/>
  <c r="F106" i="3" s="1"/>
  <c r="G105" i="3" s="1"/>
  <c r="E109" i="4" l="1"/>
  <c r="F108" i="4" s="1"/>
  <c r="G107" i="4" s="1"/>
  <c r="W111" i="1"/>
  <c r="C111" i="4" s="1"/>
  <c r="D111" i="4" s="1"/>
  <c r="Q112" i="1"/>
  <c r="T111" i="1"/>
  <c r="C111" i="3" s="1"/>
  <c r="V112" i="1"/>
  <c r="B112" i="4" s="1"/>
  <c r="S112" i="1"/>
  <c r="B112" i="3" s="1"/>
  <c r="P113" i="1"/>
  <c r="D110" i="3"/>
  <c r="E108" i="3"/>
  <c r="F107" i="3" s="1"/>
  <c r="G106" i="3" s="1"/>
  <c r="E110" i="4" l="1"/>
  <c r="F109" i="4" s="1"/>
  <c r="G108" i="4" s="1"/>
  <c r="V113" i="1"/>
  <c r="B113" i="4" s="1"/>
  <c r="P114" i="1"/>
  <c r="S113" i="1"/>
  <c r="B113" i="3" s="1"/>
  <c r="W112" i="1"/>
  <c r="C112" i="4" s="1"/>
  <c r="D112" i="4" s="1"/>
  <c r="Q113" i="1"/>
  <c r="T112" i="1"/>
  <c r="C112" i="3" s="1"/>
  <c r="D111" i="3"/>
  <c r="E109" i="3"/>
  <c r="F108" i="3" s="1"/>
  <c r="G107" i="3" s="1"/>
  <c r="E111" i="4" l="1"/>
  <c r="F110" i="4" s="1"/>
  <c r="G109" i="4" s="1"/>
  <c r="T113" i="1"/>
  <c r="C113" i="3" s="1"/>
  <c r="W113" i="1"/>
  <c r="C113" i="4" s="1"/>
  <c r="D113" i="4" s="1"/>
  <c r="Q114" i="1"/>
  <c r="S114" i="1"/>
  <c r="B114" i="3" s="1"/>
  <c r="V114" i="1"/>
  <c r="B114" i="4" s="1"/>
  <c r="P115" i="1"/>
  <c r="D112" i="3"/>
  <c r="E110" i="3"/>
  <c r="F109" i="3" s="1"/>
  <c r="G108" i="3" s="1"/>
  <c r="E112" i="4" l="1"/>
  <c r="F111" i="4" s="1"/>
  <c r="G110" i="4" s="1"/>
  <c r="P116" i="1"/>
  <c r="V115" i="1"/>
  <c r="B115" i="4" s="1"/>
  <c r="S115" i="1"/>
  <c r="B115" i="3" s="1"/>
  <c r="D113" i="3"/>
  <c r="E111" i="3"/>
  <c r="F110" i="3" s="1"/>
  <c r="G109" i="3" s="1"/>
  <c r="Q115" i="1"/>
  <c r="T114" i="1"/>
  <c r="C114" i="3" s="1"/>
  <c r="W114" i="1"/>
  <c r="C114" i="4" s="1"/>
  <c r="D114" i="4" s="1"/>
  <c r="E113" i="4" l="1"/>
  <c r="F112" i="4" s="1"/>
  <c r="G111" i="4" s="1"/>
  <c r="Q116" i="1"/>
  <c r="W115" i="1"/>
  <c r="C115" i="4" s="1"/>
  <c r="D115" i="4" s="1"/>
  <c r="T115" i="1"/>
  <c r="C115" i="3" s="1"/>
  <c r="P117" i="1"/>
  <c r="S116" i="1"/>
  <c r="B116" i="3" s="1"/>
  <c r="V116" i="1"/>
  <c r="B116" i="4" s="1"/>
  <c r="D114" i="3"/>
  <c r="E112" i="3"/>
  <c r="F111" i="3" s="1"/>
  <c r="G110" i="3" s="1"/>
  <c r="E114" i="4" l="1"/>
  <c r="F113" i="4" s="1"/>
  <c r="G112" i="4" s="1"/>
  <c r="T116" i="1"/>
  <c r="C116" i="3" s="1"/>
  <c r="Q117" i="1"/>
  <c r="W116" i="1"/>
  <c r="C116" i="4" s="1"/>
  <c r="D116" i="4" s="1"/>
  <c r="S117" i="1"/>
  <c r="B117" i="3" s="1"/>
  <c r="V117" i="1"/>
  <c r="B117" i="4" s="1"/>
  <c r="P118" i="1"/>
  <c r="D115" i="3"/>
  <c r="E113" i="3"/>
  <c r="F112" i="3" s="1"/>
  <c r="G111" i="3" s="1"/>
  <c r="E115" i="4" l="1"/>
  <c r="F114" i="4" s="1"/>
  <c r="G113" i="4" s="1"/>
  <c r="S118" i="1"/>
  <c r="B118" i="3" s="1"/>
  <c r="V118" i="1"/>
  <c r="B118" i="4" s="1"/>
  <c r="P119" i="1"/>
  <c r="W117" i="1"/>
  <c r="C117" i="4" s="1"/>
  <c r="D117" i="4" s="1"/>
  <c r="Q118" i="1"/>
  <c r="T117" i="1"/>
  <c r="C117" i="3" s="1"/>
  <c r="D116" i="3"/>
  <c r="E114" i="3"/>
  <c r="F113" i="3" s="1"/>
  <c r="G112" i="3" s="1"/>
  <c r="E116" i="4" l="1"/>
  <c r="F115" i="4" s="1"/>
  <c r="G114" i="4" s="1"/>
  <c r="T118" i="1"/>
  <c r="C118" i="3" s="1"/>
  <c r="W118" i="1"/>
  <c r="C118" i="4" s="1"/>
  <c r="D118" i="4" s="1"/>
  <c r="Q119" i="1"/>
  <c r="D117" i="3"/>
  <c r="E115" i="3"/>
  <c r="F114" i="3" s="1"/>
  <c r="G113" i="3" s="1"/>
  <c r="S119" i="1"/>
  <c r="B119" i="3" s="1"/>
  <c r="V119" i="1"/>
  <c r="B119" i="4" s="1"/>
  <c r="P120" i="1"/>
  <c r="E117" i="4" l="1"/>
  <c r="F116" i="4" s="1"/>
  <c r="G115" i="4" s="1"/>
  <c r="V120" i="1"/>
  <c r="B120" i="4" s="1"/>
  <c r="P121" i="1"/>
  <c r="S120" i="1"/>
  <c r="B120" i="3" s="1"/>
  <c r="D118" i="3"/>
  <c r="E116" i="3"/>
  <c r="F115" i="3" s="1"/>
  <c r="G114" i="3" s="1"/>
  <c r="W119" i="1"/>
  <c r="C119" i="4" s="1"/>
  <c r="D119" i="4" s="1"/>
  <c r="T119" i="1"/>
  <c r="C119" i="3" s="1"/>
  <c r="Q120" i="1"/>
  <c r="E118" i="4" l="1"/>
  <c r="F117" i="4" s="1"/>
  <c r="G116" i="4" s="1"/>
  <c r="P122" i="1"/>
  <c r="S121" i="1"/>
  <c r="B121" i="3" s="1"/>
  <c r="V121" i="1"/>
  <c r="B121" i="4" s="1"/>
  <c r="W120" i="1"/>
  <c r="C120" i="4" s="1"/>
  <c r="D120" i="4" s="1"/>
  <c r="Q121" i="1"/>
  <c r="T120" i="1"/>
  <c r="C120" i="3" s="1"/>
  <c r="D119" i="3"/>
  <c r="E117" i="3"/>
  <c r="F116" i="3" s="1"/>
  <c r="G115" i="3" s="1"/>
  <c r="E119" i="4" l="1"/>
  <c r="F118" i="4" s="1"/>
  <c r="G117" i="4" s="1"/>
  <c r="T121" i="1"/>
  <c r="C121" i="3" s="1"/>
  <c r="Q122" i="1"/>
  <c r="W121" i="1"/>
  <c r="C121" i="4" s="1"/>
  <c r="D121" i="4" s="1"/>
  <c r="S122" i="1"/>
  <c r="B122" i="3" s="1"/>
  <c r="V122" i="1"/>
  <c r="B122" i="4" s="1"/>
  <c r="P123" i="1"/>
  <c r="D120" i="3"/>
  <c r="E118" i="3"/>
  <c r="F117" i="3" s="1"/>
  <c r="G116" i="3" s="1"/>
  <c r="E120" i="4" l="1"/>
  <c r="F119" i="4" s="1"/>
  <c r="G118" i="4" s="1"/>
  <c r="Q123" i="1"/>
  <c r="W122" i="1"/>
  <c r="C122" i="4" s="1"/>
  <c r="D122" i="4" s="1"/>
  <c r="T122" i="1"/>
  <c r="C122" i="3" s="1"/>
  <c r="S123" i="1"/>
  <c r="B123" i="3" s="1"/>
  <c r="V123" i="1"/>
  <c r="B123" i="4" s="1"/>
  <c r="P124" i="1"/>
  <c r="D121" i="3"/>
  <c r="E119" i="3"/>
  <c r="F118" i="3" s="1"/>
  <c r="G117" i="3" s="1"/>
  <c r="E121" i="4" l="1"/>
  <c r="F120" i="4" s="1"/>
  <c r="G119" i="4" s="1"/>
  <c r="W123" i="1"/>
  <c r="C123" i="4" s="1"/>
  <c r="D123" i="4" s="1"/>
  <c r="T123" i="1"/>
  <c r="C123" i="3" s="1"/>
  <c r="Q124" i="1"/>
  <c r="V124" i="1"/>
  <c r="B124" i="4" s="1"/>
  <c r="S124" i="1"/>
  <c r="B124" i="3" s="1"/>
  <c r="P125" i="1"/>
  <c r="D122" i="3"/>
  <c r="E120" i="3"/>
  <c r="F119" i="3" s="1"/>
  <c r="G118" i="3" s="1"/>
  <c r="E122" i="4" l="1"/>
  <c r="F121" i="4" s="1"/>
  <c r="G120" i="4" s="1"/>
  <c r="V125" i="1"/>
  <c r="B125" i="4" s="1"/>
  <c r="S125" i="1"/>
  <c r="B125" i="3" s="1"/>
  <c r="P126" i="1"/>
  <c r="D123" i="3"/>
  <c r="E121" i="3"/>
  <c r="F120" i="3" s="1"/>
  <c r="G119" i="3" s="1"/>
  <c r="W124" i="1"/>
  <c r="C124" i="4" s="1"/>
  <c r="D124" i="4" s="1"/>
  <c r="Q125" i="1"/>
  <c r="T124" i="1"/>
  <c r="C124" i="3" s="1"/>
  <c r="E123" i="4" l="1"/>
  <c r="F122" i="4" s="1"/>
  <c r="G121" i="4" s="1"/>
  <c r="D124" i="3"/>
  <c r="E122" i="3"/>
  <c r="F121" i="3" s="1"/>
  <c r="G120" i="3" s="1"/>
  <c r="T125" i="1"/>
  <c r="C125" i="3" s="1"/>
  <c r="W125" i="1"/>
  <c r="C125" i="4" s="1"/>
  <c r="D125" i="4" s="1"/>
  <c r="Q126" i="1"/>
  <c r="V126" i="1"/>
  <c r="B126" i="4" s="1"/>
  <c r="S126" i="1"/>
  <c r="B126" i="3" s="1"/>
  <c r="P127" i="1"/>
  <c r="E124" i="4" l="1"/>
  <c r="F123" i="4" s="1"/>
  <c r="G122" i="4" s="1"/>
  <c r="Q127" i="1"/>
  <c r="W126" i="1"/>
  <c r="C126" i="4" s="1"/>
  <c r="D126" i="4" s="1"/>
  <c r="T126" i="1"/>
  <c r="C126" i="3" s="1"/>
  <c r="D125" i="3"/>
  <c r="E123" i="3"/>
  <c r="F122" i="3" s="1"/>
  <c r="G121" i="3" s="1"/>
  <c r="S127" i="1"/>
  <c r="B127" i="3" s="1"/>
  <c r="P128" i="1"/>
  <c r="V127" i="1"/>
  <c r="B127" i="4" s="1"/>
  <c r="E125" i="4" l="1"/>
  <c r="F124" i="4" s="1"/>
  <c r="G123" i="4" s="1"/>
  <c r="Q128" i="1"/>
  <c r="T127" i="1"/>
  <c r="C127" i="3" s="1"/>
  <c r="W127" i="1"/>
  <c r="C127" i="4" s="1"/>
  <c r="D127" i="4" s="1"/>
  <c r="D126" i="3"/>
  <c r="E124" i="3"/>
  <c r="F123" i="3" s="1"/>
  <c r="G122" i="3" s="1"/>
  <c r="S128" i="1"/>
  <c r="B128" i="3" s="1"/>
  <c r="V128" i="1"/>
  <c r="B128" i="4" s="1"/>
  <c r="P129" i="1"/>
  <c r="E126" i="4" l="1"/>
  <c r="F125" i="4" s="1"/>
  <c r="G124" i="4" s="1"/>
  <c r="W128" i="1"/>
  <c r="C128" i="4" s="1"/>
  <c r="D128" i="4" s="1"/>
  <c r="Q129" i="1"/>
  <c r="T128" i="1"/>
  <c r="C128" i="3" s="1"/>
  <c r="V129" i="1"/>
  <c r="B129" i="4" s="1"/>
  <c r="S129" i="1"/>
  <c r="B129" i="3" s="1"/>
  <c r="P130" i="1"/>
  <c r="D127" i="3"/>
  <c r="E125" i="3"/>
  <c r="E127" i="4" l="1"/>
  <c r="T129" i="1"/>
  <c r="C129" i="3" s="1"/>
  <c r="W129" i="1"/>
  <c r="C129" i="4" s="1"/>
  <c r="D129" i="4" s="1"/>
  <c r="Q130" i="1"/>
  <c r="F124" i="3"/>
  <c r="G123" i="3" s="1"/>
  <c r="V130" i="1"/>
  <c r="B130" i="4" s="1"/>
  <c r="P131" i="1"/>
  <c r="S130" i="1"/>
  <c r="B130" i="3" s="1"/>
  <c r="D128" i="3"/>
  <c r="E126" i="3"/>
  <c r="F125" i="3" s="1"/>
  <c r="G124" i="3" s="1"/>
  <c r="E128" i="4" l="1"/>
  <c r="F127" i="4" s="1"/>
  <c r="G126" i="4" s="1"/>
  <c r="E127" i="3"/>
  <c r="F126" i="3" s="1"/>
  <c r="G125" i="3" s="1"/>
  <c r="D129" i="3"/>
  <c r="V131" i="1"/>
  <c r="B131" i="4" s="1"/>
  <c r="S131" i="1"/>
  <c r="B131" i="3" s="1"/>
  <c r="T130" i="1"/>
  <c r="C130" i="3" s="1"/>
  <c r="Q131" i="1"/>
  <c r="W130" i="1"/>
  <c r="C130" i="4" s="1"/>
  <c r="D130" i="4" s="1"/>
  <c r="F126" i="4"/>
  <c r="G125" i="4" s="1"/>
  <c r="E129" i="4" l="1"/>
  <c r="W131" i="1"/>
  <c r="C131" i="4" s="1"/>
  <c r="D131" i="4" s="1"/>
  <c r="E130" i="4" s="1"/>
  <c r="T131" i="1"/>
  <c r="C131" i="3" s="1"/>
  <c r="E128" i="3"/>
  <c r="F127" i="3" s="1"/>
  <c r="G126" i="3" s="1"/>
  <c r="D130" i="3"/>
  <c r="F130" i="4" l="1"/>
  <c r="F129" i="4"/>
  <c r="G128" i="4" s="1"/>
  <c r="E129" i="3"/>
  <c r="D131" i="3"/>
  <c r="E130" i="3" s="1"/>
  <c r="F128" i="4"/>
  <c r="G127" i="4" s="1"/>
  <c r="C8" i="1"/>
  <c r="F129" i="3" l="1"/>
  <c r="F130" i="3"/>
  <c r="F128" i="3"/>
  <c r="G127" i="3" s="1"/>
  <c r="C7" i="1"/>
  <c r="G130" i="4"/>
  <c r="G129" i="4"/>
  <c r="G129" i="3" l="1"/>
  <c r="G130" i="3"/>
  <c r="G128" i="3"/>
</calcChain>
</file>

<file path=xl/sharedStrings.xml><?xml version="1.0" encoding="utf-8"?>
<sst xmlns="http://schemas.openxmlformats.org/spreadsheetml/2006/main" count="39" uniqueCount="21">
  <si>
    <t>dt</t>
  </si>
  <si>
    <t>x</t>
  </si>
  <si>
    <t>y</t>
  </si>
  <si>
    <t>position</t>
  </si>
  <si>
    <t>velocity</t>
  </si>
  <si>
    <t>acceleration</t>
  </si>
  <si>
    <t>jerk</t>
  </si>
  <si>
    <t>heading</t>
  </si>
  <si>
    <t>x-orig</t>
  </si>
  <si>
    <t>y-orig</t>
  </si>
  <si>
    <t>x-center</t>
  </si>
  <si>
    <t>y-center</t>
  </si>
  <si>
    <t>Filename</t>
  </si>
  <si>
    <t>Wheelbase</t>
  </si>
  <si>
    <t>x-left</t>
  </si>
  <si>
    <t>y-left</t>
  </si>
  <si>
    <t>x-right</t>
  </si>
  <si>
    <t>y-right</t>
  </si>
  <si>
    <t>Max Left Velocity</t>
  </si>
  <si>
    <t>Max Right Velocity</t>
  </si>
  <si>
    <t>C:\Users\Team294\Documents\GitHub\FRC2019\src\main\deploy\paths\Left2CargoF.pf1.csv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</si>
</sst>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16" fillId="0" borderId="0" xfId="0" applyFont="1"/>
    <xf numFmtId="0" fontId="9" fillId="5" borderId="4" xfId="9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Path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Right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Main!$V$2:$V$131</c:f>
              <c:numCache>
                <c:formatCode>General</c:formatCode>
                <c:ptCount val="130"/>
                <c:pt idx="0">
                  <c:v>26.001519607691204</c:v>
                </c:pt>
                <c:pt idx="1">
                  <c:v>26.003040607683399</c:v>
                </c:pt>
                <c:pt idx="2">
                  <c:v>26.008930607660549</c:v>
                </c:pt>
                <c:pt idx="3">
                  <c:v>26.02214260764012</c:v>
                </c:pt>
                <c:pt idx="4">
                  <c:v>26.045658607640537</c:v>
                </c:pt>
                <c:pt idx="5">
                  <c:v>26.08238099980769</c:v>
                </c:pt>
                <c:pt idx="6">
                  <c:v>26.135272998610443</c:v>
                </c:pt>
                <c:pt idx="7">
                  <c:v>26.207251993287439</c:v>
                </c:pt>
                <c:pt idx="8">
                  <c:v>26.301269975883049</c:v>
                </c:pt>
                <c:pt idx="9">
                  <c:v>26.420219928288603</c:v>
                </c:pt>
                <c:pt idx="10">
                  <c:v>26.567069813980723</c:v>
                </c:pt>
                <c:pt idx="11">
                  <c:v>26.744696563575307</c:v>
                </c:pt>
                <c:pt idx="12">
                  <c:v>26.956038054145516</c:v>
                </c:pt>
                <c:pt idx="13">
                  <c:v>27.204001077689782</c:v>
                </c:pt>
                <c:pt idx="14">
                  <c:v>27.491479295336525</c:v>
                </c:pt>
                <c:pt idx="15">
                  <c:v>27.821333170741614</c:v>
                </c:pt>
                <c:pt idx="16">
                  <c:v>28.196469883826762</c:v>
                </c:pt>
                <c:pt idx="17">
                  <c:v>28.619736204633814</c:v>
                </c:pt>
                <c:pt idx="18">
                  <c:v>29.092502381290053</c:v>
                </c:pt>
                <c:pt idx="19">
                  <c:v>29.614674023280529</c:v>
                </c:pt>
                <c:pt idx="20">
                  <c:v>30.186144897555231</c:v>
                </c:pt>
                <c:pt idx="21">
                  <c:v>30.806788707576331</c:v>
                </c:pt>
                <c:pt idx="22">
                  <c:v>31.476481834796488</c:v>
                </c:pt>
                <c:pt idx="23">
                  <c:v>32.195081028272959</c:v>
                </c:pt>
                <c:pt idx="24">
                  <c:v>32.962412021616458</c:v>
                </c:pt>
                <c:pt idx="25">
                  <c:v>33.778329125308211</c:v>
                </c:pt>
                <c:pt idx="26">
                  <c:v>34.642635699516489</c:v>
                </c:pt>
                <c:pt idx="27">
                  <c:v>35.555150579303046</c:v>
                </c:pt>
                <c:pt idx="28">
                  <c:v>36.515639348975654</c:v>
                </c:pt>
                <c:pt idx="29">
                  <c:v>37.523896580391295</c:v>
                </c:pt>
                <c:pt idx="30">
                  <c:v>38.578233098017527</c:v>
                </c:pt>
                <c:pt idx="31">
                  <c:v>39.675509182690902</c:v>
                </c:pt>
                <c:pt idx="32">
                  <c:v>40.812609586586795</c:v>
                </c:pt>
                <c:pt idx="33">
                  <c:v>41.986385130811307</c:v>
                </c:pt>
                <c:pt idx="34">
                  <c:v>43.193752602419472</c:v>
                </c:pt>
                <c:pt idx="35">
                  <c:v>44.431579514164561</c:v>
                </c:pt>
                <c:pt idx="36">
                  <c:v>45.696786158530792</c:v>
                </c:pt>
                <c:pt idx="37">
                  <c:v>46.986287742014952</c:v>
                </c:pt>
                <c:pt idx="38">
                  <c:v>48.296992576054272</c:v>
                </c:pt>
                <c:pt idx="39">
                  <c:v>49.625848580410604</c:v>
                </c:pt>
                <c:pt idx="40">
                  <c:v>50.969845104361688</c:v>
                </c:pt>
                <c:pt idx="41">
                  <c:v>52.325937667701531</c:v>
                </c:pt>
                <c:pt idx="42">
                  <c:v>53.691121977100593</c:v>
                </c:pt>
                <c:pt idx="43">
                  <c:v>55.062454449658766</c:v>
                </c:pt>
                <c:pt idx="44">
                  <c:v>56.43694662248442</c:v>
                </c:pt>
                <c:pt idx="45">
                  <c:v>57.811715920724815</c:v>
                </c:pt>
                <c:pt idx="46">
                  <c:v>59.183838758019277</c:v>
                </c:pt>
                <c:pt idx="47">
                  <c:v>60.55185905387782</c:v>
                </c:pt>
                <c:pt idx="48">
                  <c:v>61.915676195327748</c:v>
                </c:pt>
                <c:pt idx="49">
                  <c:v>63.275214840024155</c:v>
                </c:pt>
                <c:pt idx="50">
                  <c:v>64.630395194741524</c:v>
                </c:pt>
                <c:pt idx="51">
                  <c:v>65.981118034687967</c:v>
                </c:pt>
                <c:pt idx="52">
                  <c:v>67.327324650679927</c:v>
                </c:pt>
                <c:pt idx="53">
                  <c:v>68.668907445100089</c:v>
                </c:pt>
                <c:pt idx="54">
                  <c:v>69.850553454935337</c:v>
                </c:pt>
                <c:pt idx="55">
                  <c:v>70.960079705293495</c:v>
                </c:pt>
                <c:pt idx="56">
                  <c:v>72.076868767142372</c:v>
                </c:pt>
                <c:pt idx="57">
                  <c:v>73.201376250280831</c:v>
                </c:pt>
                <c:pt idx="58">
                  <c:v>74.334011882200713</c:v>
                </c:pt>
                <c:pt idx="59">
                  <c:v>75.475070227894832</c:v>
                </c:pt>
                <c:pt idx="60">
                  <c:v>76.624821183776376</c:v>
                </c:pt>
                <c:pt idx="61">
                  <c:v>77.783468213441623</c:v>
                </c:pt>
                <c:pt idx="62">
                  <c:v>78.951221229634172</c:v>
                </c:pt>
                <c:pt idx="63">
                  <c:v>80.128267547864453</c:v>
                </c:pt>
                <c:pt idx="64">
                  <c:v>81.314770256544747</c:v>
                </c:pt>
                <c:pt idx="65">
                  <c:v>82.510936980258265</c:v>
                </c:pt>
                <c:pt idx="66">
                  <c:v>83.717003048936704</c:v>
                </c:pt>
                <c:pt idx="67">
                  <c:v>84.933213794308102</c:v>
                </c:pt>
                <c:pt idx="68">
                  <c:v>86.159862530265556</c:v>
                </c:pt>
                <c:pt idx="69">
                  <c:v>87.397286510535082</c:v>
                </c:pt>
                <c:pt idx="70">
                  <c:v>88.645876647463695</c:v>
                </c:pt>
                <c:pt idx="71">
                  <c:v>89.906073322925522</c:v>
                </c:pt>
                <c:pt idx="72">
                  <c:v>91.178390116761378</c:v>
                </c:pt>
                <c:pt idx="73">
                  <c:v>92.463354362488957</c:v>
                </c:pt>
                <c:pt idx="74">
                  <c:v>93.761585454474726</c:v>
                </c:pt>
                <c:pt idx="75">
                  <c:v>95.073722609515713</c:v>
                </c:pt>
                <c:pt idx="76">
                  <c:v>96.40050346840458</c:v>
                </c:pt>
                <c:pt idx="77">
                  <c:v>97.742664664929748</c:v>
                </c:pt>
                <c:pt idx="78">
                  <c:v>99.101005515090733</c:v>
                </c:pt>
                <c:pt idx="79">
                  <c:v>100.47638505420977</c:v>
                </c:pt>
                <c:pt idx="80">
                  <c:v>101.86966279765937</c:v>
                </c:pt>
                <c:pt idx="81">
                  <c:v>103.28177676849111</c:v>
                </c:pt>
                <c:pt idx="82">
                  <c:v>104.7136145711368</c:v>
                </c:pt>
                <c:pt idx="83">
                  <c:v>106.16594844000862</c:v>
                </c:pt>
                <c:pt idx="84">
                  <c:v>107.63802415060141</c:v>
                </c:pt>
                <c:pt idx="85">
                  <c:v>109.12757471340194</c:v>
                </c:pt>
                <c:pt idx="86">
                  <c:v>110.63217019208481</c:v>
                </c:pt>
                <c:pt idx="87">
                  <c:v>112.14906098820137</c:v>
                </c:pt>
                <c:pt idx="88">
                  <c:v>113.67523435485431</c:v>
                </c:pt>
                <c:pt idx="89">
                  <c:v>115.20734505274108</c:v>
                </c:pt>
                <c:pt idx="90">
                  <c:v>116.74174126181271</c:v>
                </c:pt>
                <c:pt idx="91">
                  <c:v>118.27441018477231</c:v>
                </c:pt>
                <c:pt idx="92">
                  <c:v>119.80097641688238</c:v>
                </c:pt>
                <c:pt idx="93">
                  <c:v>121.31675425280328</c:v>
                </c:pt>
                <c:pt idx="94">
                  <c:v>122.81674539751573</c:v>
                </c:pt>
                <c:pt idx="95">
                  <c:v>124.29563438676428</c:v>
                </c:pt>
                <c:pt idx="96">
                  <c:v>125.74789269002869</c:v>
                </c:pt>
                <c:pt idx="97">
                  <c:v>127.16780243064845</c:v>
                </c:pt>
                <c:pt idx="98">
                  <c:v>128.54947238527163</c:v>
                </c:pt>
                <c:pt idx="99">
                  <c:v>129.88697531436134</c:v>
                </c:pt>
                <c:pt idx="100">
                  <c:v>131.17458523922917</c:v>
                </c:pt>
                <c:pt idx="101">
                  <c:v>132.40848841249979</c:v>
                </c:pt>
                <c:pt idx="102">
                  <c:v>133.58669311172807</c:v>
                </c:pt>
                <c:pt idx="103">
                  <c:v>134.70741620334735</c:v>
                </c:pt>
                <c:pt idx="104">
                  <c:v>135.76905159931636</c:v>
                </c:pt>
                <c:pt idx="105">
                  <c:v>136.77023893318372</c:v>
                </c:pt>
                <c:pt idx="106">
                  <c:v>137.70975438577307</c:v>
                </c:pt>
                <c:pt idx="107">
                  <c:v>138.58662817583144</c:v>
                </c:pt>
                <c:pt idx="108">
                  <c:v>139.39999030345075</c:v>
                </c:pt>
                <c:pt idx="109">
                  <c:v>140.14916810213526</c:v>
                </c:pt>
                <c:pt idx="110">
                  <c:v>140.83363860695539</c:v>
                </c:pt>
                <c:pt idx="111">
                  <c:v>141.45293923407581</c:v>
                </c:pt>
                <c:pt idx="112">
                  <c:v>142.00698916272594</c:v>
                </c:pt>
                <c:pt idx="113">
                  <c:v>142.49771184285785</c:v>
                </c:pt>
                <c:pt idx="114">
                  <c:v>142.9288436134232</c:v>
                </c:pt>
                <c:pt idx="115">
                  <c:v>143.30416071687605</c:v>
                </c:pt>
                <c:pt idx="116">
                  <c:v>143.62745278434602</c:v>
                </c:pt>
                <c:pt idx="117">
                  <c:v>143.90258287867815</c:v>
                </c:pt>
                <c:pt idx="118">
                  <c:v>144.13339180364017</c:v>
                </c:pt>
                <c:pt idx="119">
                  <c:v>144.32377042004157</c:v>
                </c:pt>
                <c:pt idx="120">
                  <c:v>144.47761176509295</c:v>
                </c:pt>
                <c:pt idx="121">
                  <c:v>144.59879577373655</c:v>
                </c:pt>
                <c:pt idx="122">
                  <c:v>144.69120445101731</c:v>
                </c:pt>
                <c:pt idx="123">
                  <c:v>144.75876636339623</c:v>
                </c:pt>
                <c:pt idx="124">
                  <c:v>144.80534734486579</c:v>
                </c:pt>
                <c:pt idx="125">
                  <c:v>144.83487434214601</c:v>
                </c:pt>
                <c:pt idx="126">
                  <c:v>144.85121734192066</c:v>
                </c:pt>
                <c:pt idx="127">
                  <c:v>144.8583013419136</c:v>
                </c:pt>
                <c:pt idx="128">
                  <c:v>144.86001594960734</c:v>
                </c:pt>
                <c:pt idx="129">
                  <c:v>144.86001594960734</c:v>
                </c:pt>
              </c:numCache>
            </c:numRef>
          </c:xVal>
          <c:yVal>
            <c:numRef>
              <c:f>Main!$W$2:$W$131</c:f>
              <c:numCache>
                <c:formatCode>General</c:formatCode>
                <c:ptCount val="130"/>
                <c:pt idx="0">
                  <c:v>134.99999992302642</c:v>
                </c:pt>
                <c:pt idx="1">
                  <c:v>134.99999976893818</c:v>
                </c:pt>
                <c:pt idx="2">
                  <c:v>134.9999992500764</c:v>
                </c:pt>
                <c:pt idx="3">
                  <c:v>134.99999851382597</c:v>
                </c:pt>
                <c:pt idx="4">
                  <c:v>134.99999850577382</c:v>
                </c:pt>
                <c:pt idx="5">
                  <c:v>135.00000172106863</c:v>
                </c:pt>
                <c:pt idx="6">
                  <c:v>135.00001299846804</c:v>
                </c:pt>
                <c:pt idx="7">
                  <c:v>135.00004071375287</c:v>
                </c:pt>
                <c:pt idx="8">
                  <c:v>135.00009796760685</c:v>
                </c:pt>
                <c:pt idx="9">
                  <c:v>135.00020444228016</c:v>
                </c:pt>
                <c:pt idx="10">
                  <c:v>135.00038775921269</c:v>
                </c:pt>
                <c:pt idx="11">
                  <c:v>135.00068613816669</c:v>
                </c:pt>
                <c:pt idx="12">
                  <c:v>135.00115033193569</c:v>
                </c:pt>
                <c:pt idx="13">
                  <c:v>135.00184641997447</c:v>
                </c:pt>
                <c:pt idx="14">
                  <c:v>135.00285899797134</c:v>
                </c:pt>
                <c:pt idx="15">
                  <c:v>135.00429506741435</c:v>
                </c:pt>
                <c:pt idx="16">
                  <c:v>135.00628713539749</c:v>
                </c:pt>
                <c:pt idx="17">
                  <c:v>135.00899824796036</c:v>
                </c:pt>
                <c:pt idx="18">
                  <c:v>135.0126142194616</c:v>
                </c:pt>
                <c:pt idx="19">
                  <c:v>135.01733786584407</c:v>
                </c:pt>
                <c:pt idx="20">
                  <c:v>135.02339838875309</c:v>
                </c:pt>
                <c:pt idx="21">
                  <c:v>135.03105312340509</c:v>
                </c:pt>
                <c:pt idx="22">
                  <c:v>135.04058917161296</c:v>
                </c:pt>
                <c:pt idx="23">
                  <c:v>135.0523252651721</c:v>
                </c:pt>
                <c:pt idx="24">
                  <c:v>135.06661460393508</c:v>
                </c:pt>
                <c:pt idx="25">
                  <c:v>135.08384605373652</c:v>
                </c:pt>
                <c:pt idx="26">
                  <c:v>135.10444691179401</c:v>
                </c:pt>
                <c:pt idx="27">
                  <c:v>135.12888522084617</c:v>
                </c:pt>
                <c:pt idx="28">
                  <c:v>135.15767289161818</c:v>
                </c:pt>
                <c:pt idx="29">
                  <c:v>135.19136799464854</c:v>
                </c:pt>
                <c:pt idx="30">
                  <c:v>135.23051795114023</c:v>
                </c:pt>
                <c:pt idx="31">
                  <c:v>135.27563313641068</c:v>
                </c:pt>
                <c:pt idx="32">
                  <c:v>135.32722495156349</c:v>
                </c:pt>
                <c:pt idx="33">
                  <c:v>135.38580131344713</c:v>
                </c:pt>
                <c:pt idx="34">
                  <c:v>135.45186055848308</c:v>
                </c:pt>
                <c:pt idx="35">
                  <c:v>135.52588499790932</c:v>
                </c:pt>
                <c:pt idx="36">
                  <c:v>135.60833622963244</c:v>
                </c:pt>
                <c:pt idx="37">
                  <c:v>135.69964729946122</c:v>
                </c:pt>
                <c:pt idx="38">
                  <c:v>135.80021738413836</c:v>
                </c:pt>
                <c:pt idx="39">
                  <c:v>135.9104061709026</c:v>
                </c:pt>
                <c:pt idx="40">
                  <c:v>136.03052577010837</c:v>
                </c:pt>
                <c:pt idx="41">
                  <c:v>136.16083268215803</c:v>
                </c:pt>
                <c:pt idx="42">
                  <c:v>136.30152508651065</c:v>
                </c:pt>
                <c:pt idx="43">
                  <c:v>136.45273580510766</c:v>
                </c:pt>
                <c:pt idx="44">
                  <c:v>136.61452206439876</c:v>
                </c:pt>
                <c:pt idx="45">
                  <c:v>136.78686801039942</c:v>
                </c:pt>
                <c:pt idx="46">
                  <c:v>136.96966986930661</c:v>
                </c:pt>
                <c:pt idx="47">
                  <c:v>137.16294806603742</c:v>
                </c:pt>
                <c:pt idx="48">
                  <c:v>137.36689047061449</c:v>
                </c:pt>
                <c:pt idx="49">
                  <c:v>137.58168279635171</c:v>
                </c:pt>
                <c:pt idx="50">
                  <c:v>137.80750487284035</c:v>
                </c:pt>
                <c:pt idx="51">
                  <c:v>138.04452953062713</c:v>
                </c:pt>
                <c:pt idx="52">
                  <c:v>138.29292837604274</c:v>
                </c:pt>
                <c:pt idx="53">
                  <c:v>138.55286108418665</c:v>
                </c:pt>
                <c:pt idx="54">
                  <c:v>138.80804625319919</c:v>
                </c:pt>
                <c:pt idx="55">
                  <c:v>139.07720533397065</c:v>
                </c:pt>
                <c:pt idx="56">
                  <c:v>139.37502244677594</c:v>
                </c:pt>
                <c:pt idx="57">
                  <c:v>139.7010880607917</c:v>
                </c:pt>
                <c:pt idx="58">
                  <c:v>140.0549202095994</c:v>
                </c:pt>
                <c:pt idx="59">
                  <c:v>140.43594255034697</c:v>
                </c:pt>
                <c:pt idx="60">
                  <c:v>140.84350181795801</c:v>
                </c:pt>
                <c:pt idx="61">
                  <c:v>141.27685408253973</c:v>
                </c:pt>
                <c:pt idx="62">
                  <c:v>141.73518461574199</c:v>
                </c:pt>
                <c:pt idx="63">
                  <c:v>142.21759929835858</c:v>
                </c:pt>
                <c:pt idx="64">
                  <c:v>142.72312610872294</c:v>
                </c:pt>
                <c:pt idx="65">
                  <c:v>143.25074116020613</c:v>
                </c:pt>
                <c:pt idx="66">
                  <c:v>143.79936507928306</c:v>
                </c:pt>
                <c:pt idx="67">
                  <c:v>144.36785993405977</c:v>
                </c:pt>
                <c:pt idx="68">
                  <c:v>144.9550475054838</c:v>
                </c:pt>
                <c:pt idx="69">
                  <c:v>145.55971043107732</c:v>
                </c:pt>
                <c:pt idx="70">
                  <c:v>146.18059858164352</c:v>
                </c:pt>
                <c:pt idx="71">
                  <c:v>146.81642910248382</c:v>
                </c:pt>
                <c:pt idx="72">
                  <c:v>147.46589714936152</c:v>
                </c:pt>
                <c:pt idx="73">
                  <c:v>148.12765112368521</c:v>
                </c:pt>
                <c:pt idx="74">
                  <c:v>148.80032741694845</c:v>
                </c:pt>
                <c:pt idx="75">
                  <c:v>149.48251665874437</c:v>
                </c:pt>
                <c:pt idx="76">
                  <c:v>150.1727969414554</c:v>
                </c:pt>
                <c:pt idx="77">
                  <c:v>150.86968617827745</c:v>
                </c:pt>
                <c:pt idx="78">
                  <c:v>151.57167026667813</c:v>
                </c:pt>
                <c:pt idx="79">
                  <c:v>152.27719611094778</c:v>
                </c:pt>
                <c:pt idx="80">
                  <c:v>152.98464201908152</c:v>
                </c:pt>
                <c:pt idx="81">
                  <c:v>153.69234818807001</c:v>
                </c:pt>
                <c:pt idx="82">
                  <c:v>154.39855676340747</c:v>
                </c:pt>
                <c:pt idx="83">
                  <c:v>155.10137508556281</c:v>
                </c:pt>
                <c:pt idx="84">
                  <c:v>155.79812902930362</c:v>
                </c:pt>
                <c:pt idx="85">
                  <c:v>156.48547360615737</c:v>
                </c:pt>
                <c:pt idx="86">
                  <c:v>157.16009917245447</c:v>
                </c:pt>
                <c:pt idx="87">
                  <c:v>157.81871848404029</c:v>
                </c:pt>
                <c:pt idx="88">
                  <c:v>158.45814532324565</c:v>
                </c:pt>
                <c:pt idx="89">
                  <c:v>159.0753226723966</c:v>
                </c:pt>
                <c:pt idx="90">
                  <c:v>159.66738722052457</c:v>
                </c:pt>
                <c:pt idx="91">
                  <c:v>160.23170355742221</c:v>
                </c:pt>
                <c:pt idx="92">
                  <c:v>160.76591853995399</c:v>
                </c:pt>
                <c:pt idx="93">
                  <c:v>161.26802349571003</c:v>
                </c:pt>
                <c:pt idx="94">
                  <c:v>161.73639016362824</c:v>
                </c:pt>
                <c:pt idx="95">
                  <c:v>162.16980196289654</c:v>
                </c:pt>
                <c:pt idx="96">
                  <c:v>162.56750111886802</c:v>
                </c:pt>
                <c:pt idx="97">
                  <c:v>162.92919767317559</c:v>
                </c:pt>
                <c:pt idx="98">
                  <c:v>163.25506898728162</c:v>
                </c:pt>
                <c:pt idx="99">
                  <c:v>163.54576780705148</c:v>
                </c:pt>
                <c:pt idx="100">
                  <c:v>163.80242877827166</c:v>
                </c:pt>
                <c:pt idx="101">
                  <c:v>164.02688939072732</c:v>
                </c:pt>
                <c:pt idx="102">
                  <c:v>164.22146886603375</c:v>
                </c:pt>
                <c:pt idx="103">
                  <c:v>164.38856896535665</c:v>
                </c:pt>
                <c:pt idx="104">
                  <c:v>164.53062940223401</c:v>
                </c:pt>
                <c:pt idx="105">
                  <c:v>164.65009743186963</c:v>
                </c:pt>
                <c:pt idx="106">
                  <c:v>164.74938232320841</c:v>
                </c:pt>
                <c:pt idx="107">
                  <c:v>164.83083600309368</c:v>
                </c:pt>
                <c:pt idx="108">
                  <c:v>164.89671368139852</c:v>
                </c:pt>
                <c:pt idx="109">
                  <c:v>164.94916033943713</c:v>
                </c:pt>
                <c:pt idx="110">
                  <c:v>164.99018690828262</c:v>
                </c:pt>
                <c:pt idx="111">
                  <c:v>165.0216525927099</c:v>
                </c:pt>
                <c:pt idx="112">
                  <c:v>165.04526607145161</c:v>
                </c:pt>
                <c:pt idx="113">
                  <c:v>165.06261425114033</c:v>
                </c:pt>
                <c:pt idx="114">
                  <c:v>165.07509826285553</c:v>
                </c:pt>
                <c:pt idx="115">
                  <c:v>165.0838726165413</c:v>
                </c:pt>
                <c:pt idx="116">
                  <c:v>165.08987473705383</c:v>
                </c:pt>
                <c:pt idx="117">
                  <c:v>165.09385361539697</c:v>
                </c:pt>
                <c:pt idx="118">
                  <c:v>165.09639533226553</c:v>
                </c:pt>
                <c:pt idx="119">
                  <c:v>165.09794885369072</c:v>
                </c:pt>
                <c:pt idx="120">
                  <c:v>165.09884859872352</c:v>
                </c:pt>
                <c:pt idx="121">
                  <c:v>165.09933588085721</c:v>
                </c:pt>
                <c:pt idx="122">
                  <c:v>165.09957813758936</c:v>
                </c:pt>
                <c:pt idx="123">
                  <c:v>165.09968568273638</c:v>
                </c:pt>
                <c:pt idx="124">
                  <c:v>165.09972648254148</c:v>
                </c:pt>
                <c:pt idx="125">
                  <c:v>165.09973875464453</c:v>
                </c:pt>
                <c:pt idx="126">
                  <c:v>165.09974129129904</c:v>
                </c:pt>
                <c:pt idx="127">
                  <c:v>165.09974154951902</c:v>
                </c:pt>
                <c:pt idx="128">
                  <c:v>165.09974155379572</c:v>
                </c:pt>
                <c:pt idx="129">
                  <c:v>165.09974155379572</c:v>
                </c:pt>
              </c:numCache>
            </c:numRef>
          </c:yVal>
          <c:smooth val="0"/>
        </c:ser>
        <c:ser>
          <c:idx val="2"/>
          <c:order val="1"/>
          <c:tx>
            <c:v>Left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Main!$S$2:$S$131</c:f>
              <c:numCache>
                <c:formatCode>General</c:formatCode>
                <c:ptCount val="130"/>
                <c:pt idx="0">
                  <c:v>25.998480392308796</c:v>
                </c:pt>
                <c:pt idx="1">
                  <c:v>26.000001392300991</c:v>
                </c:pt>
                <c:pt idx="2">
                  <c:v>26.006281392276389</c:v>
                </c:pt>
                <c:pt idx="3">
                  <c:v>26.020453392253408</c:v>
                </c:pt>
                <c:pt idx="4">
                  <c:v>26.045619392252949</c:v>
                </c:pt>
                <c:pt idx="5">
                  <c:v>26.084960999804508</c:v>
                </c:pt>
                <c:pt idx="6">
                  <c:v>26.141602998563474</c:v>
                </c:pt>
                <c:pt idx="7">
                  <c:v>26.218711993008721</c:v>
                </c:pt>
                <c:pt idx="8">
                  <c:v>26.319419974775823</c:v>
                </c:pt>
                <c:pt idx="9">
                  <c:v>26.446919924763755</c:v>
                </c:pt>
                <c:pt idx="10">
                  <c:v>26.604329804401402</c:v>
                </c:pt>
                <c:pt idx="11">
                  <c:v>26.794856540204226</c:v>
                </c:pt>
                <c:pt idx="12">
                  <c:v>27.021648001843765</c:v>
                </c:pt>
                <c:pt idx="13">
                  <c:v>27.287880968399556</c:v>
                </c:pt>
                <c:pt idx="14">
                  <c:v>27.596749079303649</c:v>
                </c:pt>
                <c:pt idx="15">
                  <c:v>27.951472762574287</c:v>
                </c:pt>
                <c:pt idx="16">
                  <c:v>28.355229142808515</c:v>
                </c:pt>
                <c:pt idx="17">
                  <c:v>28.811254903722311</c:v>
                </c:pt>
                <c:pt idx="18">
                  <c:v>29.321220165557158</c:v>
                </c:pt>
                <c:pt idx="19">
                  <c:v>29.88521035638167</c:v>
                </c:pt>
                <c:pt idx="20">
                  <c:v>30.50332898789825</c:v>
                </c:pt>
                <c:pt idx="21">
                  <c:v>31.175689410118018</c:v>
                </c:pt>
                <c:pt idx="22">
                  <c:v>31.902407524549069</c:v>
                </c:pt>
                <c:pt idx="23">
                  <c:v>32.683609434549545</c:v>
                </c:pt>
                <c:pt idx="24">
                  <c:v>33.519450008491816</c:v>
                </c:pt>
                <c:pt idx="25">
                  <c:v>34.410052429961105</c:v>
                </c:pt>
                <c:pt idx="26">
                  <c:v>35.355578575051553</c:v>
                </c:pt>
                <c:pt idx="27">
                  <c:v>36.356175369103042</c:v>
                </c:pt>
                <c:pt idx="28">
                  <c:v>37.412025914886584</c:v>
                </c:pt>
                <c:pt idx="29">
                  <c:v>38.523281644257992</c:v>
                </c:pt>
                <c:pt idx="30">
                  <c:v>39.688519480585306</c:v>
                </c:pt>
                <c:pt idx="31">
                  <c:v>40.904714984687487</c:v>
                </c:pt>
                <c:pt idx="32">
                  <c:v>42.16880723229432</c:v>
                </c:pt>
                <c:pt idx="33">
                  <c:v>43.477760165996465</c:v>
                </c:pt>
                <c:pt idx="34">
                  <c:v>44.828452572028517</c:v>
                </c:pt>
                <c:pt idx="35">
                  <c:v>46.21780243635903</c:v>
                </c:pt>
                <c:pt idx="36">
                  <c:v>47.642659143779035</c:v>
                </c:pt>
                <c:pt idx="37">
                  <c:v>49.099865344356104</c:v>
                </c:pt>
                <c:pt idx="38">
                  <c:v>50.586254995352895</c:v>
                </c:pt>
                <c:pt idx="39">
                  <c:v>52.098610018457165</c:v>
                </c:pt>
                <c:pt idx="40">
                  <c:v>53.633662212113002</c:v>
                </c:pt>
                <c:pt idx="41">
                  <c:v>55.188167484684676</c:v>
                </c:pt>
                <c:pt idx="42">
                  <c:v>56.758830422675999</c:v>
                </c:pt>
                <c:pt idx="43">
                  <c:v>58.342295273952338</c:v>
                </c:pt>
                <c:pt idx="44">
                  <c:v>59.935249442412506</c:v>
                </c:pt>
                <c:pt idx="45">
                  <c:v>61.534276301045374</c:v>
                </c:pt>
                <c:pt idx="46">
                  <c:v>63.136006802017604</c:v>
                </c:pt>
                <c:pt idx="47">
                  <c:v>64.738627796347231</c:v>
                </c:pt>
                <c:pt idx="48">
                  <c:v>66.341977413815997</c:v>
                </c:pt>
                <c:pt idx="49">
                  <c:v>67.945857565926687</c:v>
                </c:pt>
                <c:pt idx="50">
                  <c:v>69.550063737882752</c:v>
                </c:pt>
                <c:pt idx="51">
                  <c:v>71.154399541102947</c:v>
                </c:pt>
                <c:pt idx="52">
                  <c:v>72.758618399868865</c:v>
                </c:pt>
                <c:pt idx="53">
                  <c:v>74.362511580481552</c:v>
                </c:pt>
                <c:pt idx="54">
                  <c:v>76.114736746565356</c:v>
                </c:pt>
                <c:pt idx="55">
                  <c:v>77.923281470627202</c:v>
                </c:pt>
                <c:pt idx="56">
                  <c:v>79.707817320228514</c:v>
                </c:pt>
                <c:pt idx="57">
                  <c:v>81.467189736481416</c:v>
                </c:pt>
                <c:pt idx="58">
                  <c:v>83.200535200531107</c:v>
                </c:pt>
                <c:pt idx="59">
                  <c:v>84.907339723995079</c:v>
                </c:pt>
                <c:pt idx="60">
                  <c:v>86.587338319437222</c:v>
                </c:pt>
                <c:pt idx="61">
                  <c:v>88.240540570442008</c:v>
                </c:pt>
                <c:pt idx="62">
                  <c:v>89.867143716689384</c:v>
                </c:pt>
                <c:pt idx="63">
                  <c:v>91.467543735545547</c:v>
                </c:pt>
                <c:pt idx="64">
                  <c:v>93.042317256029705</c:v>
                </c:pt>
                <c:pt idx="65">
                  <c:v>94.592137763940457</c:v>
                </c:pt>
                <c:pt idx="66">
                  <c:v>96.117775981377292</c:v>
                </c:pt>
                <c:pt idx="67">
                  <c:v>97.62009963467284</c:v>
                </c:pt>
                <c:pt idx="68">
                  <c:v>99.100021224722568</c:v>
                </c:pt>
                <c:pt idx="69">
                  <c:v>100.55848813929137</c:v>
                </c:pt>
                <c:pt idx="70">
                  <c:v>101.99646068691976</c:v>
                </c:pt>
                <c:pt idx="71">
                  <c:v>103.41490448852699</c:v>
                </c:pt>
                <c:pt idx="72">
                  <c:v>104.81475810129045</c:v>
                </c:pt>
                <c:pt idx="73">
                  <c:v>106.19697881252654</c:v>
                </c:pt>
                <c:pt idx="74">
                  <c:v>107.56245919871469</c:v>
                </c:pt>
                <c:pt idx="75">
                  <c:v>108.91208771911086</c:v>
                </c:pt>
                <c:pt idx="76">
                  <c:v>110.24666695731229</c:v>
                </c:pt>
                <c:pt idx="77">
                  <c:v>111.56700034840705</c:v>
                </c:pt>
                <c:pt idx="78">
                  <c:v>112.87382273138319</c:v>
                </c:pt>
                <c:pt idx="79">
                  <c:v>114.16779747009636</c:v>
                </c:pt>
                <c:pt idx="80">
                  <c:v>115.44956417235872</c:v>
                </c:pt>
                <c:pt idx="81">
                  <c:v>116.71965707794212</c:v>
                </c:pt>
                <c:pt idx="82">
                  <c:v>117.97861783414895</c:v>
                </c:pt>
                <c:pt idx="83">
                  <c:v>119.22671807850766</c:v>
                </c:pt>
                <c:pt idx="84">
                  <c:v>120.46292860493651</c:v>
                </c:pt>
                <c:pt idx="85">
                  <c:v>121.68516028644567</c:v>
                </c:pt>
                <c:pt idx="86">
                  <c:v>122.89127510443363</c:v>
                </c:pt>
                <c:pt idx="87">
                  <c:v>124.07921566308602</c:v>
                </c:pt>
                <c:pt idx="88">
                  <c:v>125.24691503377697</c:v>
                </c:pt>
                <c:pt idx="89">
                  <c:v>126.3923547954064</c:v>
                </c:pt>
                <c:pt idx="90">
                  <c:v>127.51352628591164</c:v>
                </c:pt>
                <c:pt idx="91">
                  <c:v>128.60847710670419</c:v>
                </c:pt>
                <c:pt idx="92">
                  <c:v>129.67532699072351</c:v>
                </c:pt>
                <c:pt idx="93">
                  <c:v>130.71222149839775</c:v>
                </c:pt>
                <c:pt idx="94">
                  <c:v>131.71736760489767</c:v>
                </c:pt>
                <c:pt idx="95">
                  <c:v>132.68906462307939</c:v>
                </c:pt>
                <c:pt idx="96">
                  <c:v>133.62563838102662</c:v>
                </c:pt>
                <c:pt idx="97">
                  <c:v>134.52546065572642</c:v>
                </c:pt>
                <c:pt idx="98">
                  <c:v>135.38698705868856</c:v>
                </c:pt>
                <c:pt idx="99">
                  <c:v>136.20865041198215</c:v>
                </c:pt>
                <c:pt idx="100">
                  <c:v>136.98905285233931</c:v>
                </c:pt>
                <c:pt idx="101">
                  <c:v>137.72792229612028</c:v>
                </c:pt>
                <c:pt idx="102">
                  <c:v>138.42590745603806</c:v>
                </c:pt>
                <c:pt idx="103">
                  <c:v>139.0835956856053</c:v>
                </c:pt>
                <c:pt idx="104">
                  <c:v>139.70153186964637</c:v>
                </c:pt>
                <c:pt idx="105">
                  <c:v>140.28016166669889</c:v>
                </c:pt>
                <c:pt idx="106">
                  <c:v>140.81992593090627</c:v>
                </c:pt>
                <c:pt idx="107">
                  <c:v>141.32113739209035</c:v>
                </c:pt>
                <c:pt idx="108">
                  <c:v>141.7841235828094</c:v>
                </c:pt>
                <c:pt idx="109">
                  <c:v>142.20911592620411</c:v>
                </c:pt>
                <c:pt idx="110">
                  <c:v>142.59629286550972</c:v>
                </c:pt>
                <c:pt idx="111">
                  <c:v>142.94584237558172</c:v>
                </c:pt>
                <c:pt idx="112">
                  <c:v>143.25801629654202</c:v>
                </c:pt>
                <c:pt idx="113">
                  <c:v>143.53415555352669</c:v>
                </c:pt>
                <c:pt idx="114">
                  <c:v>143.77650078382752</c:v>
                </c:pt>
                <c:pt idx="115">
                  <c:v>143.98729166693326</c:v>
                </c:pt>
                <c:pt idx="116">
                  <c:v>144.16877340557716</c:v>
                </c:pt>
                <c:pt idx="117">
                  <c:v>144.32313910287766</c:v>
                </c:pt>
                <c:pt idx="118">
                  <c:v>144.45261577922525</c:v>
                </c:pt>
                <c:pt idx="119">
                  <c:v>144.5593879976667</c:v>
                </c:pt>
                <c:pt idx="120">
                  <c:v>144.64564088654384</c:v>
                </c:pt>
                <c:pt idx="121">
                  <c:v>144.71357549370654</c:v>
                </c:pt>
                <c:pt idx="122">
                  <c:v>144.76539437539634</c:v>
                </c:pt>
                <c:pt idx="123">
                  <c:v>144.80325634708853</c:v>
                </c:pt>
                <c:pt idx="124">
                  <c:v>144.82937734229617</c:v>
                </c:pt>
                <c:pt idx="125">
                  <c:v>144.84591434189684</c:v>
                </c:pt>
                <c:pt idx="126">
                  <c:v>144.85508734190992</c:v>
                </c:pt>
                <c:pt idx="127">
                  <c:v>144.85905134191353</c:v>
                </c:pt>
                <c:pt idx="128">
                  <c:v>144.86000673421975</c:v>
                </c:pt>
                <c:pt idx="129">
                  <c:v>144.86000673421975</c:v>
                </c:pt>
              </c:numCache>
            </c:numRef>
          </c:xVal>
          <c:yVal>
            <c:numRef>
              <c:f>Main!$T$2:$T$131</c:f>
              <c:numCache>
                <c:formatCode>General</c:formatCode>
                <c:ptCount val="130"/>
                <c:pt idx="0">
                  <c:v>105.00000007697358</c:v>
                </c:pt>
                <c:pt idx="1">
                  <c:v>104.99999992288537</c:v>
                </c:pt>
                <c:pt idx="2">
                  <c:v>104.99999936704877</c:v>
                </c:pt>
                <c:pt idx="3">
                  <c:v>104.99999856138344</c:v>
                </c:pt>
                <c:pt idx="4">
                  <c:v>104.99999850579945</c:v>
                </c:pt>
                <c:pt idx="5">
                  <c:v>105.00000183200862</c:v>
                </c:pt>
                <c:pt idx="6">
                  <c:v>105.00001366628304</c:v>
                </c:pt>
                <c:pt idx="7">
                  <c:v>105.00004290261285</c:v>
                </c:pt>
                <c:pt idx="8">
                  <c:v>105.00010345798168</c:v>
                </c:pt>
                <c:pt idx="9">
                  <c:v>105.00021632377938</c:v>
                </c:pt>
                <c:pt idx="10">
                  <c:v>105.00041089766972</c:v>
                </c:pt>
                <c:pt idx="11">
                  <c:v>105.00072807191691</c:v>
                </c:pt>
                <c:pt idx="12">
                  <c:v>105.00122207644209</c:v>
                </c:pt>
                <c:pt idx="13">
                  <c:v>105.00196368413808</c:v>
                </c:pt>
                <c:pt idx="14">
                  <c:v>105.00304369399683</c:v>
                </c:pt>
                <c:pt idx="15">
                  <c:v>105.00457734063168</c:v>
                </c:pt>
                <c:pt idx="16">
                  <c:v>105.00670721337713</c:v>
                </c:pt>
                <c:pt idx="17">
                  <c:v>105.00960957772409</c:v>
                </c:pt>
                <c:pt idx="18">
                  <c:v>105.01348609587839</c:v>
                </c:pt>
                <c:pt idx="19">
                  <c:v>105.01855772243702</c:v>
                </c:pt>
                <c:pt idx="20">
                  <c:v>105.02507519806736</c:v>
                </c:pt>
                <c:pt idx="21">
                  <c:v>105.03332133795729</c:v>
                </c:pt>
                <c:pt idx="22">
                  <c:v>105.04361286887858</c:v>
                </c:pt>
                <c:pt idx="23">
                  <c:v>105.05630319563328</c:v>
                </c:pt>
                <c:pt idx="24">
                  <c:v>105.07178657173628</c:v>
                </c:pt>
                <c:pt idx="25">
                  <c:v>105.09049803011037</c:v>
                </c:pt>
                <c:pt idx="26">
                  <c:v>105.11291956728846</c:v>
                </c:pt>
                <c:pt idx="27">
                  <c:v>105.13958113945532</c:v>
                </c:pt>
                <c:pt idx="28">
                  <c:v>105.17106769655726</c:v>
                </c:pt>
                <c:pt idx="29">
                  <c:v>105.20801879056327</c:v>
                </c:pt>
                <c:pt idx="30">
                  <c:v>105.2510705888441</c:v>
                </c:pt>
                <c:pt idx="31">
                  <c:v>105.30082616294816</c:v>
                </c:pt>
                <c:pt idx="32">
                  <c:v>105.35789516349887</c:v>
                </c:pt>
                <c:pt idx="33">
                  <c:v>105.42289423645565</c:v>
                </c:pt>
                <c:pt idx="34">
                  <c:v>105.49643106716447</c:v>
                </c:pt>
                <c:pt idx="35">
                  <c:v>105.57910874950109</c:v>
                </c:pt>
                <c:pt idx="36">
                  <c:v>105.67150977248637</c:v>
                </c:pt>
                <c:pt idx="37">
                  <c:v>105.77419342288849</c:v>
                </c:pt>
                <c:pt idx="38">
                  <c:v>105.88769028301253</c:v>
                </c:pt>
                <c:pt idx="39">
                  <c:v>106.01248900481042</c:v>
                </c:pt>
                <c:pt idx="40">
                  <c:v>106.14902516494378</c:v>
                </c:pt>
                <c:pt idx="41">
                  <c:v>106.29768414629912</c:v>
                </c:pt>
                <c:pt idx="42">
                  <c:v>106.45878451375249</c:v>
                </c:pt>
                <c:pt idx="43">
                  <c:v>106.63256403888042</c:v>
                </c:pt>
                <c:pt idx="44">
                  <c:v>106.81918891673816</c:v>
                </c:pt>
                <c:pt idx="45">
                  <c:v>107.01872154114697</c:v>
                </c:pt>
                <c:pt idx="46">
                  <c:v>107.23113648663963</c:v>
                </c:pt>
                <c:pt idx="47">
                  <c:v>107.45653516415575</c:v>
                </c:pt>
                <c:pt idx="48">
                  <c:v>107.6952228814275</c:v>
                </c:pt>
                <c:pt idx="49">
                  <c:v>107.94749482828054</c:v>
                </c:pt>
                <c:pt idx="50">
                  <c:v>108.213639606106</c:v>
                </c:pt>
                <c:pt idx="51">
                  <c:v>108.49394309896074</c:v>
                </c:pt>
                <c:pt idx="52">
                  <c:v>108.78867362846401</c:v>
                </c:pt>
                <c:pt idx="53">
                  <c:v>109.09810133385822</c:v>
                </c:pt>
                <c:pt idx="54">
                  <c:v>109.46933449400868</c:v>
                </c:pt>
                <c:pt idx="55">
                  <c:v>109.89649558977058</c:v>
                </c:pt>
                <c:pt idx="56">
                  <c:v>110.36177333227391</c:v>
                </c:pt>
                <c:pt idx="57">
                  <c:v>110.86228906687823</c:v>
                </c:pt>
                <c:pt idx="58">
                  <c:v>111.39510924990354</c:v>
                </c:pt>
                <c:pt idx="59">
                  <c:v>111.95731385876603</c:v>
                </c:pt>
                <c:pt idx="60">
                  <c:v>112.54600630472108</c:v>
                </c:pt>
                <c:pt idx="61">
                  <c:v>113.15836127583938</c:v>
                </c:pt>
                <c:pt idx="62">
                  <c:v>113.79162299134266</c:v>
                </c:pt>
                <c:pt idx="63">
                  <c:v>114.44313592749418</c:v>
                </c:pt>
                <c:pt idx="64">
                  <c:v>115.11036381707831</c:v>
                </c:pt>
                <c:pt idx="65">
                  <c:v>115.79086884396334</c:v>
                </c:pt>
                <c:pt idx="66">
                  <c:v>116.48232221813045</c:v>
                </c:pt>
                <c:pt idx="67">
                  <c:v>117.18251594739019</c:v>
                </c:pt>
                <c:pt idx="68">
                  <c:v>117.88934424541188</c:v>
                </c:pt>
                <c:pt idx="69">
                  <c:v>118.60080148269398</c:v>
                </c:pt>
                <c:pt idx="70">
                  <c:v>119.31497173607336</c:v>
                </c:pt>
                <c:pt idx="71">
                  <c:v>120.03002433179324</c:v>
                </c:pt>
                <c:pt idx="72">
                  <c:v>120.74419308336844</c:v>
                </c:pt>
                <c:pt idx="73">
                  <c:v>121.45580155404849</c:v>
                </c:pt>
                <c:pt idx="74">
                  <c:v>122.16321263520928</c:v>
                </c:pt>
                <c:pt idx="75">
                  <c:v>122.86485990437285</c:v>
                </c:pt>
                <c:pt idx="76">
                  <c:v>123.55919597055258</c:v>
                </c:pt>
                <c:pt idx="77">
                  <c:v>124.24474030207824</c:v>
                </c:pt>
                <c:pt idx="78">
                  <c:v>124.92003793530679</c:v>
                </c:pt>
                <c:pt idx="79">
                  <c:v>125.58365333262577</c:v>
                </c:pt>
                <c:pt idx="80">
                  <c:v>126.23419756196196</c:v>
                </c:pt>
                <c:pt idx="81">
                  <c:v>126.87027942391857</c:v>
                </c:pt>
                <c:pt idx="82">
                  <c:v>127.49057117488232</c:v>
                </c:pt>
                <c:pt idx="83">
                  <c:v>128.09366699231541</c:v>
                </c:pt>
                <c:pt idx="84">
                  <c:v>128.67762339726985</c:v>
                </c:pt>
                <c:pt idx="85">
                  <c:v>129.24016126484469</c:v>
                </c:pt>
                <c:pt idx="86">
                  <c:v>129.7791870848701</c:v>
                </c:pt>
                <c:pt idx="87">
                  <c:v>130.29288680844274</c:v>
                </c:pt>
                <c:pt idx="88">
                  <c:v>130.77970233479257</c:v>
                </c:pt>
                <c:pt idx="89">
                  <c:v>131.23837677209204</c:v>
                </c:pt>
                <c:pt idx="90">
                  <c:v>131.66794709407566</c:v>
                </c:pt>
                <c:pt idx="91">
                  <c:v>132.06777164348247</c:v>
                </c:pt>
                <c:pt idx="92">
                  <c:v>132.43753699873491</c:v>
                </c:pt>
                <c:pt idx="93">
                  <c:v>132.77723208450206</c:v>
                </c:pt>
                <c:pt idx="94">
                  <c:v>133.08715065676768</c:v>
                </c:pt>
                <c:pt idx="95">
                  <c:v>133.36788659485006</c:v>
                </c:pt>
                <c:pt idx="96">
                  <c:v>133.62028842355031</c:v>
                </c:pt>
                <c:pt idx="97">
                  <c:v>133.84544163233826</c:v>
                </c:pt>
                <c:pt idx="98">
                  <c:v>134.04465315506849</c:v>
                </c:pt>
                <c:pt idx="99">
                  <c:v>134.21939019303099</c:v>
                </c:pt>
                <c:pt idx="100">
                  <c:v>134.37128937837596</c:v>
                </c:pt>
                <c:pt idx="101">
                  <c:v>134.50226198989822</c:v>
                </c:pt>
                <c:pt idx="102">
                  <c:v>134.61434126929069</c:v>
                </c:pt>
                <c:pt idx="103">
                  <c:v>134.70946767945068</c:v>
                </c:pt>
                <c:pt idx="104">
                  <c:v>134.78948620087965</c:v>
                </c:pt>
                <c:pt idx="105">
                  <c:v>134.85613088820926</c:v>
                </c:pt>
                <c:pt idx="106">
                  <c:v>134.91103731280538</c:v>
                </c:pt>
                <c:pt idx="107">
                  <c:v>134.95572162094953</c:v>
                </c:pt>
                <c:pt idx="108">
                  <c:v>134.99159859206549</c:v>
                </c:pt>
                <c:pt idx="109">
                  <c:v>135.01996698308164</c:v>
                </c:pt>
                <c:pt idx="110">
                  <c:v>135.04201417663171</c:v>
                </c:pt>
                <c:pt idx="111">
                  <c:v>135.05882161481193</c:v>
                </c:pt>
                <c:pt idx="112">
                  <c:v>135.07136190281759</c:v>
                </c:pt>
                <c:pt idx="113">
                  <c:v>135.08052318939789</c:v>
                </c:pt>
                <c:pt idx="114">
                  <c:v>135.08707603194705</c:v>
                </c:pt>
                <c:pt idx="115">
                  <c:v>135.09165142328729</c:v>
                </c:pt>
                <c:pt idx="116">
                  <c:v>135.09475893489315</c:v>
                </c:pt>
                <c:pt idx="117">
                  <c:v>135.09680155253105</c:v>
                </c:pt>
                <c:pt idx="118">
                  <c:v>135.09809377945405</c:v>
                </c:pt>
                <c:pt idx="119">
                  <c:v>135.0988741286744</c:v>
                </c:pt>
                <c:pt idx="120">
                  <c:v>135.09931916550835</c:v>
                </c:pt>
                <c:pt idx="121">
                  <c:v>135.09955545472934</c:v>
                </c:pt>
                <c:pt idx="122">
                  <c:v>135.09966987347761</c:v>
                </c:pt>
                <c:pt idx="123">
                  <c:v>135.09971867206531</c:v>
                </c:pt>
                <c:pt idx="124">
                  <c:v>135.09973610655595</c:v>
                </c:pt>
                <c:pt idx="125">
                  <c:v>135.09974078600453</c:v>
                </c:pt>
                <c:pt idx="126">
                  <c:v>135.09974154091401</c:v>
                </c:pt>
                <c:pt idx="127">
                  <c:v>135.09974155889404</c:v>
                </c:pt>
                <c:pt idx="128">
                  <c:v>135.09974155379714</c:v>
                </c:pt>
                <c:pt idx="129">
                  <c:v>135.09974155379714</c:v>
                </c:pt>
              </c:numCache>
            </c:numRef>
          </c:yVal>
          <c:smooth val="0"/>
        </c:ser>
        <c:ser>
          <c:idx val="1"/>
          <c:order val="2"/>
          <c:tx>
            <c:v>Original</c:v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Main!$L$2:$L$131</c:f>
              <c:numCache>
                <c:formatCode>General</c:formatCode>
                <c:ptCount val="130"/>
                <c:pt idx="0">
                  <c:v>26</c:v>
                </c:pt>
                <c:pt idx="1">
                  <c:v>26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26.037507000000002</c:v>
                </c:pt>
                <c:pt idx="6">
                  <c:v>26.092274</c:v>
                </c:pt>
                <c:pt idx="7">
                  <c:v>26.166817999999999</c:v>
                </c:pt>
                <c:pt idx="8">
                  <c:v>26.264181000000001</c:v>
                </c:pt>
                <c:pt idx="9">
                  <c:v>26.387405999999999</c:v>
                </c:pt>
                <c:pt idx="10">
                  <c:v>26.539535000000001</c:v>
                </c:pt>
                <c:pt idx="11">
                  <c:v>26.723611999999999</c:v>
                </c:pt>
                <c:pt idx="12">
                  <c:v>26.942678999999998</c:v>
                </c:pt>
                <c:pt idx="13">
                  <c:v>27.199777000000001</c:v>
                </c:pt>
                <c:pt idx="14">
                  <c:v>27.497949999999999</c:v>
                </c:pt>
                <c:pt idx="15">
                  <c:v>27.840240000000001</c:v>
                </c:pt>
                <c:pt idx="16">
                  <c:v>28.229687999999999</c:v>
                </c:pt>
                <c:pt idx="17">
                  <c:v>28.669335</c:v>
                </c:pt>
                <c:pt idx="18">
                  <c:v>29.160703000000002</c:v>
                </c:pt>
                <c:pt idx="19">
                  <c:v>29.703786999999998</c:v>
                </c:pt>
                <c:pt idx="20">
                  <c:v>30.298586</c:v>
                </c:pt>
                <c:pt idx="21">
                  <c:v>30.945095999999999</c:v>
                </c:pt>
                <c:pt idx="22">
                  <c:v>31.64331</c:v>
                </c:pt>
                <c:pt idx="23">
                  <c:v>32.393222999999999</c:v>
                </c:pt>
                <c:pt idx="24">
                  <c:v>33.194825000000002</c:v>
                </c:pt>
                <c:pt idx="25">
                  <c:v>34.048105999999997</c:v>
                </c:pt>
                <c:pt idx="26">
                  <c:v>34.953051000000002</c:v>
                </c:pt>
                <c:pt idx="27">
                  <c:v>35.909641999999998</c:v>
                </c:pt>
                <c:pt idx="28">
                  <c:v>36.917859</c:v>
                </c:pt>
                <c:pt idx="29">
                  <c:v>37.977674</c:v>
                </c:pt>
                <c:pt idx="30">
                  <c:v>39.087535000000003</c:v>
                </c:pt>
                <c:pt idx="31">
                  <c:v>40.244362000000002</c:v>
                </c:pt>
                <c:pt idx="32">
                  <c:v>41.445070999999999</c:v>
                </c:pt>
                <c:pt idx="33">
                  <c:v>42.686571000000001</c:v>
                </c:pt>
                <c:pt idx="34">
                  <c:v>43.965764</c:v>
                </c:pt>
                <c:pt idx="35">
                  <c:v>45.279544999999999</c:v>
                </c:pt>
                <c:pt idx="36">
                  <c:v>46.624805000000002</c:v>
                </c:pt>
                <c:pt idx="37">
                  <c:v>47.998424</c:v>
                </c:pt>
                <c:pt idx="38">
                  <c:v>49.397278999999997</c:v>
                </c:pt>
                <c:pt idx="39">
                  <c:v>50.818238000000001</c:v>
                </c:pt>
                <c:pt idx="40">
                  <c:v>52.258164999999998</c:v>
                </c:pt>
                <c:pt idx="41">
                  <c:v>53.713918</c:v>
                </c:pt>
                <c:pt idx="42">
                  <c:v>55.182352000000002</c:v>
                </c:pt>
                <c:pt idx="43">
                  <c:v>56.660317999999997</c:v>
                </c:pt>
                <c:pt idx="44">
                  <c:v>58.144669</c:v>
                </c:pt>
                <c:pt idx="45">
                  <c:v>59.632255000000001</c:v>
                </c:pt>
                <c:pt idx="46">
                  <c:v>61.119933000000003</c:v>
                </c:pt>
                <c:pt idx="47">
                  <c:v>62.606067000000003</c:v>
                </c:pt>
                <c:pt idx="48">
                  <c:v>64.090530000000001</c:v>
                </c:pt>
                <c:pt idx="49">
                  <c:v>65.573188000000002</c:v>
                </c:pt>
                <c:pt idx="50">
                  <c:v>67.053900999999996</c:v>
                </c:pt>
                <c:pt idx="51">
                  <c:v>68.532525000000007</c:v>
                </c:pt>
                <c:pt idx="52">
                  <c:v>70.008909000000003</c:v>
                </c:pt>
                <c:pt idx="53">
                  <c:v>71.482898000000006</c:v>
                </c:pt>
                <c:pt idx="54">
                  <c:v>72.876378000000003</c:v>
                </c:pt>
                <c:pt idx="55">
                  <c:v>74.339408000000006</c:v>
                </c:pt>
                <c:pt idx="56">
                  <c:v>75.794290000000004</c:v>
                </c:pt>
                <c:pt idx="57">
                  <c:v>77.240615000000005</c:v>
                </c:pt>
                <c:pt idx="58">
                  <c:v>78.678094000000002</c:v>
                </c:pt>
                <c:pt idx="59">
                  <c:v>80.106559000000004</c:v>
                </c:pt>
                <c:pt idx="60">
                  <c:v>81.525957000000005</c:v>
                </c:pt>
                <c:pt idx="61">
                  <c:v>82.936342999999994</c:v>
                </c:pt>
                <c:pt idx="62">
                  <c:v>84.337873999999999</c:v>
                </c:pt>
                <c:pt idx="63">
                  <c:v>85.730796999999995</c:v>
                </c:pt>
                <c:pt idx="64">
                  <c:v>87.115442999999999</c:v>
                </c:pt>
                <c:pt idx="65">
                  <c:v>88.492220000000003</c:v>
                </c:pt>
                <c:pt idx="66">
                  <c:v>89.861598000000001</c:v>
                </c:pt>
                <c:pt idx="67">
                  <c:v>91.224108999999999</c:v>
                </c:pt>
                <c:pt idx="68">
                  <c:v>92.580332999999996</c:v>
                </c:pt>
                <c:pt idx="69">
                  <c:v>93.930893999999995</c:v>
                </c:pt>
                <c:pt idx="70">
                  <c:v>95.276449</c:v>
                </c:pt>
                <c:pt idx="71">
                  <c:v>96.617690999999994</c:v>
                </c:pt>
                <c:pt idx="72">
                  <c:v>97.955331999999999</c:v>
                </c:pt>
                <c:pt idx="73">
                  <c:v>99.290109000000001</c:v>
                </c:pt>
                <c:pt idx="74">
                  <c:v>100.62277</c:v>
                </c:pt>
                <c:pt idx="75">
                  <c:v>101.954075</c:v>
                </c:pt>
                <c:pt idx="76">
                  <c:v>103.28479299999999</c:v>
                </c:pt>
                <c:pt idx="77">
                  <c:v>104.615692</c:v>
                </c:pt>
                <c:pt idx="78">
                  <c:v>105.947543</c:v>
                </c:pt>
                <c:pt idx="79">
                  <c:v>107.281109</c:v>
                </c:pt>
                <c:pt idx="80">
                  <c:v>108.617147</c:v>
                </c:pt>
                <c:pt idx="81">
                  <c:v>109.9564</c:v>
                </c:pt>
                <c:pt idx="82">
                  <c:v>111.299592</c:v>
                </c:pt>
                <c:pt idx="83">
                  <c:v>112.64726</c:v>
                </c:pt>
                <c:pt idx="84">
                  <c:v>113.99853400000001</c:v>
                </c:pt>
                <c:pt idx="85">
                  <c:v>115.35127</c:v>
                </c:pt>
                <c:pt idx="86">
                  <c:v>116.70322400000001</c:v>
                </c:pt>
                <c:pt idx="87">
                  <c:v>118.05203899999999</c:v>
                </c:pt>
                <c:pt idx="88">
                  <c:v>119.39522700000001</c:v>
                </c:pt>
                <c:pt idx="89">
                  <c:v>120.730163</c:v>
                </c:pt>
                <c:pt idx="90">
                  <c:v>122.05407200000001</c:v>
                </c:pt>
                <c:pt idx="91">
                  <c:v>123.36403</c:v>
                </c:pt>
                <c:pt idx="92">
                  <c:v>124.656965</c:v>
                </c:pt>
                <c:pt idx="93">
                  <c:v>125.929661</c:v>
                </c:pt>
                <c:pt idx="94">
                  <c:v>127.178769</c:v>
                </c:pt>
                <c:pt idx="95">
                  <c:v>128.40082200000001</c:v>
                </c:pt>
                <c:pt idx="96">
                  <c:v>129.592251</c:v>
                </c:pt>
                <c:pt idx="97">
                  <c:v>130.74941000000001</c:v>
                </c:pt>
                <c:pt idx="98">
                  <c:v>131.868593</c:v>
                </c:pt>
                <c:pt idx="99">
                  <c:v>132.94605999999999</c:v>
                </c:pt>
                <c:pt idx="100">
                  <c:v>133.97824199999999</c:v>
                </c:pt>
                <c:pt idx="101">
                  <c:v>134.96308400000001</c:v>
                </c:pt>
                <c:pt idx="102">
                  <c:v>135.899888</c:v>
                </c:pt>
                <c:pt idx="103">
                  <c:v>136.78802999999999</c:v>
                </c:pt>
                <c:pt idx="104">
                  <c:v>137.62695299999999</c:v>
                </c:pt>
                <c:pt idx="105">
                  <c:v>138.41617299999999</c:v>
                </c:pt>
                <c:pt idx="106">
                  <c:v>139.15527399999999</c:v>
                </c:pt>
                <c:pt idx="107">
                  <c:v>139.84389899999999</c:v>
                </c:pt>
                <c:pt idx="108">
                  <c:v>140.48176000000001</c:v>
                </c:pt>
                <c:pt idx="109">
                  <c:v>141.06861499999999</c:v>
                </c:pt>
                <c:pt idx="110">
                  <c:v>141.60427200000001</c:v>
                </c:pt>
                <c:pt idx="111">
                  <c:v>142.088582</c:v>
                </c:pt>
                <c:pt idx="112">
                  <c:v>142.52161699999999</c:v>
                </c:pt>
                <c:pt idx="113">
                  <c:v>142.90499500000001</c:v>
                </c:pt>
                <c:pt idx="114">
                  <c:v>143.241702</c:v>
                </c:pt>
                <c:pt idx="115">
                  <c:v>143.53473700000001</c:v>
                </c:pt>
                <c:pt idx="116">
                  <c:v>143.78711100000001</c:v>
                </c:pt>
                <c:pt idx="117">
                  <c:v>144.00185500000001</c:v>
                </c:pt>
                <c:pt idx="118">
                  <c:v>144.181994</c:v>
                </c:pt>
                <c:pt idx="119">
                  <c:v>144.330568</c:v>
                </c:pt>
                <c:pt idx="120">
                  <c:v>144.45061000000001</c:v>
                </c:pt>
                <c:pt idx="121">
                  <c:v>144.54516899999999</c:v>
                </c:pt>
                <c:pt idx="122">
                  <c:v>144.61728299999999</c:v>
                </c:pt>
                <c:pt idx="123">
                  <c:v>144.66999899999999</c:v>
                </c:pt>
                <c:pt idx="124">
                  <c:v>144.706345</c:v>
                </c:pt>
                <c:pt idx="125">
                  <c:v>144.72937899999999</c:v>
                </c:pt>
                <c:pt idx="126">
                  <c:v>144.74213900000001</c:v>
                </c:pt>
                <c:pt idx="127">
                  <c:v>144.74766500000001</c:v>
                </c:pt>
                <c:pt idx="128">
                  <c:v>144.749</c:v>
                </c:pt>
                <c:pt idx="129">
                  <c:v>144.749</c:v>
                </c:pt>
              </c:numCache>
            </c:numRef>
          </c:xVal>
          <c:yVal>
            <c:numRef>
              <c:f>Main!$M$2:$M$131</c:f>
              <c:numCache>
                <c:formatCode>General</c:formatCode>
                <c:ptCount val="130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120.00000199999999</c:v>
                </c:pt>
                <c:pt idx="6">
                  <c:v>120.00001</c:v>
                </c:pt>
                <c:pt idx="7">
                  <c:v>120.000032</c:v>
                </c:pt>
                <c:pt idx="8">
                  <c:v>120.00008</c:v>
                </c:pt>
                <c:pt idx="9">
                  <c:v>120.00017200000001</c:v>
                </c:pt>
                <c:pt idx="10">
                  <c:v>120.000334</c:v>
                </c:pt>
                <c:pt idx="11">
                  <c:v>120.000602</c:v>
                </c:pt>
                <c:pt idx="12">
                  <c:v>120.001025</c:v>
                </c:pt>
                <c:pt idx="13">
                  <c:v>120.001665</c:v>
                </c:pt>
                <c:pt idx="14">
                  <c:v>120.002605</c:v>
                </c:pt>
                <c:pt idx="15">
                  <c:v>120.00394799999999</c:v>
                </c:pt>
                <c:pt idx="16">
                  <c:v>120.00582199999999</c:v>
                </c:pt>
                <c:pt idx="17">
                  <c:v>120.00838899999999</c:v>
                </c:pt>
                <c:pt idx="18">
                  <c:v>120.01182900000001</c:v>
                </c:pt>
                <c:pt idx="19">
                  <c:v>120.016347</c:v>
                </c:pt>
                <c:pt idx="20">
                  <c:v>120.022172</c:v>
                </c:pt>
                <c:pt idx="21">
                  <c:v>120.02956399999999</c:v>
                </c:pt>
                <c:pt idx="22">
                  <c:v>120.038811</c:v>
                </c:pt>
                <c:pt idx="23">
                  <c:v>120.050239</c:v>
                </c:pt>
                <c:pt idx="24">
                  <c:v>120.064206</c:v>
                </c:pt>
                <c:pt idx="25">
                  <c:v>120.08111100000001</c:v>
                </c:pt>
                <c:pt idx="26">
                  <c:v>120.10139100000001</c:v>
                </c:pt>
                <c:pt idx="27">
                  <c:v>120.12553</c:v>
                </c:pt>
                <c:pt idx="28">
                  <c:v>120.15405699999999</c:v>
                </c:pt>
                <c:pt idx="29">
                  <c:v>120.187552</c:v>
                </c:pt>
                <c:pt idx="30">
                  <c:v>120.226591</c:v>
                </c:pt>
                <c:pt idx="31">
                  <c:v>120.271721</c:v>
                </c:pt>
                <c:pt idx="32">
                  <c:v>120.32349600000001</c:v>
                </c:pt>
                <c:pt idx="33">
                  <c:v>120.38247</c:v>
                </c:pt>
                <c:pt idx="34">
                  <c:v>120.44919299999999</c:v>
                </c:pt>
                <c:pt idx="35">
                  <c:v>120.52420499999999</c:v>
                </c:pt>
                <c:pt idx="36">
                  <c:v>120.608028</c:v>
                </c:pt>
                <c:pt idx="37">
                  <c:v>120.701159</c:v>
                </c:pt>
                <c:pt idx="38">
                  <c:v>120.804067</c:v>
                </c:pt>
                <c:pt idx="39">
                  <c:v>120.917182</c:v>
                </c:pt>
                <c:pt idx="40">
                  <c:v>121.040887</c:v>
                </c:pt>
                <c:pt idx="41">
                  <c:v>121.175515</c:v>
                </c:pt>
                <c:pt idx="42">
                  <c:v>121.321337</c:v>
                </c:pt>
                <c:pt idx="43">
                  <c:v>121.478555</c:v>
                </c:pt>
                <c:pt idx="44">
                  <c:v>121.6473</c:v>
                </c:pt>
                <c:pt idx="45">
                  <c:v>121.827617</c:v>
                </c:pt>
                <c:pt idx="46">
                  <c:v>122.019464</c:v>
                </c:pt>
                <c:pt idx="47">
                  <c:v>122.222916</c:v>
                </c:pt>
                <c:pt idx="48">
                  <c:v>122.43822299999999</c:v>
                </c:pt>
                <c:pt idx="49">
                  <c:v>122.665627</c:v>
                </c:pt>
                <c:pt idx="50">
                  <c:v>122.905365</c:v>
                </c:pt>
                <c:pt idx="51">
                  <c:v>123.15767</c:v>
                </c:pt>
                <c:pt idx="52">
                  <c:v>123.422766</c:v>
                </c:pt>
                <c:pt idx="53">
                  <c:v>123.70087100000001</c:v>
                </c:pt>
                <c:pt idx="54">
                  <c:v>123.982224</c:v>
                </c:pt>
                <c:pt idx="55">
                  <c:v>124.313035</c:v>
                </c:pt>
                <c:pt idx="56">
                  <c:v>124.678023</c:v>
                </c:pt>
                <c:pt idx="57">
                  <c:v>125.075582</c:v>
                </c:pt>
                <c:pt idx="58">
                  <c:v>125.504034</c:v>
                </c:pt>
                <c:pt idx="59">
                  <c:v>125.961651</c:v>
                </c:pt>
                <c:pt idx="60">
                  <c:v>126.44667</c:v>
                </c:pt>
                <c:pt idx="61">
                  <c:v>126.957308</c:v>
                </c:pt>
                <c:pt idx="62">
                  <c:v>127.491782</c:v>
                </c:pt>
                <c:pt idx="63">
                  <c:v>128.04830899999999</c:v>
                </c:pt>
                <c:pt idx="64">
                  <c:v>128.625125</c:v>
                </c:pt>
                <c:pt idx="65">
                  <c:v>129.22048699999999</c:v>
                </c:pt>
                <c:pt idx="66">
                  <c:v>129.83267699999999</c:v>
                </c:pt>
                <c:pt idx="67">
                  <c:v>130.46000599999999</c:v>
                </c:pt>
                <c:pt idx="68">
                  <c:v>131.100818</c:v>
                </c:pt>
                <c:pt idx="69">
                  <c:v>131.75348600000001</c:v>
                </c:pt>
                <c:pt idx="70">
                  <c:v>132.41641200000001</c:v>
                </c:pt>
                <c:pt idx="71">
                  <c:v>133.08802600000001</c:v>
                </c:pt>
                <c:pt idx="72">
                  <c:v>133.76678200000001</c:v>
                </c:pt>
                <c:pt idx="73">
                  <c:v>134.45115799999999</c:v>
                </c:pt>
                <c:pt idx="74">
                  <c:v>135.139645</c:v>
                </c:pt>
                <c:pt idx="75">
                  <c:v>135.830749</c:v>
                </c:pt>
                <c:pt idx="76">
                  <c:v>136.522986</c:v>
                </c:pt>
                <c:pt idx="77">
                  <c:v>137.21487200000001</c:v>
                </c:pt>
                <c:pt idx="78">
                  <c:v>137.90492499999999</c:v>
                </c:pt>
                <c:pt idx="79">
                  <c:v>138.591656</c:v>
                </c:pt>
                <c:pt idx="80">
                  <c:v>139.27356499999999</c:v>
                </c:pt>
                <c:pt idx="81">
                  <c:v>139.94913700000001</c:v>
                </c:pt>
                <c:pt idx="82">
                  <c:v>140.61684</c:v>
                </c:pt>
                <c:pt idx="83">
                  <c:v>141.27503300000001</c:v>
                </c:pt>
                <c:pt idx="84">
                  <c:v>141.92141100000001</c:v>
                </c:pt>
                <c:pt idx="85">
                  <c:v>142.55313799999999</c:v>
                </c:pt>
                <c:pt idx="86">
                  <c:v>143.16748699999999</c:v>
                </c:pt>
                <c:pt idx="87">
                  <c:v>143.76186200000001</c:v>
                </c:pt>
                <c:pt idx="88">
                  <c:v>144.33383900000001</c:v>
                </c:pt>
                <c:pt idx="89">
                  <c:v>144.881193</c:v>
                </c:pt>
                <c:pt idx="90">
                  <c:v>145.40193400000001</c:v>
                </c:pt>
                <c:pt idx="91">
                  <c:v>145.89433500000001</c:v>
                </c:pt>
                <c:pt idx="92">
                  <c:v>146.35696100000001</c:v>
                </c:pt>
                <c:pt idx="93">
                  <c:v>146.78869399999999</c:v>
                </c:pt>
                <c:pt idx="94">
                  <c:v>147.18875299999999</c:v>
                </c:pt>
                <c:pt idx="95">
                  <c:v>147.556704</c:v>
                </c:pt>
                <c:pt idx="96">
                  <c:v>147.892472</c:v>
                </c:pt>
                <c:pt idx="97">
                  <c:v>148.196337</c:v>
                </c:pt>
                <c:pt idx="98">
                  <c:v>148.46892399999999</c:v>
                </c:pt>
                <c:pt idx="99">
                  <c:v>148.71118799999999</c:v>
                </c:pt>
                <c:pt idx="100">
                  <c:v>148.924419</c:v>
                </c:pt>
                <c:pt idx="101">
                  <c:v>149.11043900000001</c:v>
                </c:pt>
                <c:pt idx="102">
                  <c:v>149.27140199999999</c:v>
                </c:pt>
                <c:pt idx="103">
                  <c:v>149.40947299999999</c:v>
                </c:pt>
                <c:pt idx="104">
                  <c:v>149.526792</c:v>
                </c:pt>
                <c:pt idx="105">
                  <c:v>149.625462</c:v>
                </c:pt>
                <c:pt idx="106">
                  <c:v>149.70752100000001</c:v>
                </c:pt>
                <c:pt idx="107">
                  <c:v>149.77492899999999</c:v>
                </c:pt>
                <c:pt idx="108">
                  <c:v>149.82954899999999</c:v>
                </c:pt>
                <c:pt idx="109">
                  <c:v>149.87313900000001</c:v>
                </c:pt>
                <c:pt idx="110">
                  <c:v>149.90733800000001</c:v>
                </c:pt>
                <c:pt idx="111">
                  <c:v>149.93365600000001</c:v>
                </c:pt>
                <c:pt idx="112">
                  <c:v>149.95348200000001</c:v>
                </c:pt>
                <c:pt idx="113">
                  <c:v>149.968109</c:v>
                </c:pt>
                <c:pt idx="114">
                  <c:v>149.97868800000001</c:v>
                </c:pt>
                <c:pt idx="115">
                  <c:v>149.98616699999999</c:v>
                </c:pt>
                <c:pt idx="116">
                  <c:v>149.99131800000001</c:v>
                </c:pt>
                <c:pt idx="117">
                  <c:v>149.99476100000001</c:v>
                </c:pt>
                <c:pt idx="118">
                  <c:v>149.996983</c:v>
                </c:pt>
                <c:pt idx="119">
                  <c:v>149.998357</c:v>
                </c:pt>
                <c:pt idx="120">
                  <c:v>149.99916400000001</c:v>
                </c:pt>
                <c:pt idx="121">
                  <c:v>149.99960999999999</c:v>
                </c:pt>
                <c:pt idx="122">
                  <c:v>149.99983700000001</c:v>
                </c:pt>
                <c:pt idx="123">
                  <c:v>149.99994100000001</c:v>
                </c:pt>
                <c:pt idx="124">
                  <c:v>149.99998299999999</c:v>
                </c:pt>
                <c:pt idx="125">
                  <c:v>149.99999600000001</c:v>
                </c:pt>
                <c:pt idx="126">
                  <c:v>150</c:v>
                </c:pt>
                <c:pt idx="127">
                  <c:v>150</c:v>
                </c:pt>
                <c:pt idx="128">
                  <c:v>150</c:v>
                </c:pt>
                <c:pt idx="129">
                  <c:v>150</c:v>
                </c:pt>
              </c:numCache>
            </c:numRef>
          </c:yVal>
          <c:smooth val="0"/>
        </c:ser>
        <c:ser>
          <c:idx val="0"/>
          <c:order val="3"/>
          <c:tx>
            <c:v>Center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Main!$P$2:$P$131</c:f>
              <c:numCache>
                <c:formatCode>General</c:formatCode>
                <c:ptCount val="130"/>
                <c:pt idx="0">
                  <c:v>26</c:v>
                </c:pt>
                <c:pt idx="1">
                  <c:v>26.001520999992195</c:v>
                </c:pt>
                <c:pt idx="2">
                  <c:v>26.007605999968469</c:v>
                </c:pt>
                <c:pt idx="3">
                  <c:v>26.021297999946764</c:v>
                </c:pt>
                <c:pt idx="4">
                  <c:v>26.045638999946743</c:v>
                </c:pt>
                <c:pt idx="5">
                  <c:v>26.083670999806099</c:v>
                </c:pt>
                <c:pt idx="6">
                  <c:v>26.138437998586959</c:v>
                </c:pt>
                <c:pt idx="7">
                  <c:v>26.21298199314808</c:v>
                </c:pt>
                <c:pt idx="8">
                  <c:v>26.310344975329436</c:v>
                </c:pt>
                <c:pt idx="9">
                  <c:v>26.433569926526179</c:v>
                </c:pt>
                <c:pt idx="10">
                  <c:v>26.585699809191063</c:v>
                </c:pt>
                <c:pt idx="11">
                  <c:v>26.769776551889766</c:v>
                </c:pt>
                <c:pt idx="12">
                  <c:v>26.988843027994641</c:v>
                </c:pt>
                <c:pt idx="13">
                  <c:v>27.245941023044669</c:v>
                </c:pt>
                <c:pt idx="14">
                  <c:v>27.544114187320087</c:v>
                </c:pt>
                <c:pt idx="15">
                  <c:v>27.88640296665795</c:v>
                </c:pt>
                <c:pt idx="16">
                  <c:v>28.275849513317638</c:v>
                </c:pt>
                <c:pt idx="17">
                  <c:v>28.715495554178062</c:v>
                </c:pt>
                <c:pt idx="18">
                  <c:v>29.206861273423605</c:v>
                </c:pt>
                <c:pt idx="19">
                  <c:v>29.749942189831099</c:v>
                </c:pt>
                <c:pt idx="20">
                  <c:v>30.34473694272674</c:v>
                </c:pt>
                <c:pt idx="21">
                  <c:v>30.991239058847174</c:v>
                </c:pt>
                <c:pt idx="22">
                  <c:v>31.689444679672778</c:v>
                </c:pt>
                <c:pt idx="23">
                  <c:v>32.439345231411252</c:v>
                </c:pt>
                <c:pt idx="24">
                  <c:v>33.240931015054137</c:v>
                </c:pt>
                <c:pt idx="25">
                  <c:v>34.094190777634658</c:v>
                </c:pt>
                <c:pt idx="26">
                  <c:v>34.999107137284021</c:v>
                </c:pt>
                <c:pt idx="27">
                  <c:v>35.955662974203044</c:v>
                </c:pt>
                <c:pt idx="28">
                  <c:v>36.963832631931119</c:v>
                </c:pt>
                <c:pt idx="29">
                  <c:v>38.023589112324643</c:v>
                </c:pt>
                <c:pt idx="30">
                  <c:v>39.133376289301417</c:v>
                </c:pt>
                <c:pt idx="31">
                  <c:v>40.290112083689195</c:v>
                </c:pt>
                <c:pt idx="32">
                  <c:v>41.490708409440558</c:v>
                </c:pt>
                <c:pt idx="33">
                  <c:v>42.732072648403886</c:v>
                </c:pt>
                <c:pt idx="34">
                  <c:v>44.011102587223995</c:v>
                </c:pt>
                <c:pt idx="35">
                  <c:v>45.324690975261795</c:v>
                </c:pt>
                <c:pt idx="36">
                  <c:v>46.669722651154913</c:v>
                </c:pt>
                <c:pt idx="37">
                  <c:v>48.043076543185528</c:v>
                </c:pt>
                <c:pt idx="38">
                  <c:v>49.441623785703584</c:v>
                </c:pt>
                <c:pt idx="39">
                  <c:v>50.862229299433885</c:v>
                </c:pt>
                <c:pt idx="40">
                  <c:v>52.301753658237345</c:v>
                </c:pt>
                <c:pt idx="41">
                  <c:v>53.757052576193104</c:v>
                </c:pt>
                <c:pt idx="42">
                  <c:v>55.224976199888296</c:v>
                </c:pt>
                <c:pt idx="43">
                  <c:v>56.702374861805552</c:v>
                </c:pt>
                <c:pt idx="44">
                  <c:v>58.186098032448463</c:v>
                </c:pt>
                <c:pt idx="45">
                  <c:v>59.672996110885094</c:v>
                </c:pt>
                <c:pt idx="46">
                  <c:v>61.159922780018441</c:v>
                </c:pt>
                <c:pt idx="47">
                  <c:v>62.645243425112525</c:v>
                </c:pt>
                <c:pt idx="48">
                  <c:v>64.128826804571872</c:v>
                </c:pt>
                <c:pt idx="49">
                  <c:v>65.610536202975425</c:v>
                </c:pt>
                <c:pt idx="50">
                  <c:v>67.090229466312138</c:v>
                </c:pt>
                <c:pt idx="51">
                  <c:v>68.567758787895457</c:v>
                </c:pt>
                <c:pt idx="52">
                  <c:v>70.042971525274396</c:v>
                </c:pt>
                <c:pt idx="53">
                  <c:v>71.515709512790821</c:v>
                </c:pt>
                <c:pt idx="54">
                  <c:v>72.982645100750347</c:v>
                </c:pt>
                <c:pt idx="55">
                  <c:v>74.441680587960349</c:v>
                </c:pt>
                <c:pt idx="56">
                  <c:v>75.892343043685443</c:v>
                </c:pt>
                <c:pt idx="57">
                  <c:v>77.334282993381123</c:v>
                </c:pt>
                <c:pt idx="58">
                  <c:v>78.76727354136591</c:v>
                </c:pt>
                <c:pt idx="59">
                  <c:v>80.191204975944956</c:v>
                </c:pt>
                <c:pt idx="60">
                  <c:v>81.606079751606799</c:v>
                </c:pt>
                <c:pt idx="61">
                  <c:v>83.012004391941815</c:v>
                </c:pt>
                <c:pt idx="62">
                  <c:v>84.409182473161778</c:v>
                </c:pt>
                <c:pt idx="63">
                  <c:v>85.797905641705</c:v>
                </c:pt>
                <c:pt idx="64">
                  <c:v>87.178543756287226</c:v>
                </c:pt>
                <c:pt idx="65">
                  <c:v>88.551537372099361</c:v>
                </c:pt>
                <c:pt idx="66">
                  <c:v>89.917389515156998</c:v>
                </c:pt>
                <c:pt idx="67">
                  <c:v>91.276656714490471</c:v>
                </c:pt>
                <c:pt idx="68">
                  <c:v>92.629941877494062</c:v>
                </c:pt>
                <c:pt idx="69">
                  <c:v>93.977887324913226</c:v>
                </c:pt>
                <c:pt idx="70">
                  <c:v>95.321168667191728</c:v>
                </c:pt>
                <c:pt idx="71">
                  <c:v>96.660488905726254</c:v>
                </c:pt>
                <c:pt idx="72">
                  <c:v>97.996574109025914</c:v>
                </c:pt>
                <c:pt idx="73">
                  <c:v>99.330166587507748</c:v>
                </c:pt>
                <c:pt idx="74">
                  <c:v>100.66202232659471</c:v>
                </c:pt>
                <c:pt idx="75">
                  <c:v>101.99290516431329</c:v>
                </c:pt>
                <c:pt idx="76">
                  <c:v>103.32358521285843</c:v>
                </c:pt>
                <c:pt idx="77">
                  <c:v>104.6548325066684</c:v>
                </c:pt>
                <c:pt idx="78">
                  <c:v>105.98741412323696</c:v>
                </c:pt>
                <c:pt idx="79">
                  <c:v>107.32209126215307</c:v>
                </c:pt>
                <c:pt idx="80">
                  <c:v>108.65961348500905</c:v>
                </c:pt>
                <c:pt idx="81">
                  <c:v>110.00071692321661</c:v>
                </c:pt>
                <c:pt idx="82">
                  <c:v>111.34611620264288</c:v>
                </c:pt>
                <c:pt idx="83">
                  <c:v>112.69633325925814</c:v>
                </c:pt>
                <c:pt idx="84">
                  <c:v>114.05047637776896</c:v>
                </c:pt>
                <c:pt idx="85">
                  <c:v>115.4063674999238</c:v>
                </c:pt>
                <c:pt idx="86">
                  <c:v>116.76172264825922</c:v>
                </c:pt>
                <c:pt idx="87">
                  <c:v>118.11413832564369</c:v>
                </c:pt>
                <c:pt idx="88">
                  <c:v>119.46107469431564</c:v>
                </c:pt>
                <c:pt idx="89">
                  <c:v>120.79984992407374</c:v>
                </c:pt>
                <c:pt idx="90">
                  <c:v>122.12763377386217</c:v>
                </c:pt>
                <c:pt idx="91">
                  <c:v>123.44144364573825</c:v>
                </c:pt>
                <c:pt idx="92">
                  <c:v>124.73815170380294</c:v>
                </c:pt>
                <c:pt idx="93">
                  <c:v>126.01448787560051</c:v>
                </c:pt>
                <c:pt idx="94">
                  <c:v>127.26705650120671</c:v>
                </c:pt>
                <c:pt idx="95">
                  <c:v>128.49234950492183</c:v>
                </c:pt>
                <c:pt idx="96">
                  <c:v>129.68676553552766</c:v>
                </c:pt>
                <c:pt idx="97">
                  <c:v>130.84663154318744</c:v>
                </c:pt>
                <c:pt idx="98">
                  <c:v>131.96822972198009</c:v>
                </c:pt>
                <c:pt idx="99">
                  <c:v>133.04781286317174</c:v>
                </c:pt>
                <c:pt idx="100">
                  <c:v>134.08181904578424</c:v>
                </c:pt>
                <c:pt idx="101">
                  <c:v>135.06820535431004</c:v>
                </c:pt>
                <c:pt idx="102">
                  <c:v>136.00630028388306</c:v>
                </c:pt>
                <c:pt idx="103">
                  <c:v>136.89550594447633</c:v>
                </c:pt>
                <c:pt idx="104">
                  <c:v>137.73529173448136</c:v>
                </c:pt>
                <c:pt idx="105">
                  <c:v>138.5252002999413</c:v>
                </c:pt>
                <c:pt idx="106">
                  <c:v>139.26484015833967</c:v>
                </c:pt>
                <c:pt idx="107">
                  <c:v>139.95388278396089</c:v>
                </c:pt>
                <c:pt idx="108">
                  <c:v>140.59205694313007</c:v>
                </c:pt>
                <c:pt idx="109">
                  <c:v>141.17914201416968</c:v>
                </c:pt>
                <c:pt idx="110">
                  <c:v>141.71496573623256</c:v>
                </c:pt>
                <c:pt idx="111">
                  <c:v>142.19939080482877</c:v>
                </c:pt>
                <c:pt idx="112">
                  <c:v>142.63250272963398</c:v>
                </c:pt>
                <c:pt idx="113">
                  <c:v>143.01593369819227</c:v>
                </c:pt>
                <c:pt idx="114">
                  <c:v>143.35267219862536</c:v>
                </c:pt>
                <c:pt idx="115">
                  <c:v>143.64572619190466</c:v>
                </c:pt>
                <c:pt idx="116">
                  <c:v>143.89811309496159</c:v>
                </c:pt>
                <c:pt idx="117">
                  <c:v>144.1128609907779</c:v>
                </c:pt>
                <c:pt idx="118">
                  <c:v>144.29300379143271</c:v>
                </c:pt>
                <c:pt idx="119">
                  <c:v>144.44157920885414</c:v>
                </c:pt>
                <c:pt idx="120">
                  <c:v>144.56162632581839</c:v>
                </c:pt>
                <c:pt idx="121">
                  <c:v>144.65618563372155</c:v>
                </c:pt>
                <c:pt idx="122">
                  <c:v>144.72829941320683</c:v>
                </c:pt>
                <c:pt idx="123">
                  <c:v>144.78101135524238</c:v>
                </c:pt>
                <c:pt idx="124">
                  <c:v>144.81736234358098</c:v>
                </c:pt>
                <c:pt idx="125">
                  <c:v>144.84039434202143</c:v>
                </c:pt>
                <c:pt idx="126">
                  <c:v>144.85315234191529</c:v>
                </c:pt>
                <c:pt idx="127">
                  <c:v>144.85867634191357</c:v>
                </c:pt>
                <c:pt idx="128">
                  <c:v>144.86001134191355</c:v>
                </c:pt>
                <c:pt idx="129">
                  <c:v>144.86001134191355</c:v>
                </c:pt>
              </c:numCache>
            </c:numRef>
          </c:xVal>
          <c:yVal>
            <c:numRef>
              <c:f>Main!$Q$2:$Q$131</c:f>
              <c:numCache>
                <c:formatCode>General</c:formatCode>
                <c:ptCount val="130"/>
                <c:pt idx="0">
                  <c:v>120</c:v>
                </c:pt>
                <c:pt idx="1">
                  <c:v>119.99999984591177</c:v>
                </c:pt>
                <c:pt idx="2">
                  <c:v>119.99999930856259</c:v>
                </c:pt>
                <c:pt idx="3">
                  <c:v>119.9999985376047</c:v>
                </c:pt>
                <c:pt idx="4">
                  <c:v>119.99999850578664</c:v>
                </c:pt>
                <c:pt idx="5">
                  <c:v>120.00000177653862</c:v>
                </c:pt>
                <c:pt idx="6">
                  <c:v>120.00001333237554</c:v>
                </c:pt>
                <c:pt idx="7">
                  <c:v>120.00004180818286</c:v>
                </c:pt>
                <c:pt idx="8">
                  <c:v>120.00010071279426</c:v>
                </c:pt>
                <c:pt idx="9">
                  <c:v>120.00021038302978</c:v>
                </c:pt>
                <c:pt idx="10">
                  <c:v>120.0003993284412</c:v>
                </c:pt>
                <c:pt idx="11">
                  <c:v>120.0007071050418</c:v>
                </c:pt>
                <c:pt idx="12">
                  <c:v>120.00118620418888</c:v>
                </c:pt>
                <c:pt idx="13">
                  <c:v>120.00190505205627</c:v>
                </c:pt>
                <c:pt idx="14">
                  <c:v>120.00295134598409</c:v>
                </c:pt>
                <c:pt idx="15">
                  <c:v>120.00443620402301</c:v>
                </c:pt>
                <c:pt idx="16">
                  <c:v>120.00649717438731</c:v>
                </c:pt>
                <c:pt idx="17">
                  <c:v>120.00930391284223</c:v>
                </c:pt>
                <c:pt idx="18">
                  <c:v>120.01305015766999</c:v>
                </c:pt>
                <c:pt idx="19">
                  <c:v>120.01794779414054</c:v>
                </c:pt>
                <c:pt idx="20">
                  <c:v>120.02423679341022</c:v>
                </c:pt>
                <c:pt idx="21">
                  <c:v>120.03218723068119</c:v>
                </c:pt>
                <c:pt idx="22">
                  <c:v>120.04210102024578</c:v>
                </c:pt>
                <c:pt idx="23">
                  <c:v>120.0543142304027</c:v>
                </c:pt>
                <c:pt idx="24">
                  <c:v>120.06920058783568</c:v>
                </c:pt>
                <c:pt idx="25">
                  <c:v>120.08717204192344</c:v>
                </c:pt>
                <c:pt idx="26">
                  <c:v>120.10868323954124</c:v>
                </c:pt>
                <c:pt idx="27">
                  <c:v>120.13423318015074</c:v>
                </c:pt>
                <c:pt idx="28">
                  <c:v>120.16437029408772</c:v>
                </c:pt>
                <c:pt idx="29">
                  <c:v>120.19969339260591</c:v>
                </c:pt>
                <c:pt idx="30">
                  <c:v>120.24079426999216</c:v>
                </c:pt>
                <c:pt idx="31">
                  <c:v>120.28822964967942</c:v>
                </c:pt>
                <c:pt idx="32">
                  <c:v>120.34256005753117</c:v>
                </c:pt>
                <c:pt idx="33">
                  <c:v>120.40434777495139</c:v>
                </c:pt>
                <c:pt idx="34">
                  <c:v>120.47414581282376</c:v>
                </c:pt>
                <c:pt idx="35">
                  <c:v>120.55249687370519</c:v>
                </c:pt>
                <c:pt idx="36">
                  <c:v>120.63992300105942</c:v>
                </c:pt>
                <c:pt idx="37">
                  <c:v>120.73692036117485</c:v>
                </c:pt>
                <c:pt idx="38">
                  <c:v>120.84395383357544</c:v>
                </c:pt>
                <c:pt idx="39">
                  <c:v>120.96144758785651</c:v>
                </c:pt>
                <c:pt idx="40">
                  <c:v>121.08977546752607</c:v>
                </c:pt>
                <c:pt idx="41">
                  <c:v>121.22925841422858</c:v>
                </c:pt>
                <c:pt idx="42">
                  <c:v>121.38015480013156</c:v>
                </c:pt>
                <c:pt idx="43">
                  <c:v>121.54264992199404</c:v>
                </c:pt>
                <c:pt idx="44">
                  <c:v>121.71685549056846</c:v>
                </c:pt>
                <c:pt idx="45">
                  <c:v>121.9027947757732</c:v>
                </c:pt>
                <c:pt idx="46">
                  <c:v>122.10040317797312</c:v>
                </c:pt>
                <c:pt idx="47">
                  <c:v>122.30974161509658</c:v>
                </c:pt>
                <c:pt idx="48">
                  <c:v>122.531056676021</c:v>
                </c:pt>
                <c:pt idx="49">
                  <c:v>122.76458881231612</c:v>
                </c:pt>
                <c:pt idx="50">
                  <c:v>123.01057223947318</c:v>
                </c:pt>
                <c:pt idx="51">
                  <c:v>123.26923631479393</c:v>
                </c:pt>
                <c:pt idx="52">
                  <c:v>123.54080100225337</c:v>
                </c:pt>
                <c:pt idx="53">
                  <c:v>123.82548120902244</c:v>
                </c:pt>
                <c:pt idx="54">
                  <c:v>124.13869037360394</c:v>
                </c:pt>
                <c:pt idx="55">
                  <c:v>124.48685046187062</c:v>
                </c:pt>
                <c:pt idx="56">
                  <c:v>124.86839788952493</c:v>
                </c:pt>
                <c:pt idx="57">
                  <c:v>125.28168856383496</c:v>
                </c:pt>
                <c:pt idx="58">
                  <c:v>125.72501472975148</c:v>
                </c:pt>
                <c:pt idx="59">
                  <c:v>126.19662820455649</c:v>
                </c:pt>
                <c:pt idx="60">
                  <c:v>126.69475406133954</c:v>
                </c:pt>
                <c:pt idx="61">
                  <c:v>127.21760767918956</c:v>
                </c:pt>
                <c:pt idx="62">
                  <c:v>127.76340380354232</c:v>
                </c:pt>
                <c:pt idx="63">
                  <c:v>128.33036761292638</c:v>
                </c:pt>
                <c:pt idx="64">
                  <c:v>128.91674496290062</c:v>
                </c:pt>
                <c:pt idx="65">
                  <c:v>129.52080500208473</c:v>
                </c:pt>
                <c:pt idx="66">
                  <c:v>130.14084364870675</c:v>
                </c:pt>
                <c:pt idx="67">
                  <c:v>130.77518794072498</c:v>
                </c:pt>
                <c:pt idx="68">
                  <c:v>131.42219587544784</c:v>
                </c:pt>
                <c:pt idx="69">
                  <c:v>132.08025595688565</c:v>
                </c:pt>
                <c:pt idx="70">
                  <c:v>132.74778515885845</c:v>
                </c:pt>
                <c:pt idx="71">
                  <c:v>133.42322671713853</c:v>
                </c:pt>
                <c:pt idx="72">
                  <c:v>134.10504511636498</c:v>
                </c:pt>
                <c:pt idx="73">
                  <c:v>134.79172633886685</c:v>
                </c:pt>
                <c:pt idx="74">
                  <c:v>135.48177002607886</c:v>
                </c:pt>
                <c:pt idx="75">
                  <c:v>136.17368828155861</c:v>
                </c:pt>
                <c:pt idx="76">
                  <c:v>136.86599645600398</c:v>
                </c:pt>
                <c:pt idx="77">
                  <c:v>137.55721324017784</c:v>
                </c:pt>
                <c:pt idx="78">
                  <c:v>138.24585410099246</c:v>
                </c:pt>
                <c:pt idx="79">
                  <c:v>138.93042472178678</c:v>
                </c:pt>
                <c:pt idx="80">
                  <c:v>139.60941979052174</c:v>
                </c:pt>
                <c:pt idx="81">
                  <c:v>140.2813138059943</c:v>
                </c:pt>
                <c:pt idx="82">
                  <c:v>140.94456396914489</c:v>
                </c:pt>
                <c:pt idx="83">
                  <c:v>141.59752103893911</c:v>
                </c:pt>
                <c:pt idx="84">
                  <c:v>142.23787621328674</c:v>
                </c:pt>
                <c:pt idx="85">
                  <c:v>142.86281743550103</c:v>
                </c:pt>
                <c:pt idx="86">
                  <c:v>143.46964312866228</c:v>
                </c:pt>
                <c:pt idx="87">
                  <c:v>144.05580264624152</c:v>
                </c:pt>
                <c:pt idx="88">
                  <c:v>144.61892382901911</c:v>
                </c:pt>
                <c:pt idx="89">
                  <c:v>145.15684972224432</c:v>
                </c:pt>
                <c:pt idx="90">
                  <c:v>145.66766715730012</c:v>
                </c:pt>
                <c:pt idx="91">
                  <c:v>146.14973760045234</c:v>
                </c:pt>
                <c:pt idx="92">
                  <c:v>146.60172776934445</c:v>
                </c:pt>
                <c:pt idx="93">
                  <c:v>147.02262779010604</c:v>
                </c:pt>
                <c:pt idx="94">
                  <c:v>147.41177041019796</c:v>
                </c:pt>
                <c:pt idx="95">
                  <c:v>147.7688442788733</c:v>
                </c:pt>
                <c:pt idx="96">
                  <c:v>148.09389477120916</c:v>
                </c:pt>
                <c:pt idx="97">
                  <c:v>148.38731965275693</c:v>
                </c:pt>
                <c:pt idx="98">
                  <c:v>148.64986107117505</c:v>
                </c:pt>
                <c:pt idx="99">
                  <c:v>148.88257900004123</c:v>
                </c:pt>
                <c:pt idx="100">
                  <c:v>149.08685907832381</c:v>
                </c:pt>
                <c:pt idx="101">
                  <c:v>149.26457569031277</c:v>
                </c:pt>
                <c:pt idx="102">
                  <c:v>149.41790506766222</c:v>
                </c:pt>
                <c:pt idx="103">
                  <c:v>149.54901832240367</c:v>
                </c:pt>
                <c:pt idx="104">
                  <c:v>149.66005780155683</c:v>
                </c:pt>
                <c:pt idx="105">
                  <c:v>149.75311416003944</c:v>
                </c:pt>
                <c:pt idx="106">
                  <c:v>149.83020981800689</c:v>
                </c:pt>
                <c:pt idx="107">
                  <c:v>149.89327881202161</c:v>
                </c:pt>
                <c:pt idx="108">
                  <c:v>149.944156136732</c:v>
                </c:pt>
                <c:pt idx="109">
                  <c:v>149.98456366125939</c:v>
                </c:pt>
                <c:pt idx="110">
                  <c:v>150.01610054245717</c:v>
                </c:pt>
                <c:pt idx="111">
                  <c:v>150.04023710376092</c:v>
                </c:pt>
                <c:pt idx="112">
                  <c:v>150.0583139871346</c:v>
                </c:pt>
                <c:pt idx="113">
                  <c:v>150.07156872026911</c:v>
                </c:pt>
                <c:pt idx="114">
                  <c:v>150.08108714740129</c:v>
                </c:pt>
                <c:pt idx="115">
                  <c:v>150.08776201991429</c:v>
                </c:pt>
                <c:pt idx="116">
                  <c:v>150.09231683597349</c:v>
                </c:pt>
                <c:pt idx="117">
                  <c:v>150.09532758396401</c:v>
                </c:pt>
                <c:pt idx="118">
                  <c:v>150.09724455585979</c:v>
                </c:pt>
                <c:pt idx="119">
                  <c:v>150.09841149118256</c:v>
                </c:pt>
                <c:pt idx="120">
                  <c:v>150.09908388211593</c:v>
                </c:pt>
                <c:pt idx="121">
                  <c:v>150.09944566779328</c:v>
                </c:pt>
                <c:pt idx="122">
                  <c:v>150.09962400553349</c:v>
                </c:pt>
                <c:pt idx="123">
                  <c:v>150.09970217740084</c:v>
                </c:pt>
                <c:pt idx="124">
                  <c:v>150.09973129454872</c:v>
                </c:pt>
                <c:pt idx="125">
                  <c:v>150.09973977032453</c:v>
                </c:pt>
                <c:pt idx="126">
                  <c:v>150.09974141610653</c:v>
                </c:pt>
                <c:pt idx="127">
                  <c:v>150.09974155420653</c:v>
                </c:pt>
                <c:pt idx="128">
                  <c:v>150.09974155379643</c:v>
                </c:pt>
                <c:pt idx="129">
                  <c:v>150.09974155379643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83917104"/>
        <c:axId val="-683916560"/>
      </c:scatterChart>
      <c:valAx>
        <c:axId val="-683917104"/>
        <c:scaling>
          <c:orientation val="minMax"/>
          <c:max val="350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83916560"/>
        <c:crosses val="autoZero"/>
        <c:crossBetween val="midCat"/>
        <c:majorUnit val="50"/>
      </c:valAx>
      <c:valAx>
        <c:axId val="-683916560"/>
        <c:scaling>
          <c:orientation val="maxMin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83917104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166686</xdr:rowOff>
    </xdr:from>
    <xdr:to>
      <xdr:col>10</xdr:col>
      <xdr:colOff>381000</xdr:colOff>
      <xdr:row>41</xdr:row>
      <xdr:rowOff>76199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104775</xdr:rowOff>
        </xdr:from>
        <xdr:to>
          <xdr:col>4</xdr:col>
          <xdr:colOff>76200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center and fix path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31"/>
  <sheetViews>
    <sheetView tabSelected="1" workbookViewId="0">
      <selection activeCell="F7" sqref="F7"/>
    </sheetView>
  </sheetViews>
  <sheetFormatPr defaultRowHeight="15" x14ac:dyDescent="0.25"/>
  <cols>
    <col min="1" max="1" width="12.85546875" customWidth="1"/>
    <col min="4" max="15" width="9.140625" customWidth="1"/>
  </cols>
  <sheetData>
    <row r="1" spans="1:23" x14ac:dyDescent="0.25">
      <c r="K1" t="s">
        <v>0</v>
      </c>
      <c r="L1" t="s">
        <v>8</v>
      </c>
      <c r="M1" t="s">
        <v>9</v>
      </c>
      <c r="N1" t="s">
        <v>7</v>
      </c>
      <c r="P1" t="s">
        <v>10</v>
      </c>
      <c r="Q1" t="s">
        <v>11</v>
      </c>
      <c r="S1" t="s">
        <v>14</v>
      </c>
      <c r="T1" t="s">
        <v>15</v>
      </c>
      <c r="V1" t="s">
        <v>16</v>
      </c>
      <c r="W1" t="s">
        <v>17</v>
      </c>
    </row>
    <row r="2" spans="1:23" x14ac:dyDescent="0.25">
      <c r="K2">
        <f>Center!A2</f>
        <v>0.02</v>
      </c>
      <c r="L2">
        <f>L3</f>
        <v>26</v>
      </c>
      <c r="M2">
        <f>M3</f>
        <v>120</v>
      </c>
      <c r="N2">
        <f>N3</f>
        <v>6.2830839999999997</v>
      </c>
      <c r="P2">
        <f>L2</f>
        <v>26</v>
      </c>
      <c r="Q2">
        <f>M2</f>
        <v>120</v>
      </c>
      <c r="S2">
        <f>P2 + $B$10/2 * SIN($N2)</f>
        <v>25.998480392308796</v>
      </c>
      <c r="T2">
        <f>Q2 - $B$10/2 * COS($N2)</f>
        <v>105.00000007697358</v>
      </c>
      <c r="V2">
        <f>P2 - $B$10/2 * SIN($N2)</f>
        <v>26.001519607691204</v>
      </c>
      <c r="W2">
        <f>Q2 + $B$10/2 * COS($N2)</f>
        <v>134.99999992302642</v>
      </c>
    </row>
    <row r="3" spans="1:23" x14ac:dyDescent="0.25">
      <c r="L3">
        <f>Center!B2</f>
        <v>26</v>
      </c>
      <c r="M3">
        <f>Center!C2</f>
        <v>120</v>
      </c>
      <c r="N3">
        <f>Center!H2</f>
        <v>6.2830839999999997</v>
      </c>
      <c r="P3">
        <f>P2 + (Center!$D2)*COS($N3)</f>
        <v>26.001520999992195</v>
      </c>
      <c r="Q3">
        <f>Q2 + (Center!$D2)*SIN($N3)</f>
        <v>119.99999984591177</v>
      </c>
      <c r="S3">
        <f t="shared" ref="S3:S4" si="0">P3 + $B$10/2 * SIN($N3)</f>
        <v>26.000001392300991</v>
      </c>
      <c r="T3">
        <f t="shared" ref="T3:T4" si="1">Q3 - $B$10/2 * COS($N3)</f>
        <v>104.99999992288537</v>
      </c>
      <c r="V3">
        <f t="shared" ref="V3:V4" si="2">P3 - $B$10/2 * SIN($N3)</f>
        <v>26.003040607683399</v>
      </c>
      <c r="W3">
        <f t="shared" ref="W3:W4" si="3">Q3 + $B$10/2 * COS($N3)</f>
        <v>134.99999976893818</v>
      </c>
    </row>
    <row r="4" spans="1:23" x14ac:dyDescent="0.25">
      <c r="L4">
        <f>Center!B3</f>
        <v>26</v>
      </c>
      <c r="M4">
        <f>Center!C3</f>
        <v>120</v>
      </c>
      <c r="N4">
        <f>Center!H3</f>
        <v>6.2830969999999997</v>
      </c>
      <c r="P4">
        <f>P3 + (Center!$D3-Center!$D2)*COS($N4)</f>
        <v>26.007605999968469</v>
      </c>
      <c r="Q4">
        <f>Q3 + (Center!$D3-Center!$D2)*SIN($N4)</f>
        <v>119.99999930856259</v>
      </c>
      <c r="S4">
        <f t="shared" si="0"/>
        <v>26.006281392276389</v>
      </c>
      <c r="T4">
        <f t="shared" si="1"/>
        <v>104.99999936704877</v>
      </c>
      <c r="V4">
        <f t="shared" si="2"/>
        <v>26.008930607660549</v>
      </c>
      <c r="W4">
        <f t="shared" si="3"/>
        <v>134.9999992500764</v>
      </c>
    </row>
    <row r="5" spans="1:23" x14ac:dyDescent="0.25">
      <c r="L5">
        <f>Center!B4</f>
        <v>26</v>
      </c>
      <c r="M5">
        <f>Center!C4</f>
        <v>120</v>
      </c>
      <c r="N5">
        <f>Center!H4</f>
        <v>6.2831289999999997</v>
      </c>
      <c r="P5">
        <f>P4 + (Center!$D4-Center!$D3)*COS($N5)</f>
        <v>26.021297999946764</v>
      </c>
      <c r="Q5">
        <f>Q4 + (Center!$D4-Center!$D3)*SIN($N5)</f>
        <v>119.9999985376047</v>
      </c>
      <c r="S5">
        <f t="shared" ref="S5" si="4">P5 + $B$10/2 * SIN($N5)</f>
        <v>26.020453392253408</v>
      </c>
      <c r="T5">
        <f t="shared" ref="T5" si="5">Q5 - $B$10/2 * COS($N5)</f>
        <v>104.99999856138344</v>
      </c>
      <c r="V5">
        <f t="shared" ref="V5" si="6">P5 - $B$10/2 * SIN($N5)</f>
        <v>26.02214260764012</v>
      </c>
      <c r="W5">
        <f t="shared" ref="W5" si="7">Q5 + $B$10/2 * COS($N5)</f>
        <v>134.99999851382597</v>
      </c>
    </row>
    <row r="6" spans="1:23" x14ac:dyDescent="0.25">
      <c r="L6">
        <f>Center!B5</f>
        <v>26</v>
      </c>
      <c r="M6">
        <f>Center!C5</f>
        <v>120</v>
      </c>
      <c r="N6">
        <f>Center!H5</f>
        <v>6.2831840000000003</v>
      </c>
      <c r="P6">
        <f>P5 + (Center!$D5-Center!$D4)*COS($N6)</f>
        <v>26.045638999946743</v>
      </c>
      <c r="Q6">
        <f>Q5 + (Center!$D5-Center!$D4)*SIN($N6)</f>
        <v>119.99999850578664</v>
      </c>
      <c r="S6">
        <f t="shared" ref="S6:S69" si="8">P6 + $B$10/2 * SIN($N6)</f>
        <v>26.045619392252949</v>
      </c>
      <c r="T6">
        <f t="shared" ref="T6:T69" si="9">Q6 - $B$10/2 * COS($N6)</f>
        <v>104.99999850579945</v>
      </c>
      <c r="V6">
        <f t="shared" ref="V6:V69" si="10">P6 - $B$10/2 * SIN($N6)</f>
        <v>26.045658607640537</v>
      </c>
      <c r="W6">
        <f t="shared" ref="W6:W69" si="11">Q6 + $B$10/2 * COS($N6)</f>
        <v>134.99999850577382</v>
      </c>
    </row>
    <row r="7" spans="1:23" x14ac:dyDescent="0.25">
      <c r="A7" s="1" t="s">
        <v>18</v>
      </c>
      <c r="C7" s="3">
        <f>MAX(Left!E:E)</f>
        <v>92.91529234556144</v>
      </c>
      <c r="L7">
        <f>Center!B6</f>
        <v>26.037507000000002</v>
      </c>
      <c r="M7">
        <f>Center!C6</f>
        <v>120.00000199999999</v>
      </c>
      <c r="N7">
        <f>Center!H6</f>
        <v>8.6000000000000003E-5</v>
      </c>
      <c r="P7">
        <f>P6 + (Center!$D6-Center!$D5)*COS($N7)</f>
        <v>26.083670999806099</v>
      </c>
      <c r="Q7">
        <f>Q6 + (Center!$D6-Center!$D5)*SIN($N7)</f>
        <v>120.00000177653862</v>
      </c>
      <c r="S7">
        <f t="shared" si="8"/>
        <v>26.084960999804508</v>
      </c>
      <c r="T7">
        <f t="shared" si="9"/>
        <v>105.00000183200862</v>
      </c>
      <c r="V7">
        <f t="shared" si="10"/>
        <v>26.08238099980769</v>
      </c>
      <c r="W7">
        <f t="shared" si="11"/>
        <v>135.00000172106863</v>
      </c>
    </row>
    <row r="8" spans="1:23" x14ac:dyDescent="0.25">
      <c r="A8" s="1" t="s">
        <v>19</v>
      </c>
      <c r="C8" s="3">
        <f>MAX(Right!E:E)</f>
        <v>82.735600375185214</v>
      </c>
      <c r="L8">
        <f>Center!B7</f>
        <v>26.092274</v>
      </c>
      <c r="M8">
        <f>Center!C7</f>
        <v>120.00001</v>
      </c>
      <c r="N8">
        <f>Center!H7</f>
        <v>2.1100000000000001E-4</v>
      </c>
      <c r="P8">
        <f>P7 + (Center!$D7-Center!$D6)*COS($N8)</f>
        <v>26.138437998586959</v>
      </c>
      <c r="Q8">
        <f>Q7 + (Center!$D7-Center!$D6)*SIN($N8)</f>
        <v>120.00001333237554</v>
      </c>
      <c r="S8">
        <f t="shared" si="8"/>
        <v>26.141602998563474</v>
      </c>
      <c r="T8">
        <f t="shared" si="9"/>
        <v>105.00001366628304</v>
      </c>
      <c r="V8">
        <f t="shared" si="10"/>
        <v>26.135272998610443</v>
      </c>
      <c r="W8">
        <f t="shared" si="11"/>
        <v>135.00001299846804</v>
      </c>
    </row>
    <row r="9" spans="1:23" x14ac:dyDescent="0.25">
      <c r="L9">
        <f>Center!B8</f>
        <v>26.166817999999999</v>
      </c>
      <c r="M9">
        <f>Center!C8</f>
        <v>120.000032</v>
      </c>
      <c r="N9">
        <f>Center!H8</f>
        <v>3.8200000000000002E-4</v>
      </c>
      <c r="P9">
        <f>P8 + (Center!$D8-Center!$D7)*COS($N9)</f>
        <v>26.21298199314808</v>
      </c>
      <c r="Q9">
        <f>Q8 + (Center!$D8-Center!$D7)*SIN($N9)</f>
        <v>120.00004180818286</v>
      </c>
      <c r="S9">
        <f t="shared" si="8"/>
        <v>26.218711993008721</v>
      </c>
      <c r="T9">
        <f t="shared" si="9"/>
        <v>105.00004290261285</v>
      </c>
      <c r="V9">
        <f t="shared" si="10"/>
        <v>26.207251993287439</v>
      </c>
      <c r="W9">
        <f t="shared" si="11"/>
        <v>135.00004071375287</v>
      </c>
    </row>
    <row r="10" spans="1:23" x14ac:dyDescent="0.25">
      <c r="A10" s="1" t="s">
        <v>13</v>
      </c>
      <c r="B10" s="2">
        <v>30</v>
      </c>
      <c r="L10">
        <f>Center!B9</f>
        <v>26.264181000000001</v>
      </c>
      <c r="M10">
        <f>Center!C9</f>
        <v>120.00008</v>
      </c>
      <c r="N10">
        <f>Center!H9</f>
        <v>6.0499999999999996E-4</v>
      </c>
      <c r="P10">
        <f>P9 + (Center!$D9-Center!$D8)*COS($N10)</f>
        <v>26.310344975329436</v>
      </c>
      <c r="Q10">
        <f>Q9 + (Center!$D9-Center!$D8)*SIN($N10)</f>
        <v>120.00010071279426</v>
      </c>
      <c r="S10">
        <f t="shared" si="8"/>
        <v>26.319419974775823</v>
      </c>
      <c r="T10">
        <f t="shared" si="9"/>
        <v>105.00010345798168</v>
      </c>
      <c r="V10">
        <f t="shared" si="10"/>
        <v>26.301269975883049</v>
      </c>
      <c r="W10">
        <f t="shared" si="11"/>
        <v>135.00009796760685</v>
      </c>
    </row>
    <row r="11" spans="1:23" x14ac:dyDescent="0.25">
      <c r="L11">
        <f>Center!B10</f>
        <v>26.387405999999999</v>
      </c>
      <c r="M11">
        <f>Center!C10</f>
        <v>120.00017200000001</v>
      </c>
      <c r="N11">
        <f>Center!H10</f>
        <v>8.8999999999999995E-4</v>
      </c>
      <c r="P11">
        <f>P10 + (Center!$D10-Center!$D9)*COS($N11)</f>
        <v>26.433569926526179</v>
      </c>
      <c r="Q11">
        <f>Q10 + (Center!$D10-Center!$D9)*SIN($N11)</f>
        <v>120.00021038302978</v>
      </c>
      <c r="S11">
        <f t="shared" si="8"/>
        <v>26.446919924763755</v>
      </c>
      <c r="T11">
        <f t="shared" si="9"/>
        <v>105.00021632377938</v>
      </c>
      <c r="V11">
        <f t="shared" si="10"/>
        <v>26.420219928288603</v>
      </c>
      <c r="W11">
        <f t="shared" si="11"/>
        <v>135.00020444228016</v>
      </c>
    </row>
    <row r="12" spans="1:23" x14ac:dyDescent="0.25">
      <c r="A12" s="1" t="s">
        <v>12</v>
      </c>
      <c r="B12" t="s">
        <v>20</v>
      </c>
      <c r="L12">
        <f>Center!B11</f>
        <v>26.539535000000001</v>
      </c>
      <c r="M12">
        <f>Center!C11</f>
        <v>120.000334</v>
      </c>
      <c r="N12">
        <f>Center!H11</f>
        <v>1.242E-3</v>
      </c>
      <c r="P12">
        <f>P11 + (Center!$D11-Center!$D10)*COS($N12)</f>
        <v>26.585699809191063</v>
      </c>
      <c r="Q12">
        <f>Q11 + (Center!$D11-Center!$D10)*SIN($N12)</f>
        <v>120.0003993284412</v>
      </c>
      <c r="S12">
        <f t="shared" si="8"/>
        <v>26.604329804401402</v>
      </c>
      <c r="T12">
        <f t="shared" si="9"/>
        <v>105.00041089766972</v>
      </c>
      <c r="V12">
        <f t="shared" si="10"/>
        <v>26.567069813980723</v>
      </c>
      <c r="W12">
        <f t="shared" si="11"/>
        <v>135.00038775921269</v>
      </c>
    </row>
    <row r="13" spans="1:23" x14ac:dyDescent="0.25">
      <c r="L13">
        <f>Center!B12</f>
        <v>26.723611999999999</v>
      </c>
      <c r="M13">
        <f>Center!C12</f>
        <v>120.000602</v>
      </c>
      <c r="N13">
        <f>Center!H12</f>
        <v>1.6720000000000001E-3</v>
      </c>
      <c r="P13">
        <f>P12 + (Center!$D12-Center!$D11)*COS($N13)</f>
        <v>26.769776551889766</v>
      </c>
      <c r="Q13">
        <f>Q12 + (Center!$D12-Center!$D11)*SIN($N13)</f>
        <v>120.0007071050418</v>
      </c>
      <c r="S13">
        <f t="shared" si="8"/>
        <v>26.794856540204226</v>
      </c>
      <c r="T13">
        <f t="shared" si="9"/>
        <v>105.00072807191691</v>
      </c>
      <c r="V13">
        <f t="shared" si="10"/>
        <v>26.744696563575307</v>
      </c>
      <c r="W13">
        <f t="shared" si="11"/>
        <v>135.00068613816669</v>
      </c>
    </row>
    <row r="14" spans="1:23" x14ac:dyDescent="0.25">
      <c r="L14">
        <f>Center!B13</f>
        <v>26.942678999999998</v>
      </c>
      <c r="M14">
        <f>Center!C13</f>
        <v>120.001025</v>
      </c>
      <c r="N14">
        <f>Center!H13</f>
        <v>2.1870000000000001E-3</v>
      </c>
      <c r="P14">
        <f>P13 + (Center!$D13-Center!$D12)*COS($N14)</f>
        <v>26.988843027994641</v>
      </c>
      <c r="Q14">
        <f>Q13 + (Center!$D13-Center!$D12)*SIN($N14)</f>
        <v>120.00118620418888</v>
      </c>
      <c r="S14">
        <f t="shared" si="8"/>
        <v>27.021648001843765</v>
      </c>
      <c r="T14">
        <f t="shared" si="9"/>
        <v>105.00122207644209</v>
      </c>
      <c r="V14">
        <f t="shared" si="10"/>
        <v>26.956038054145516</v>
      </c>
      <c r="W14">
        <f t="shared" si="11"/>
        <v>135.00115033193569</v>
      </c>
    </row>
    <row r="15" spans="1:23" x14ac:dyDescent="0.25">
      <c r="L15">
        <f>Center!B14</f>
        <v>27.199777000000001</v>
      </c>
      <c r="M15">
        <f>Center!C14</f>
        <v>120.001665</v>
      </c>
      <c r="N15">
        <f>Center!H14</f>
        <v>2.7959999999999999E-3</v>
      </c>
      <c r="P15">
        <f>P14 + (Center!$D14-Center!$D13)*COS($N15)</f>
        <v>27.245941023044669</v>
      </c>
      <c r="Q15">
        <f>Q14 + (Center!$D14-Center!$D13)*SIN($N15)</f>
        <v>120.00190505205627</v>
      </c>
      <c r="S15">
        <f t="shared" si="8"/>
        <v>27.287880968399556</v>
      </c>
      <c r="T15">
        <f t="shared" si="9"/>
        <v>105.00196368413808</v>
      </c>
      <c r="V15">
        <f t="shared" si="10"/>
        <v>27.204001077689782</v>
      </c>
      <c r="W15">
        <f t="shared" si="11"/>
        <v>135.00184641997447</v>
      </c>
    </row>
    <row r="16" spans="1:23" x14ac:dyDescent="0.25">
      <c r="L16">
        <f>Center!B15</f>
        <v>27.497949999999999</v>
      </c>
      <c r="M16">
        <f>Center!C15</f>
        <v>120.002605</v>
      </c>
      <c r="N16">
        <f>Center!H15</f>
        <v>3.509E-3</v>
      </c>
      <c r="P16">
        <f>P15 + (Center!$D15-Center!$D14)*COS($N16)</f>
        <v>27.544114187320087</v>
      </c>
      <c r="Q16">
        <f>Q15 + (Center!$D15-Center!$D14)*SIN($N16)</f>
        <v>120.00295134598409</v>
      </c>
      <c r="S16">
        <f t="shared" si="8"/>
        <v>27.596749079303649</v>
      </c>
      <c r="T16">
        <f t="shared" si="9"/>
        <v>105.00304369399683</v>
      </c>
      <c r="V16">
        <f t="shared" si="10"/>
        <v>27.491479295336525</v>
      </c>
      <c r="W16">
        <f t="shared" si="11"/>
        <v>135.00285899797134</v>
      </c>
    </row>
    <row r="17" spans="12:23" x14ac:dyDescent="0.25">
      <c r="L17">
        <f>Center!B16</f>
        <v>27.840240000000001</v>
      </c>
      <c r="M17">
        <f>Center!C16</f>
        <v>120.00394799999999</v>
      </c>
      <c r="N17">
        <f>Center!H16</f>
        <v>4.3379999999999998E-3</v>
      </c>
      <c r="P17">
        <f>P16 + (Center!$D16-Center!$D15)*COS($N17)</f>
        <v>27.88640296665795</v>
      </c>
      <c r="Q17">
        <f>Q16 + (Center!$D16-Center!$D15)*SIN($N17)</f>
        <v>120.00443620402301</v>
      </c>
      <c r="S17">
        <f t="shared" si="8"/>
        <v>27.951472762574287</v>
      </c>
      <c r="T17">
        <f t="shared" si="9"/>
        <v>105.00457734063168</v>
      </c>
      <c r="V17">
        <f t="shared" si="10"/>
        <v>27.821333170741614</v>
      </c>
      <c r="W17">
        <f t="shared" si="11"/>
        <v>135.00429506741435</v>
      </c>
    </row>
    <row r="18" spans="12:23" x14ac:dyDescent="0.25">
      <c r="L18">
        <f>Center!B17</f>
        <v>28.229687999999999</v>
      </c>
      <c r="M18">
        <f>Center!C17</f>
        <v>120.00582199999999</v>
      </c>
      <c r="N18">
        <f>Center!H17</f>
        <v>5.2919999999999998E-3</v>
      </c>
      <c r="P18">
        <f>P17 + (Center!$D17-Center!$D16)*COS($N18)</f>
        <v>28.275849513317638</v>
      </c>
      <c r="Q18">
        <f>Q17 + (Center!$D17-Center!$D16)*SIN($N18)</f>
        <v>120.00649717438731</v>
      </c>
      <c r="S18">
        <f t="shared" si="8"/>
        <v>28.355229142808515</v>
      </c>
      <c r="T18">
        <f t="shared" si="9"/>
        <v>105.00670721337713</v>
      </c>
      <c r="V18">
        <f t="shared" si="10"/>
        <v>28.196469883826762</v>
      </c>
      <c r="W18">
        <f t="shared" si="11"/>
        <v>135.00628713539749</v>
      </c>
    </row>
    <row r="19" spans="12:23" x14ac:dyDescent="0.25">
      <c r="L19">
        <f>Center!B18</f>
        <v>28.669335</v>
      </c>
      <c r="M19">
        <f>Center!C18</f>
        <v>120.00838899999999</v>
      </c>
      <c r="N19">
        <f>Center!H18</f>
        <v>6.3839999999999999E-3</v>
      </c>
      <c r="P19">
        <f>P18 + (Center!$D18-Center!$D17)*COS($N19)</f>
        <v>28.715495554178062</v>
      </c>
      <c r="Q19">
        <f>Q18 + (Center!$D18-Center!$D17)*SIN($N19)</f>
        <v>120.00930391284223</v>
      </c>
      <c r="S19">
        <f t="shared" si="8"/>
        <v>28.811254903722311</v>
      </c>
      <c r="T19">
        <f t="shared" si="9"/>
        <v>105.00960957772409</v>
      </c>
      <c r="V19">
        <f t="shared" si="10"/>
        <v>28.619736204633814</v>
      </c>
      <c r="W19">
        <f t="shared" si="11"/>
        <v>135.00899824796036</v>
      </c>
    </row>
    <row r="20" spans="12:23" x14ac:dyDescent="0.25">
      <c r="L20">
        <f>Center!B19</f>
        <v>29.160703000000002</v>
      </c>
      <c r="M20">
        <f>Center!C19</f>
        <v>120.01182900000001</v>
      </c>
      <c r="N20">
        <f>Center!H19</f>
        <v>7.6239999999999997E-3</v>
      </c>
      <c r="P20">
        <f>P19 + (Center!$D19-Center!$D18)*COS($N20)</f>
        <v>29.206861273423605</v>
      </c>
      <c r="Q20">
        <f>Q19 + (Center!$D19-Center!$D18)*SIN($N20)</f>
        <v>120.01305015766999</v>
      </c>
      <c r="S20">
        <f t="shared" si="8"/>
        <v>29.321220165557158</v>
      </c>
      <c r="T20">
        <f t="shared" si="9"/>
        <v>105.01348609587839</v>
      </c>
      <c r="V20">
        <f t="shared" si="10"/>
        <v>29.092502381290053</v>
      </c>
      <c r="W20">
        <f t="shared" si="11"/>
        <v>135.0126142194616</v>
      </c>
    </row>
    <row r="21" spans="12:23" x14ac:dyDescent="0.25">
      <c r="L21">
        <f>Center!B20</f>
        <v>29.703786999999998</v>
      </c>
      <c r="M21">
        <f>Center!C20</f>
        <v>120.016347</v>
      </c>
      <c r="N21">
        <f>Center!H20</f>
        <v>9.018E-3</v>
      </c>
      <c r="P21">
        <f>P20 + (Center!$D20-Center!$D19)*COS($N21)</f>
        <v>29.749942189831099</v>
      </c>
      <c r="Q21">
        <f>Q20 + (Center!$D20-Center!$D19)*SIN($N21)</f>
        <v>120.01794779414054</v>
      </c>
      <c r="S21">
        <f t="shared" si="8"/>
        <v>29.88521035638167</v>
      </c>
      <c r="T21">
        <f t="shared" si="9"/>
        <v>105.01855772243702</v>
      </c>
      <c r="V21">
        <f t="shared" si="10"/>
        <v>29.614674023280529</v>
      </c>
      <c r="W21">
        <f t="shared" si="11"/>
        <v>135.01733786584407</v>
      </c>
    </row>
    <row r="22" spans="12:23" x14ac:dyDescent="0.25">
      <c r="L22">
        <f>Center!B21</f>
        <v>30.298586</v>
      </c>
      <c r="M22">
        <f>Center!C21</f>
        <v>120.022172</v>
      </c>
      <c r="N22">
        <f>Center!H21</f>
        <v>1.0573000000000001E-2</v>
      </c>
      <c r="P22">
        <f>P21 + (Center!$D21-Center!$D20)*COS($N22)</f>
        <v>30.34473694272674</v>
      </c>
      <c r="Q22">
        <f>Q21 + (Center!$D21-Center!$D20)*SIN($N22)</f>
        <v>120.02423679341022</v>
      </c>
      <c r="S22">
        <f t="shared" si="8"/>
        <v>30.50332898789825</v>
      </c>
      <c r="T22">
        <f t="shared" si="9"/>
        <v>105.02507519806736</v>
      </c>
      <c r="V22">
        <f t="shared" si="10"/>
        <v>30.186144897555231</v>
      </c>
      <c r="W22">
        <f t="shared" si="11"/>
        <v>135.02339838875309</v>
      </c>
    </row>
    <row r="23" spans="12:23" x14ac:dyDescent="0.25">
      <c r="L23">
        <f>Center!B22</f>
        <v>30.945095999999999</v>
      </c>
      <c r="M23">
        <f>Center!C22</f>
        <v>120.02956399999999</v>
      </c>
      <c r="N23">
        <f>Center!H22</f>
        <v>1.2297000000000001E-2</v>
      </c>
      <c r="P23">
        <f>P22 + (Center!$D22-Center!$D21)*COS($N23)</f>
        <v>30.991239058847174</v>
      </c>
      <c r="Q23">
        <f>Q22 + (Center!$D22-Center!$D21)*SIN($N23)</f>
        <v>120.03218723068119</v>
      </c>
      <c r="S23">
        <f t="shared" si="8"/>
        <v>31.175689410118018</v>
      </c>
      <c r="T23">
        <f t="shared" si="9"/>
        <v>105.03332133795729</v>
      </c>
      <c r="V23">
        <f t="shared" si="10"/>
        <v>30.806788707576331</v>
      </c>
      <c r="W23">
        <f t="shared" si="11"/>
        <v>135.03105312340509</v>
      </c>
    </row>
    <row r="24" spans="12:23" x14ac:dyDescent="0.25">
      <c r="L24">
        <f>Center!B23</f>
        <v>31.64331</v>
      </c>
      <c r="M24">
        <f>Center!C23</f>
        <v>120.038811</v>
      </c>
      <c r="N24">
        <f>Center!H23</f>
        <v>1.4198000000000001E-2</v>
      </c>
      <c r="P24">
        <f>P23 + (Center!$D23-Center!$D22)*COS($N24)</f>
        <v>31.689444679672778</v>
      </c>
      <c r="Q24">
        <f>Q23 + (Center!$D23-Center!$D22)*SIN($N24)</f>
        <v>120.04210102024578</v>
      </c>
      <c r="S24">
        <f t="shared" si="8"/>
        <v>31.902407524549069</v>
      </c>
      <c r="T24">
        <f t="shared" si="9"/>
        <v>105.04361286887858</v>
      </c>
      <c r="V24">
        <f t="shared" si="10"/>
        <v>31.476481834796488</v>
      </c>
      <c r="W24">
        <f t="shared" si="11"/>
        <v>135.04058917161296</v>
      </c>
    </row>
    <row r="25" spans="12:23" x14ac:dyDescent="0.25">
      <c r="L25">
        <f>Center!B24</f>
        <v>32.393222999999999</v>
      </c>
      <c r="M25">
        <f>Center!C24</f>
        <v>120.050239</v>
      </c>
      <c r="N25">
        <f>Center!H24</f>
        <v>1.6285000000000001E-2</v>
      </c>
      <c r="P25">
        <f>P24 + (Center!$D24-Center!$D23)*COS($N25)</f>
        <v>32.439345231411252</v>
      </c>
      <c r="Q25">
        <f>Q24 + (Center!$D24-Center!$D23)*SIN($N25)</f>
        <v>120.0543142304027</v>
      </c>
      <c r="S25">
        <f t="shared" si="8"/>
        <v>32.683609434549545</v>
      </c>
      <c r="T25">
        <f t="shared" si="9"/>
        <v>105.05630319563328</v>
      </c>
      <c r="V25">
        <f t="shared" si="10"/>
        <v>32.195081028272959</v>
      </c>
      <c r="W25">
        <f t="shared" si="11"/>
        <v>135.0523252651721</v>
      </c>
    </row>
    <row r="26" spans="12:23" x14ac:dyDescent="0.25">
      <c r="L26">
        <f>Center!B25</f>
        <v>33.194825000000002</v>
      </c>
      <c r="M26">
        <f>Center!C25</f>
        <v>120.064206</v>
      </c>
      <c r="N26">
        <f>Center!H25</f>
        <v>1.8568999999999999E-2</v>
      </c>
      <c r="P26">
        <f>P25 + (Center!$D25-Center!$D24)*COS($N26)</f>
        <v>33.240931015054137</v>
      </c>
      <c r="Q26">
        <f>Q25 + (Center!$D25-Center!$D24)*SIN($N26)</f>
        <v>120.06920058783568</v>
      </c>
      <c r="S26">
        <f t="shared" si="8"/>
        <v>33.519450008491816</v>
      </c>
      <c r="T26">
        <f t="shared" si="9"/>
        <v>105.07178657173628</v>
      </c>
      <c r="V26">
        <f t="shared" si="10"/>
        <v>32.962412021616458</v>
      </c>
      <c r="W26">
        <f t="shared" si="11"/>
        <v>135.06661460393508</v>
      </c>
    </row>
    <row r="27" spans="12:23" x14ac:dyDescent="0.25">
      <c r="L27">
        <f>Center!B26</f>
        <v>34.048105999999997</v>
      </c>
      <c r="M27">
        <f>Center!C26</f>
        <v>120.08111100000001</v>
      </c>
      <c r="N27">
        <f>Center!H26</f>
        <v>2.1059000000000001E-2</v>
      </c>
      <c r="P27">
        <f>P26 + (Center!$D26-Center!$D25)*COS($N27)</f>
        <v>34.094190777634658</v>
      </c>
      <c r="Q27">
        <f>Q26 + (Center!$D26-Center!$D25)*SIN($N27)</f>
        <v>120.08717204192344</v>
      </c>
      <c r="S27">
        <f t="shared" si="8"/>
        <v>34.410052429961105</v>
      </c>
      <c r="T27">
        <f t="shared" si="9"/>
        <v>105.09049803011037</v>
      </c>
      <c r="V27">
        <f t="shared" si="10"/>
        <v>33.778329125308211</v>
      </c>
      <c r="W27">
        <f t="shared" si="11"/>
        <v>135.08384605373652</v>
      </c>
    </row>
    <row r="28" spans="12:23" x14ac:dyDescent="0.25">
      <c r="L28">
        <f>Center!B27</f>
        <v>34.953051000000002</v>
      </c>
      <c r="M28">
        <f>Center!C27</f>
        <v>120.10139100000001</v>
      </c>
      <c r="N28">
        <f>Center!H27</f>
        <v>2.3767E-2</v>
      </c>
      <c r="P28">
        <f>P27 + (Center!$D27-Center!$D26)*COS($N28)</f>
        <v>34.999107137284021</v>
      </c>
      <c r="Q28">
        <f>Q27 + (Center!$D27-Center!$D26)*SIN($N28)</f>
        <v>120.10868323954124</v>
      </c>
      <c r="S28">
        <f t="shared" si="8"/>
        <v>35.355578575051553</v>
      </c>
      <c r="T28">
        <f t="shared" si="9"/>
        <v>105.11291956728846</v>
      </c>
      <c r="V28">
        <f t="shared" si="10"/>
        <v>34.642635699516489</v>
      </c>
      <c r="W28">
        <f t="shared" si="11"/>
        <v>135.10444691179401</v>
      </c>
    </row>
    <row r="29" spans="12:23" x14ac:dyDescent="0.25">
      <c r="L29">
        <f>Center!B28</f>
        <v>35.909641999999998</v>
      </c>
      <c r="M29">
        <f>Center!C28</f>
        <v>120.12553</v>
      </c>
      <c r="N29">
        <f>Center!H28</f>
        <v>2.6703999999999999E-2</v>
      </c>
      <c r="P29">
        <f>P28 + (Center!$D28-Center!$D27)*COS($N29)</f>
        <v>35.955662974203044</v>
      </c>
      <c r="Q29">
        <f>Q28 + (Center!$D28-Center!$D27)*SIN($N29)</f>
        <v>120.13423318015074</v>
      </c>
      <c r="S29">
        <f t="shared" si="8"/>
        <v>36.356175369103042</v>
      </c>
      <c r="T29">
        <f t="shared" si="9"/>
        <v>105.13958113945532</v>
      </c>
      <c r="V29">
        <f t="shared" si="10"/>
        <v>35.555150579303046</v>
      </c>
      <c r="W29">
        <f t="shared" si="11"/>
        <v>135.12888522084617</v>
      </c>
    </row>
    <row r="30" spans="12:23" x14ac:dyDescent="0.25">
      <c r="L30">
        <f>Center!B29</f>
        <v>36.917859</v>
      </c>
      <c r="M30">
        <f>Center!C29</f>
        <v>120.15405699999999</v>
      </c>
      <c r="N30">
        <f>Center!H29</f>
        <v>2.9884000000000001E-2</v>
      </c>
      <c r="P30">
        <f>P29 + (Center!$D29-Center!$D28)*COS($N30)</f>
        <v>36.963832631931119</v>
      </c>
      <c r="Q30">
        <f>Q29 + (Center!$D29-Center!$D28)*SIN($N30)</f>
        <v>120.16437029408772</v>
      </c>
      <c r="S30">
        <f t="shared" si="8"/>
        <v>37.412025914886584</v>
      </c>
      <c r="T30">
        <f t="shared" si="9"/>
        <v>105.17106769655726</v>
      </c>
      <c r="V30">
        <f t="shared" si="10"/>
        <v>36.515639348975654</v>
      </c>
      <c r="W30">
        <f t="shared" si="11"/>
        <v>135.15767289161818</v>
      </c>
    </row>
    <row r="31" spans="12:23" x14ac:dyDescent="0.25">
      <c r="L31">
        <f>Center!B30</f>
        <v>37.977674</v>
      </c>
      <c r="M31">
        <f>Center!C30</f>
        <v>120.187552</v>
      </c>
      <c r="N31">
        <f>Center!H30</f>
        <v>3.3319000000000001E-2</v>
      </c>
      <c r="P31">
        <f>P30 + (Center!$D30-Center!$D29)*COS($N31)</f>
        <v>38.023589112324643</v>
      </c>
      <c r="Q31">
        <f>Q30 + (Center!$D30-Center!$D29)*SIN($N31)</f>
        <v>120.19969339260591</v>
      </c>
      <c r="S31">
        <f t="shared" si="8"/>
        <v>38.523281644257992</v>
      </c>
      <c r="T31">
        <f t="shared" si="9"/>
        <v>105.20801879056327</v>
      </c>
      <c r="V31">
        <f t="shared" si="10"/>
        <v>37.523896580391295</v>
      </c>
      <c r="W31">
        <f t="shared" si="11"/>
        <v>135.19136799464854</v>
      </c>
    </row>
    <row r="32" spans="12:23" x14ac:dyDescent="0.25">
      <c r="L32">
        <f>Center!B31</f>
        <v>39.087535000000003</v>
      </c>
      <c r="M32">
        <f>Center!C31</f>
        <v>120.226591</v>
      </c>
      <c r="N32">
        <f>Center!H31</f>
        <v>3.7018000000000002E-2</v>
      </c>
      <c r="P32">
        <f>P31 + (Center!$D31-Center!$D30)*COS($N32)</f>
        <v>39.133376289301417</v>
      </c>
      <c r="Q32">
        <f>Q31 + (Center!$D31-Center!$D30)*SIN($N32)</f>
        <v>120.24079426999216</v>
      </c>
      <c r="S32">
        <f t="shared" si="8"/>
        <v>39.688519480585306</v>
      </c>
      <c r="T32">
        <f t="shared" si="9"/>
        <v>105.2510705888441</v>
      </c>
      <c r="V32">
        <f t="shared" si="10"/>
        <v>38.578233098017527</v>
      </c>
      <c r="W32">
        <f t="shared" si="11"/>
        <v>135.23051795114023</v>
      </c>
    </row>
    <row r="33" spans="12:23" x14ac:dyDescent="0.25">
      <c r="L33">
        <f>Center!B32</f>
        <v>40.244362000000002</v>
      </c>
      <c r="M33">
        <f>Center!C32</f>
        <v>120.271721</v>
      </c>
      <c r="N33">
        <f>Center!H32</f>
        <v>4.0985000000000001E-2</v>
      </c>
      <c r="P33">
        <f>P32 + (Center!$D32-Center!$D31)*COS($N33)</f>
        <v>40.290112083689195</v>
      </c>
      <c r="Q33">
        <f>Q32 + (Center!$D32-Center!$D31)*SIN($N33)</f>
        <v>120.28822964967942</v>
      </c>
      <c r="S33">
        <f t="shared" si="8"/>
        <v>40.904714984687487</v>
      </c>
      <c r="T33">
        <f t="shared" si="9"/>
        <v>105.30082616294816</v>
      </c>
      <c r="V33">
        <f t="shared" si="10"/>
        <v>39.675509182690902</v>
      </c>
      <c r="W33">
        <f t="shared" si="11"/>
        <v>135.27563313641068</v>
      </c>
    </row>
    <row r="34" spans="12:23" x14ac:dyDescent="0.25">
      <c r="L34">
        <f>Center!B33</f>
        <v>41.445070999999999</v>
      </c>
      <c r="M34">
        <f>Center!C33</f>
        <v>120.32349600000001</v>
      </c>
      <c r="N34">
        <f>Center!H33</f>
        <v>4.5221999999999998E-2</v>
      </c>
      <c r="P34">
        <f>P33 + (Center!$D33-Center!$D32)*COS($N34)</f>
        <v>41.490708409440558</v>
      </c>
      <c r="Q34">
        <f>Q33 + (Center!$D33-Center!$D32)*SIN($N34)</f>
        <v>120.34256005753117</v>
      </c>
      <c r="S34">
        <f t="shared" si="8"/>
        <v>42.16880723229432</v>
      </c>
      <c r="T34">
        <f t="shared" si="9"/>
        <v>105.35789516349887</v>
      </c>
      <c r="V34">
        <f t="shared" si="10"/>
        <v>40.812609586586795</v>
      </c>
      <c r="W34">
        <f t="shared" si="11"/>
        <v>135.32722495156349</v>
      </c>
    </row>
    <row r="35" spans="12:23" x14ac:dyDescent="0.25">
      <c r="L35">
        <f>Center!B34</f>
        <v>42.686571000000001</v>
      </c>
      <c r="M35">
        <f>Center!C34</f>
        <v>120.38247</v>
      </c>
      <c r="N35">
        <f>Center!H34</f>
        <v>4.9732999999999999E-2</v>
      </c>
      <c r="P35">
        <f>P34 + (Center!$D34-Center!$D33)*COS($N35)</f>
        <v>42.732072648403886</v>
      </c>
      <c r="Q35">
        <f>Q34 + (Center!$D34-Center!$D33)*SIN($N35)</f>
        <v>120.40434777495139</v>
      </c>
      <c r="S35">
        <f t="shared" si="8"/>
        <v>43.477760165996465</v>
      </c>
      <c r="T35">
        <f t="shared" si="9"/>
        <v>105.42289423645565</v>
      </c>
      <c r="V35">
        <f t="shared" si="10"/>
        <v>41.986385130811307</v>
      </c>
      <c r="W35">
        <f t="shared" si="11"/>
        <v>135.38580131344713</v>
      </c>
    </row>
    <row r="36" spans="12:23" x14ac:dyDescent="0.25">
      <c r="L36">
        <f>Center!B35</f>
        <v>43.965764</v>
      </c>
      <c r="M36">
        <f>Center!C35</f>
        <v>120.44919299999999</v>
      </c>
      <c r="N36">
        <f>Center!H35</f>
        <v>5.4517000000000003E-2</v>
      </c>
      <c r="P36">
        <f>P35 + (Center!$D35-Center!$D34)*COS($N36)</f>
        <v>44.011102587223995</v>
      </c>
      <c r="Q36">
        <f>Q35 + (Center!$D35-Center!$D34)*SIN($N36)</f>
        <v>120.47414581282376</v>
      </c>
      <c r="S36">
        <f t="shared" si="8"/>
        <v>44.828452572028517</v>
      </c>
      <c r="T36">
        <f t="shared" si="9"/>
        <v>105.49643106716447</v>
      </c>
      <c r="V36">
        <f t="shared" si="10"/>
        <v>43.193752602419472</v>
      </c>
      <c r="W36">
        <f t="shared" si="11"/>
        <v>135.45186055848308</v>
      </c>
    </row>
    <row r="37" spans="12:23" x14ac:dyDescent="0.25">
      <c r="L37">
        <f>Center!B36</f>
        <v>45.279544999999999</v>
      </c>
      <c r="M37">
        <f>Center!C36</f>
        <v>120.52420499999999</v>
      </c>
      <c r="N37">
        <f>Center!H36</f>
        <v>5.9575999999999997E-2</v>
      </c>
      <c r="P37">
        <f>P36 + (Center!$D36-Center!$D35)*COS($N37)</f>
        <v>45.324690975261795</v>
      </c>
      <c r="Q37">
        <f>Q36 + (Center!$D36-Center!$D35)*SIN($N37)</f>
        <v>120.55249687370519</v>
      </c>
      <c r="S37">
        <f t="shared" si="8"/>
        <v>46.21780243635903</v>
      </c>
      <c r="T37">
        <f t="shared" si="9"/>
        <v>105.57910874950109</v>
      </c>
      <c r="V37">
        <f t="shared" si="10"/>
        <v>44.431579514164561</v>
      </c>
      <c r="W37">
        <f t="shared" si="11"/>
        <v>135.52588499790932</v>
      </c>
    </row>
    <row r="38" spans="12:23" x14ac:dyDescent="0.25">
      <c r="L38">
        <f>Center!B37</f>
        <v>46.624805000000002</v>
      </c>
      <c r="M38">
        <f>Center!C37</f>
        <v>120.608028</v>
      </c>
      <c r="N38">
        <f>Center!H37</f>
        <v>6.4907999999999993E-2</v>
      </c>
      <c r="P38">
        <f>P37 + (Center!$D37-Center!$D36)*COS($N38)</f>
        <v>46.669722651154913</v>
      </c>
      <c r="Q38">
        <f>Q37 + (Center!$D37-Center!$D36)*SIN($N38)</f>
        <v>120.63992300105942</v>
      </c>
      <c r="S38">
        <f t="shared" si="8"/>
        <v>47.642659143779035</v>
      </c>
      <c r="T38">
        <f t="shared" si="9"/>
        <v>105.67150977248637</v>
      </c>
      <c r="V38">
        <f t="shared" si="10"/>
        <v>45.696786158530792</v>
      </c>
      <c r="W38">
        <f t="shared" si="11"/>
        <v>135.60833622963244</v>
      </c>
    </row>
    <row r="39" spans="12:23" x14ac:dyDescent="0.25">
      <c r="L39">
        <f>Center!B38</f>
        <v>47.998424</v>
      </c>
      <c r="M39">
        <f>Center!C38</f>
        <v>120.701159</v>
      </c>
      <c r="N39">
        <f>Center!H38</f>
        <v>7.0511000000000004E-2</v>
      </c>
      <c r="P39">
        <f>P38 + (Center!$D38-Center!$D37)*COS($N39)</f>
        <v>48.043076543185528</v>
      </c>
      <c r="Q39">
        <f>Q38 + (Center!$D38-Center!$D37)*SIN($N39)</f>
        <v>120.73692036117485</v>
      </c>
      <c r="S39">
        <f t="shared" si="8"/>
        <v>49.099865344356104</v>
      </c>
      <c r="T39">
        <f t="shared" si="9"/>
        <v>105.77419342288849</v>
      </c>
      <c r="V39">
        <f t="shared" si="10"/>
        <v>46.986287742014952</v>
      </c>
      <c r="W39">
        <f t="shared" si="11"/>
        <v>135.69964729946122</v>
      </c>
    </row>
    <row r="40" spans="12:23" x14ac:dyDescent="0.25">
      <c r="L40">
        <f>Center!B39</f>
        <v>49.397278999999997</v>
      </c>
      <c r="M40">
        <f>Center!C39</f>
        <v>120.804067</v>
      </c>
      <c r="N40">
        <f>Center!H39</f>
        <v>7.6383000000000006E-2</v>
      </c>
      <c r="P40">
        <f>P39 + (Center!$D39-Center!$D38)*COS($N40)</f>
        <v>49.441623785703584</v>
      </c>
      <c r="Q40">
        <f>Q39 + (Center!$D39-Center!$D38)*SIN($N40)</f>
        <v>120.84395383357544</v>
      </c>
      <c r="S40">
        <f t="shared" si="8"/>
        <v>50.586254995352895</v>
      </c>
      <c r="T40">
        <f t="shared" si="9"/>
        <v>105.88769028301253</v>
      </c>
      <c r="V40">
        <f t="shared" si="10"/>
        <v>48.296992576054272</v>
      </c>
      <c r="W40">
        <f t="shared" si="11"/>
        <v>135.80021738413836</v>
      </c>
    </row>
    <row r="41" spans="12:23" x14ac:dyDescent="0.25">
      <c r="L41">
        <f>Center!B40</f>
        <v>50.818238000000001</v>
      </c>
      <c r="M41">
        <f>Center!C40</f>
        <v>120.917182</v>
      </c>
      <c r="N41">
        <f>Center!H40</f>
        <v>8.2518999999999995E-2</v>
      </c>
      <c r="P41">
        <f>P40 + (Center!$D40-Center!$D39)*COS($N41)</f>
        <v>50.862229299433885</v>
      </c>
      <c r="Q41">
        <f>Q40 + (Center!$D40-Center!$D39)*SIN($N41)</f>
        <v>120.96144758785651</v>
      </c>
      <c r="S41">
        <f t="shared" si="8"/>
        <v>52.098610018457165</v>
      </c>
      <c r="T41">
        <f t="shared" si="9"/>
        <v>106.01248900481042</v>
      </c>
      <c r="V41">
        <f t="shared" si="10"/>
        <v>49.625848580410604</v>
      </c>
      <c r="W41">
        <f t="shared" si="11"/>
        <v>135.9104061709026</v>
      </c>
    </row>
    <row r="42" spans="12:23" x14ac:dyDescent="0.25">
      <c r="L42">
        <f>Center!B41</f>
        <v>52.258164999999998</v>
      </c>
      <c r="M42">
        <f>Center!C41</f>
        <v>121.040887</v>
      </c>
      <c r="N42">
        <f>Center!H41</f>
        <v>8.8911000000000004E-2</v>
      </c>
      <c r="P42">
        <f>P41 + (Center!$D41-Center!$D40)*COS($N42)</f>
        <v>52.301753658237345</v>
      </c>
      <c r="Q42">
        <f>Q41 + (Center!$D41-Center!$D40)*SIN($N42)</f>
        <v>121.08977546752607</v>
      </c>
      <c r="S42">
        <f t="shared" si="8"/>
        <v>53.633662212113002</v>
      </c>
      <c r="T42">
        <f t="shared" si="9"/>
        <v>106.14902516494378</v>
      </c>
      <c r="V42">
        <f t="shared" si="10"/>
        <v>50.969845104361688</v>
      </c>
      <c r="W42">
        <f t="shared" si="11"/>
        <v>136.03052577010837</v>
      </c>
    </row>
    <row r="43" spans="12:23" x14ac:dyDescent="0.25">
      <c r="L43">
        <f>Center!B42</f>
        <v>53.713918</v>
      </c>
      <c r="M43">
        <f>Center!C42</f>
        <v>121.175515</v>
      </c>
      <c r="N43">
        <f>Center!H42</f>
        <v>9.5552999999999999E-2</v>
      </c>
      <c r="P43">
        <f>P42 + (Center!$D42-Center!$D41)*COS($N43)</f>
        <v>53.757052576193104</v>
      </c>
      <c r="Q43">
        <f>Q42 + (Center!$D42-Center!$D41)*SIN($N43)</f>
        <v>121.22925841422858</v>
      </c>
      <c r="S43">
        <f t="shared" si="8"/>
        <v>55.188167484684676</v>
      </c>
      <c r="T43">
        <f t="shared" si="9"/>
        <v>106.29768414629912</v>
      </c>
      <c r="V43">
        <f t="shared" si="10"/>
        <v>52.325937667701531</v>
      </c>
      <c r="W43">
        <f t="shared" si="11"/>
        <v>136.16083268215803</v>
      </c>
    </row>
    <row r="44" spans="12:23" x14ac:dyDescent="0.25">
      <c r="L44">
        <f>Center!B43</f>
        <v>55.182352000000002</v>
      </c>
      <c r="M44">
        <f>Center!C43</f>
        <v>121.321337</v>
      </c>
      <c r="N44">
        <f>Center!H43</f>
        <v>0.102436</v>
      </c>
      <c r="P44">
        <f>P43 + (Center!$D43-Center!$D42)*COS($N44)</f>
        <v>55.224976199888296</v>
      </c>
      <c r="Q44">
        <f>Q43 + (Center!$D43-Center!$D42)*SIN($N44)</f>
        <v>121.38015480013156</v>
      </c>
      <c r="S44">
        <f t="shared" si="8"/>
        <v>56.758830422675999</v>
      </c>
      <c r="T44">
        <f t="shared" si="9"/>
        <v>106.45878451375249</v>
      </c>
      <c r="V44">
        <f t="shared" si="10"/>
        <v>53.691121977100593</v>
      </c>
      <c r="W44">
        <f t="shared" si="11"/>
        <v>136.30152508651065</v>
      </c>
    </row>
    <row r="45" spans="12:23" x14ac:dyDescent="0.25">
      <c r="L45">
        <f>Center!B44</f>
        <v>56.660317999999997</v>
      </c>
      <c r="M45">
        <f>Center!C44</f>
        <v>121.478555</v>
      </c>
      <c r="N45">
        <f>Center!H44</f>
        <v>0.10954700000000001</v>
      </c>
      <c r="P45">
        <f>P44 + (Center!$D44-Center!$D43)*COS($N45)</f>
        <v>56.702374861805552</v>
      </c>
      <c r="Q45">
        <f>Q44 + (Center!$D44-Center!$D43)*SIN($N45)</f>
        <v>121.54264992199404</v>
      </c>
      <c r="S45">
        <f t="shared" si="8"/>
        <v>58.342295273952338</v>
      </c>
      <c r="T45">
        <f t="shared" si="9"/>
        <v>106.63256403888042</v>
      </c>
      <c r="V45">
        <f t="shared" si="10"/>
        <v>55.062454449658766</v>
      </c>
      <c r="W45">
        <f t="shared" si="11"/>
        <v>136.45273580510766</v>
      </c>
    </row>
    <row r="46" spans="12:23" x14ac:dyDescent="0.25">
      <c r="L46">
        <f>Center!B45</f>
        <v>58.144669</v>
      </c>
      <c r="M46">
        <f>Center!C45</f>
        <v>121.6473</v>
      </c>
      <c r="N46">
        <f>Center!H45</f>
        <v>0.11687599999999999</v>
      </c>
      <c r="P46">
        <f>P45 + (Center!$D45-Center!$D44)*COS($N46)</f>
        <v>58.186098032448463</v>
      </c>
      <c r="Q46">
        <f>Q45 + (Center!$D45-Center!$D44)*SIN($N46)</f>
        <v>121.71685549056846</v>
      </c>
      <c r="S46">
        <f t="shared" si="8"/>
        <v>59.935249442412506</v>
      </c>
      <c r="T46">
        <f t="shared" si="9"/>
        <v>106.81918891673816</v>
      </c>
      <c r="V46">
        <f t="shared" si="10"/>
        <v>56.43694662248442</v>
      </c>
      <c r="W46">
        <f t="shared" si="11"/>
        <v>136.61452206439876</v>
      </c>
    </row>
    <row r="47" spans="12:23" x14ac:dyDescent="0.25">
      <c r="L47">
        <f>Center!B46</f>
        <v>59.632255000000001</v>
      </c>
      <c r="M47">
        <f>Center!C46</f>
        <v>121.827617</v>
      </c>
      <c r="N47">
        <f>Center!H46</f>
        <v>0.124406</v>
      </c>
      <c r="P47">
        <f>P46 + (Center!$D46-Center!$D45)*COS($N47)</f>
        <v>59.672996110885094</v>
      </c>
      <c r="Q47">
        <f>Q46 + (Center!$D46-Center!$D45)*SIN($N47)</f>
        <v>121.9027947757732</v>
      </c>
      <c r="S47">
        <f t="shared" si="8"/>
        <v>61.534276301045374</v>
      </c>
      <c r="T47">
        <f t="shared" si="9"/>
        <v>107.01872154114697</v>
      </c>
      <c r="V47">
        <f t="shared" si="10"/>
        <v>57.811715920724815</v>
      </c>
      <c r="W47">
        <f t="shared" si="11"/>
        <v>136.78686801039942</v>
      </c>
    </row>
    <row r="48" spans="12:23" x14ac:dyDescent="0.25">
      <c r="L48">
        <f>Center!B47</f>
        <v>61.119933000000003</v>
      </c>
      <c r="M48">
        <f>Center!C47</f>
        <v>122.019464</v>
      </c>
      <c r="N48">
        <f>Center!H47</f>
        <v>0.13212299999999999</v>
      </c>
      <c r="P48">
        <f>P47 + (Center!$D47-Center!$D46)*COS($N48)</f>
        <v>61.159922780018441</v>
      </c>
      <c r="Q48">
        <f>Q47 + (Center!$D47-Center!$D46)*SIN($N48)</f>
        <v>122.10040317797312</v>
      </c>
      <c r="S48">
        <f t="shared" si="8"/>
        <v>63.136006802017604</v>
      </c>
      <c r="T48">
        <f t="shared" si="9"/>
        <v>107.23113648663963</v>
      </c>
      <c r="V48">
        <f t="shared" si="10"/>
        <v>59.183838758019277</v>
      </c>
      <c r="W48">
        <f t="shared" si="11"/>
        <v>136.96966986930661</v>
      </c>
    </row>
    <row r="49" spans="12:23" x14ac:dyDescent="0.25">
      <c r="L49">
        <f>Center!B48</f>
        <v>62.606067000000003</v>
      </c>
      <c r="M49">
        <f>Center!C48</f>
        <v>122.222916</v>
      </c>
      <c r="N49">
        <f>Center!H48</f>
        <v>0.140016</v>
      </c>
      <c r="P49">
        <f>P48 + (Center!$D48-Center!$D47)*COS($N49)</f>
        <v>62.645243425112525</v>
      </c>
      <c r="Q49">
        <f>Q48 + (Center!$D48-Center!$D47)*SIN($N49)</f>
        <v>122.30974161509658</v>
      </c>
      <c r="S49">
        <f t="shared" si="8"/>
        <v>64.738627796347231</v>
      </c>
      <c r="T49">
        <f t="shared" si="9"/>
        <v>107.45653516415575</v>
      </c>
      <c r="V49">
        <f t="shared" si="10"/>
        <v>60.55185905387782</v>
      </c>
      <c r="W49">
        <f t="shared" si="11"/>
        <v>137.16294806603742</v>
      </c>
    </row>
    <row r="50" spans="12:23" x14ac:dyDescent="0.25">
      <c r="L50">
        <f>Center!B49</f>
        <v>64.090530000000001</v>
      </c>
      <c r="M50">
        <f>Center!C49</f>
        <v>122.43822299999999</v>
      </c>
      <c r="N50">
        <f>Center!H49</f>
        <v>0.14808399999999999</v>
      </c>
      <c r="P50">
        <f>P49 + (Center!$D49-Center!$D48)*COS($N50)</f>
        <v>64.128826804571872</v>
      </c>
      <c r="Q50">
        <f>Q49 + (Center!$D49-Center!$D48)*SIN($N50)</f>
        <v>122.531056676021</v>
      </c>
      <c r="S50">
        <f t="shared" si="8"/>
        <v>66.341977413815997</v>
      </c>
      <c r="T50">
        <f t="shared" si="9"/>
        <v>107.6952228814275</v>
      </c>
      <c r="V50">
        <f t="shared" si="10"/>
        <v>61.915676195327748</v>
      </c>
      <c r="W50">
        <f t="shared" si="11"/>
        <v>137.36689047061449</v>
      </c>
    </row>
    <row r="51" spans="12:23" x14ac:dyDescent="0.25">
      <c r="L51">
        <f>Center!B50</f>
        <v>65.573188000000002</v>
      </c>
      <c r="M51">
        <f>Center!C50</f>
        <v>122.665627</v>
      </c>
      <c r="N51">
        <f>Center!H50</f>
        <v>0.15632399999999999</v>
      </c>
      <c r="P51">
        <f>P50 + (Center!$D50-Center!$D49)*COS($N51)</f>
        <v>65.610536202975425</v>
      </c>
      <c r="Q51">
        <f>Q50 + (Center!$D50-Center!$D49)*SIN($N51)</f>
        <v>122.76458881231612</v>
      </c>
      <c r="S51">
        <f t="shared" si="8"/>
        <v>67.945857565926687</v>
      </c>
      <c r="T51">
        <f t="shared" si="9"/>
        <v>107.94749482828054</v>
      </c>
      <c r="V51">
        <f t="shared" si="10"/>
        <v>63.275214840024155</v>
      </c>
      <c r="W51">
        <f t="shared" si="11"/>
        <v>137.58168279635171</v>
      </c>
    </row>
    <row r="52" spans="12:23" x14ac:dyDescent="0.25">
      <c r="L52">
        <f>Center!B51</f>
        <v>67.053900999999996</v>
      </c>
      <c r="M52">
        <f>Center!C51</f>
        <v>122.905365</v>
      </c>
      <c r="N52">
        <f>Center!H51</f>
        <v>0.16473299999999999</v>
      </c>
      <c r="P52">
        <f>P51 + (Center!$D51-Center!$D50)*COS($N52)</f>
        <v>67.090229466312138</v>
      </c>
      <c r="Q52">
        <f>Q51 + (Center!$D51-Center!$D50)*SIN($N52)</f>
        <v>123.01057223947318</v>
      </c>
      <c r="S52">
        <f t="shared" si="8"/>
        <v>69.550063737882752</v>
      </c>
      <c r="T52">
        <f t="shared" si="9"/>
        <v>108.213639606106</v>
      </c>
      <c r="V52">
        <f t="shared" si="10"/>
        <v>64.630395194741524</v>
      </c>
      <c r="W52">
        <f t="shared" si="11"/>
        <v>137.80750487284035</v>
      </c>
    </row>
    <row r="53" spans="12:23" x14ac:dyDescent="0.25">
      <c r="L53">
        <f>Center!B52</f>
        <v>68.532525000000007</v>
      </c>
      <c r="M53">
        <f>Center!C52</f>
        <v>123.15767</v>
      </c>
      <c r="N53">
        <f>Center!H52</f>
        <v>0.17330899999999999</v>
      </c>
      <c r="P53">
        <f>P52 + (Center!$D52-Center!$D51)*COS($N53)</f>
        <v>68.567758787895457</v>
      </c>
      <c r="Q53">
        <f>Q52 + (Center!$D52-Center!$D51)*SIN($N53)</f>
        <v>123.26923631479393</v>
      </c>
      <c r="S53">
        <f t="shared" si="8"/>
        <v>71.154399541102947</v>
      </c>
      <c r="T53">
        <f t="shared" si="9"/>
        <v>108.49394309896074</v>
      </c>
      <c r="V53">
        <f t="shared" si="10"/>
        <v>65.981118034687967</v>
      </c>
      <c r="W53">
        <f t="shared" si="11"/>
        <v>138.04452953062713</v>
      </c>
    </row>
    <row r="54" spans="12:23" x14ac:dyDescent="0.25">
      <c r="L54">
        <f>Center!B53</f>
        <v>70.008909000000003</v>
      </c>
      <c r="M54">
        <f>Center!C53</f>
        <v>123.422766</v>
      </c>
      <c r="N54">
        <f>Center!H53</f>
        <v>0.18204699999999999</v>
      </c>
      <c r="P54">
        <f>P53 + (Center!$D53-Center!$D52)*COS($N54)</f>
        <v>70.042971525274396</v>
      </c>
      <c r="Q54">
        <f>Q53 + (Center!$D53-Center!$D52)*SIN($N54)</f>
        <v>123.54080100225337</v>
      </c>
      <c r="S54">
        <f t="shared" si="8"/>
        <v>72.758618399868865</v>
      </c>
      <c r="T54">
        <f t="shared" si="9"/>
        <v>108.78867362846401</v>
      </c>
      <c r="V54">
        <f t="shared" si="10"/>
        <v>67.327324650679927</v>
      </c>
      <c r="W54">
        <f t="shared" si="11"/>
        <v>138.29292837604274</v>
      </c>
    </row>
    <row r="55" spans="12:23" x14ac:dyDescent="0.25">
      <c r="L55">
        <f>Center!B54</f>
        <v>71.482898000000006</v>
      </c>
      <c r="M55">
        <f>Center!C54</f>
        <v>123.70087100000001</v>
      </c>
      <c r="N55">
        <f>Center!H54</f>
        <v>0.190945</v>
      </c>
      <c r="P55">
        <f>P54 + (Center!$D54-Center!$D53)*COS($N55)</f>
        <v>71.515709512790821</v>
      </c>
      <c r="Q55">
        <f>Q54 + (Center!$D54-Center!$D53)*SIN($N55)</f>
        <v>123.82548120902244</v>
      </c>
      <c r="S55">
        <f t="shared" si="8"/>
        <v>74.362511580481552</v>
      </c>
      <c r="T55">
        <f t="shared" si="9"/>
        <v>109.09810133385822</v>
      </c>
      <c r="V55">
        <f t="shared" si="10"/>
        <v>68.668907445100089</v>
      </c>
      <c r="W55">
        <f t="shared" si="11"/>
        <v>138.55286108418665</v>
      </c>
    </row>
    <row r="56" spans="12:23" x14ac:dyDescent="0.25">
      <c r="L56">
        <f>Center!B55</f>
        <v>72.876378000000003</v>
      </c>
      <c r="M56">
        <f>Center!C55</f>
        <v>123.982224</v>
      </c>
      <c r="N56">
        <f>Center!H55</f>
        <v>0.21035400000000001</v>
      </c>
      <c r="P56">
        <f>P55 + (Center!$D55-Center!$D54)*COS($N56)</f>
        <v>72.982645100750347</v>
      </c>
      <c r="Q56">
        <f>Q55 + (Center!$D55-Center!$D54)*SIN($N56)</f>
        <v>124.13869037360394</v>
      </c>
      <c r="S56">
        <f t="shared" si="8"/>
        <v>76.114736746565356</v>
      </c>
      <c r="T56">
        <f t="shared" si="9"/>
        <v>109.46933449400868</v>
      </c>
      <c r="V56">
        <f t="shared" si="10"/>
        <v>69.850553454935337</v>
      </c>
      <c r="W56">
        <f t="shared" si="11"/>
        <v>138.80804625319919</v>
      </c>
    </row>
    <row r="57" spans="12:23" x14ac:dyDescent="0.25">
      <c r="L57">
        <f>Center!B56</f>
        <v>74.339408000000006</v>
      </c>
      <c r="M57">
        <f>Center!C56</f>
        <v>124.313035</v>
      </c>
      <c r="N57">
        <f>Center!H56</f>
        <v>0.23424300000000001</v>
      </c>
      <c r="P57">
        <f>P56 + (Center!$D56-Center!$D55)*COS($N57)</f>
        <v>74.441680587960349</v>
      </c>
      <c r="Q57">
        <f>Q56 + (Center!$D56-Center!$D55)*SIN($N57)</f>
        <v>124.48685046187062</v>
      </c>
      <c r="S57">
        <f t="shared" si="8"/>
        <v>77.923281470627202</v>
      </c>
      <c r="T57">
        <f t="shared" si="9"/>
        <v>109.89649558977058</v>
      </c>
      <c r="V57">
        <f t="shared" si="10"/>
        <v>70.960079705293495</v>
      </c>
      <c r="W57">
        <f t="shared" si="11"/>
        <v>139.07720533397065</v>
      </c>
    </row>
    <row r="58" spans="12:23" x14ac:dyDescent="0.25">
      <c r="L58">
        <f>Center!B57</f>
        <v>75.794290000000004</v>
      </c>
      <c r="M58">
        <f>Center!C57</f>
        <v>124.678023</v>
      </c>
      <c r="N58">
        <f>Center!H57</f>
        <v>0.257191</v>
      </c>
      <c r="P58">
        <f>P57 + (Center!$D57-Center!$D56)*COS($N58)</f>
        <v>75.892343043685443</v>
      </c>
      <c r="Q58">
        <f>Q57 + (Center!$D57-Center!$D56)*SIN($N58)</f>
        <v>124.86839788952493</v>
      </c>
      <c r="S58">
        <f t="shared" si="8"/>
        <v>79.707817320228514</v>
      </c>
      <c r="T58">
        <f t="shared" si="9"/>
        <v>110.36177333227391</v>
      </c>
      <c r="V58">
        <f t="shared" si="10"/>
        <v>72.076868767142372</v>
      </c>
      <c r="W58">
        <f t="shared" si="11"/>
        <v>139.37502244677594</v>
      </c>
    </row>
    <row r="59" spans="12:23" x14ac:dyDescent="0.25">
      <c r="L59">
        <f>Center!B58</f>
        <v>77.240615000000005</v>
      </c>
      <c r="M59">
        <f>Center!C58</f>
        <v>125.075582</v>
      </c>
      <c r="N59">
        <f>Center!H58</f>
        <v>0.279138</v>
      </c>
      <c r="P59">
        <f>P58 + (Center!$D58-Center!$D57)*COS($N59)</f>
        <v>77.334282993381123</v>
      </c>
      <c r="Q59">
        <f>Q58 + (Center!$D58-Center!$D57)*SIN($N59)</f>
        <v>125.28168856383496</v>
      </c>
      <c r="S59">
        <f t="shared" si="8"/>
        <v>81.467189736481416</v>
      </c>
      <c r="T59">
        <f t="shared" si="9"/>
        <v>110.86228906687823</v>
      </c>
      <c r="V59">
        <f t="shared" si="10"/>
        <v>73.201376250280831</v>
      </c>
      <c r="W59">
        <f t="shared" si="11"/>
        <v>139.7010880607917</v>
      </c>
    </row>
    <row r="60" spans="12:23" x14ac:dyDescent="0.25">
      <c r="L60">
        <f>Center!B59</f>
        <v>78.678094000000002</v>
      </c>
      <c r="M60">
        <f>Center!C59</f>
        <v>125.504034</v>
      </c>
      <c r="N60">
        <f>Center!H59</f>
        <v>0.30003200000000002</v>
      </c>
      <c r="P60">
        <f>P59 + (Center!$D59-Center!$D58)*COS($N60)</f>
        <v>78.76727354136591</v>
      </c>
      <c r="Q60">
        <f>Q59 + (Center!$D59-Center!$D58)*SIN($N60)</f>
        <v>125.72501472975148</v>
      </c>
      <c r="S60">
        <f t="shared" si="8"/>
        <v>83.200535200531107</v>
      </c>
      <c r="T60">
        <f t="shared" si="9"/>
        <v>111.39510924990354</v>
      </c>
      <c r="V60">
        <f t="shared" si="10"/>
        <v>74.334011882200713</v>
      </c>
      <c r="W60">
        <f t="shared" si="11"/>
        <v>140.0549202095994</v>
      </c>
    </row>
    <row r="61" spans="12:23" x14ac:dyDescent="0.25">
      <c r="L61">
        <f>Center!B60</f>
        <v>80.106559000000004</v>
      </c>
      <c r="M61">
        <f>Center!C60</f>
        <v>125.961651</v>
      </c>
      <c r="N61">
        <f>Center!H60</f>
        <v>0.31983400000000001</v>
      </c>
      <c r="P61">
        <f>P60 + (Center!$D60-Center!$D59)*COS($N61)</f>
        <v>80.191204975944956</v>
      </c>
      <c r="Q61">
        <f>Q60 + (Center!$D60-Center!$D59)*SIN($N61)</f>
        <v>126.19662820455649</v>
      </c>
      <c r="S61">
        <f t="shared" si="8"/>
        <v>84.907339723995079</v>
      </c>
      <c r="T61">
        <f t="shared" si="9"/>
        <v>111.95731385876603</v>
      </c>
      <c r="V61">
        <f t="shared" si="10"/>
        <v>75.475070227894832</v>
      </c>
      <c r="W61">
        <f t="shared" si="11"/>
        <v>140.43594255034697</v>
      </c>
    </row>
    <row r="62" spans="12:23" x14ac:dyDescent="0.25">
      <c r="L62">
        <f>Center!B61</f>
        <v>81.525957000000005</v>
      </c>
      <c r="M62">
        <f>Center!C61</f>
        <v>126.44667</v>
      </c>
      <c r="N62">
        <f>Center!H61</f>
        <v>0.33851199999999998</v>
      </c>
      <c r="P62">
        <f>P61 + (Center!$D61-Center!$D60)*COS($N62)</f>
        <v>81.606079751606799</v>
      </c>
      <c r="Q62">
        <f>Q61 + (Center!$D61-Center!$D60)*SIN($N62)</f>
        <v>126.69475406133954</v>
      </c>
      <c r="S62">
        <f t="shared" si="8"/>
        <v>86.587338319437222</v>
      </c>
      <c r="T62">
        <f t="shared" si="9"/>
        <v>112.54600630472108</v>
      </c>
      <c r="V62">
        <f t="shared" si="10"/>
        <v>76.624821183776376</v>
      </c>
      <c r="W62">
        <f t="shared" si="11"/>
        <v>140.84350181795801</v>
      </c>
    </row>
    <row r="63" spans="12:23" x14ac:dyDescent="0.25">
      <c r="L63">
        <f>Center!B62</f>
        <v>82.936342999999994</v>
      </c>
      <c r="M63">
        <f>Center!C62</f>
        <v>126.957308</v>
      </c>
      <c r="N63">
        <f>Center!H62</f>
        <v>0.35604400000000003</v>
      </c>
      <c r="P63">
        <f>P62 + (Center!$D62-Center!$D61)*COS($N63)</f>
        <v>83.012004391941815</v>
      </c>
      <c r="Q63">
        <f>Q62 + (Center!$D62-Center!$D61)*SIN($N63)</f>
        <v>127.21760767918956</v>
      </c>
      <c r="S63">
        <f t="shared" si="8"/>
        <v>88.240540570442008</v>
      </c>
      <c r="T63">
        <f t="shared" si="9"/>
        <v>113.15836127583938</v>
      </c>
      <c r="V63">
        <f t="shared" si="10"/>
        <v>77.783468213441623</v>
      </c>
      <c r="W63">
        <f t="shared" si="11"/>
        <v>141.27685408253973</v>
      </c>
    </row>
    <row r="64" spans="12:23" x14ac:dyDescent="0.25">
      <c r="L64">
        <f>Center!B63</f>
        <v>84.337873999999999</v>
      </c>
      <c r="M64">
        <f>Center!C63</f>
        <v>127.491782</v>
      </c>
      <c r="N64">
        <f>Center!H63</f>
        <v>0.37241299999999999</v>
      </c>
      <c r="P64">
        <f>P63 + (Center!$D63-Center!$D62)*COS($N64)</f>
        <v>84.409182473161778</v>
      </c>
      <c r="Q64">
        <f>Q63 + (Center!$D63-Center!$D62)*SIN($N64)</f>
        <v>127.76340380354232</v>
      </c>
      <c r="S64">
        <f t="shared" si="8"/>
        <v>89.867143716689384</v>
      </c>
      <c r="T64">
        <f t="shared" si="9"/>
        <v>113.79162299134266</v>
      </c>
      <c r="V64">
        <f t="shared" si="10"/>
        <v>78.951221229634172</v>
      </c>
      <c r="W64">
        <f t="shared" si="11"/>
        <v>141.73518461574199</v>
      </c>
    </row>
    <row r="65" spans="12:23" x14ac:dyDescent="0.25">
      <c r="L65">
        <f>Center!B64</f>
        <v>85.730796999999995</v>
      </c>
      <c r="M65">
        <f>Center!C64</f>
        <v>128.04830899999999</v>
      </c>
      <c r="N65">
        <f>Center!H64</f>
        <v>0.38760899999999998</v>
      </c>
      <c r="P65">
        <f>P64 + (Center!$D64-Center!$D63)*COS($N65)</f>
        <v>85.797905641705</v>
      </c>
      <c r="Q65">
        <f>Q64 + (Center!$D64-Center!$D63)*SIN($N65)</f>
        <v>128.33036761292638</v>
      </c>
      <c r="S65">
        <f t="shared" si="8"/>
        <v>91.467543735545547</v>
      </c>
      <c r="T65">
        <f t="shared" si="9"/>
        <v>114.44313592749418</v>
      </c>
      <c r="V65">
        <f t="shared" si="10"/>
        <v>80.128267547864453</v>
      </c>
      <c r="W65">
        <f t="shared" si="11"/>
        <v>142.21759929835858</v>
      </c>
    </row>
    <row r="66" spans="12:23" x14ac:dyDescent="0.25">
      <c r="L66">
        <f>Center!B65</f>
        <v>87.115442999999999</v>
      </c>
      <c r="M66">
        <f>Center!C65</f>
        <v>128.625125</v>
      </c>
      <c r="N66">
        <f>Center!H65</f>
        <v>0.40162900000000001</v>
      </c>
      <c r="P66">
        <f>P65 + (Center!$D65-Center!$D64)*COS($N66)</f>
        <v>87.178543756287226</v>
      </c>
      <c r="Q66">
        <f>Q65 + (Center!$D65-Center!$D64)*SIN($N66)</f>
        <v>128.91674496290062</v>
      </c>
      <c r="S66">
        <f t="shared" si="8"/>
        <v>93.042317256029705</v>
      </c>
      <c r="T66">
        <f t="shared" si="9"/>
        <v>115.11036381707831</v>
      </c>
      <c r="V66">
        <f t="shared" si="10"/>
        <v>81.314770256544747</v>
      </c>
      <c r="W66">
        <f t="shared" si="11"/>
        <v>142.72312610872294</v>
      </c>
    </row>
    <row r="67" spans="12:23" x14ac:dyDescent="0.25">
      <c r="L67">
        <f>Center!B66</f>
        <v>88.492220000000003</v>
      </c>
      <c r="M67">
        <f>Center!C66</f>
        <v>129.22048699999999</v>
      </c>
      <c r="N67">
        <f>Center!H66</f>
        <v>0.41447200000000001</v>
      </c>
      <c r="P67">
        <f>P66 + (Center!$D66-Center!$D65)*COS($N67)</f>
        <v>88.551537372099361</v>
      </c>
      <c r="Q67">
        <f>Q66 + (Center!$D66-Center!$D65)*SIN($N67)</f>
        <v>129.52080500208473</v>
      </c>
      <c r="S67">
        <f t="shared" si="8"/>
        <v>94.592137763940457</v>
      </c>
      <c r="T67">
        <f t="shared" si="9"/>
        <v>115.79086884396334</v>
      </c>
      <c r="V67">
        <f t="shared" si="10"/>
        <v>82.510936980258265</v>
      </c>
      <c r="W67">
        <f t="shared" si="11"/>
        <v>143.25074116020613</v>
      </c>
    </row>
    <row r="68" spans="12:23" x14ac:dyDescent="0.25">
      <c r="L68">
        <f>Center!B67</f>
        <v>89.861598000000001</v>
      </c>
      <c r="M68">
        <f>Center!C67</f>
        <v>129.83267699999999</v>
      </c>
      <c r="N68">
        <f>Center!H67</f>
        <v>0.42614000000000002</v>
      </c>
      <c r="P68">
        <f>P67 + (Center!$D67-Center!$D66)*COS($N68)</f>
        <v>89.917389515156998</v>
      </c>
      <c r="Q68">
        <f>Q67 + (Center!$D67-Center!$D66)*SIN($N68)</f>
        <v>130.14084364870675</v>
      </c>
      <c r="S68">
        <f t="shared" si="8"/>
        <v>96.117775981377292</v>
      </c>
      <c r="T68">
        <f t="shared" si="9"/>
        <v>116.48232221813045</v>
      </c>
      <c r="V68">
        <f t="shared" si="10"/>
        <v>83.717003048936704</v>
      </c>
      <c r="W68">
        <f t="shared" si="11"/>
        <v>143.79936507928306</v>
      </c>
    </row>
    <row r="69" spans="12:23" x14ac:dyDescent="0.25">
      <c r="L69">
        <f>Center!B68</f>
        <v>91.224108999999999</v>
      </c>
      <c r="M69">
        <f>Center!C68</f>
        <v>130.46000599999999</v>
      </c>
      <c r="N69">
        <f>Center!H68</f>
        <v>0.436639</v>
      </c>
      <c r="P69">
        <f>P68 + (Center!$D68-Center!$D67)*COS($N69)</f>
        <v>91.276656714490471</v>
      </c>
      <c r="Q69">
        <f>Q68 + (Center!$D68-Center!$D67)*SIN($N69)</f>
        <v>130.77518794072498</v>
      </c>
      <c r="S69">
        <f t="shared" si="8"/>
        <v>97.62009963467284</v>
      </c>
      <c r="T69">
        <f t="shared" si="9"/>
        <v>117.18251594739019</v>
      </c>
      <c r="V69">
        <f t="shared" si="10"/>
        <v>84.933213794308102</v>
      </c>
      <c r="W69">
        <f t="shared" si="11"/>
        <v>144.36785993405977</v>
      </c>
    </row>
    <row r="70" spans="12:23" x14ac:dyDescent="0.25">
      <c r="L70">
        <f>Center!B69</f>
        <v>92.580332999999996</v>
      </c>
      <c r="M70">
        <f>Center!C69</f>
        <v>131.100818</v>
      </c>
      <c r="N70">
        <f>Center!H69</f>
        <v>0.44597599999999998</v>
      </c>
      <c r="P70">
        <f>P69 + (Center!$D69-Center!$D68)*COS($N70)</f>
        <v>92.629941877494062</v>
      </c>
      <c r="Q70">
        <f>Q69 + (Center!$D69-Center!$D68)*SIN($N70)</f>
        <v>131.42219587544784</v>
      </c>
      <c r="S70">
        <f t="shared" ref="S70:S131" si="12">P70 + $B$10/2 * SIN($N70)</f>
        <v>99.100021224722568</v>
      </c>
      <c r="T70">
        <f t="shared" ref="T70:T131" si="13">Q70 - $B$10/2 * COS($N70)</f>
        <v>117.88934424541188</v>
      </c>
      <c r="V70">
        <f t="shared" ref="V70:V131" si="14">P70 - $B$10/2 * SIN($N70)</f>
        <v>86.159862530265556</v>
      </c>
      <c r="W70">
        <f t="shared" ref="W70:W131" si="15">Q70 + $B$10/2 * COS($N70)</f>
        <v>144.9550475054838</v>
      </c>
    </row>
    <row r="71" spans="12:23" x14ac:dyDescent="0.25">
      <c r="L71">
        <f>Center!B70</f>
        <v>93.930893999999995</v>
      </c>
      <c r="M71">
        <f>Center!C70</f>
        <v>131.75348600000001</v>
      </c>
      <c r="N71">
        <f>Center!H70</f>
        <v>0.45415899999999998</v>
      </c>
      <c r="P71">
        <f>P70 + (Center!$D70-Center!$D69)*COS($N71)</f>
        <v>93.977887324913226</v>
      </c>
      <c r="Q71">
        <f>Q70 + (Center!$D70-Center!$D69)*SIN($N71)</f>
        <v>132.08025595688565</v>
      </c>
      <c r="S71">
        <f t="shared" si="12"/>
        <v>100.55848813929137</v>
      </c>
      <c r="T71">
        <f t="shared" si="13"/>
        <v>118.60080148269398</v>
      </c>
      <c r="V71">
        <f t="shared" si="14"/>
        <v>87.397286510535082</v>
      </c>
      <c r="W71">
        <f t="shared" si="15"/>
        <v>145.55971043107732</v>
      </c>
    </row>
    <row r="72" spans="12:23" x14ac:dyDescent="0.25">
      <c r="L72">
        <f>Center!B71</f>
        <v>95.276449</v>
      </c>
      <c r="M72">
        <f>Center!C71</f>
        <v>132.41641200000001</v>
      </c>
      <c r="N72">
        <f>Center!H71</f>
        <v>0.46119599999999999</v>
      </c>
      <c r="P72">
        <f>P71 + (Center!$D71-Center!$D70)*COS($N72)</f>
        <v>95.321168667191728</v>
      </c>
      <c r="Q72">
        <f>Q71 + (Center!$D71-Center!$D70)*SIN($N72)</f>
        <v>132.74778515885845</v>
      </c>
      <c r="S72">
        <f t="shared" si="12"/>
        <v>101.99646068691976</v>
      </c>
      <c r="T72">
        <f t="shared" si="13"/>
        <v>119.31497173607336</v>
      </c>
      <c r="V72">
        <f t="shared" si="14"/>
        <v>88.645876647463695</v>
      </c>
      <c r="W72">
        <f t="shared" si="15"/>
        <v>146.18059858164352</v>
      </c>
    </row>
    <row r="73" spans="12:23" x14ac:dyDescent="0.25">
      <c r="L73">
        <f>Center!B72</f>
        <v>96.617690999999994</v>
      </c>
      <c r="M73">
        <f>Center!C72</f>
        <v>133.08802600000001</v>
      </c>
      <c r="N73">
        <f>Center!H72</f>
        <v>0.46709499999999998</v>
      </c>
      <c r="P73">
        <f>P72 + (Center!$D72-Center!$D71)*COS($N73)</f>
        <v>96.660488905726254</v>
      </c>
      <c r="Q73">
        <f>Q72 + (Center!$D72-Center!$D71)*SIN($N73)</f>
        <v>133.42322671713853</v>
      </c>
      <c r="S73">
        <f t="shared" si="12"/>
        <v>103.41490448852699</v>
      </c>
      <c r="T73">
        <f t="shared" si="13"/>
        <v>120.03002433179324</v>
      </c>
      <c r="V73">
        <f t="shared" si="14"/>
        <v>89.906073322925522</v>
      </c>
      <c r="W73">
        <f t="shared" si="15"/>
        <v>146.81642910248382</v>
      </c>
    </row>
    <row r="74" spans="12:23" x14ac:dyDescent="0.25">
      <c r="L74">
        <f>Center!B73</f>
        <v>97.955331999999999</v>
      </c>
      <c r="M74">
        <f>Center!C73</f>
        <v>133.76678200000001</v>
      </c>
      <c r="N74">
        <f>Center!H73</f>
        <v>0.471862</v>
      </c>
      <c r="P74">
        <f>P73 + (Center!$D73-Center!$D72)*COS($N74)</f>
        <v>97.996574109025914</v>
      </c>
      <c r="Q74">
        <f>Q73 + (Center!$D73-Center!$D72)*SIN($N74)</f>
        <v>134.10504511636498</v>
      </c>
      <c r="S74">
        <f t="shared" si="12"/>
        <v>104.81475810129045</v>
      </c>
      <c r="T74">
        <f t="shared" si="13"/>
        <v>120.74419308336844</v>
      </c>
      <c r="V74">
        <f t="shared" si="14"/>
        <v>91.178390116761378</v>
      </c>
      <c r="W74">
        <f t="shared" si="15"/>
        <v>147.46589714936152</v>
      </c>
    </row>
    <row r="75" spans="12:23" x14ac:dyDescent="0.25">
      <c r="L75">
        <f>Center!B74</f>
        <v>99.290109000000001</v>
      </c>
      <c r="M75">
        <f>Center!C74</f>
        <v>134.45115799999999</v>
      </c>
      <c r="N75">
        <f>Center!H74</f>
        <v>0.47550500000000001</v>
      </c>
      <c r="P75">
        <f>P74 + (Center!$D74-Center!$D73)*COS($N75)</f>
        <v>99.330166587507748</v>
      </c>
      <c r="Q75">
        <f>Q74 + (Center!$D74-Center!$D73)*SIN($N75)</f>
        <v>134.79172633886685</v>
      </c>
      <c r="S75">
        <f t="shared" si="12"/>
        <v>106.19697881252654</v>
      </c>
      <c r="T75">
        <f t="shared" si="13"/>
        <v>121.45580155404849</v>
      </c>
      <c r="V75">
        <f t="shared" si="14"/>
        <v>92.463354362488957</v>
      </c>
      <c r="W75">
        <f t="shared" si="15"/>
        <v>148.12765112368521</v>
      </c>
    </row>
    <row r="76" spans="12:23" x14ac:dyDescent="0.25">
      <c r="L76">
        <f>Center!B75</f>
        <v>100.62277</v>
      </c>
      <c r="M76">
        <f>Center!C75</f>
        <v>135.139645</v>
      </c>
      <c r="N76">
        <f>Center!H75</f>
        <v>0.47802800000000001</v>
      </c>
      <c r="P76">
        <f>P75 + (Center!$D75-Center!$D74)*COS($N76)</f>
        <v>100.66202232659471</v>
      </c>
      <c r="Q76">
        <f>Q75 + (Center!$D75-Center!$D74)*SIN($N76)</f>
        <v>135.48177002607886</v>
      </c>
      <c r="S76">
        <f t="shared" si="12"/>
        <v>107.56245919871469</v>
      </c>
      <c r="T76">
        <f t="shared" si="13"/>
        <v>122.16321263520928</v>
      </c>
      <c r="V76">
        <f t="shared" si="14"/>
        <v>93.761585454474726</v>
      </c>
      <c r="W76">
        <f t="shared" si="15"/>
        <v>148.80032741694845</v>
      </c>
    </row>
    <row r="77" spans="12:23" x14ac:dyDescent="0.25">
      <c r="L77">
        <f>Center!B76</f>
        <v>101.954075</v>
      </c>
      <c r="M77">
        <f>Center!C76</f>
        <v>135.830749</v>
      </c>
      <c r="N77">
        <f>Center!H76</f>
        <v>0.47943599999999997</v>
      </c>
      <c r="P77">
        <f>P76 + (Center!$D76-Center!$D75)*COS($N77)</f>
        <v>101.99290516431329</v>
      </c>
      <c r="Q77">
        <f>Q76 + (Center!$D76-Center!$D75)*SIN($N77)</f>
        <v>136.17368828155861</v>
      </c>
      <c r="S77">
        <f t="shared" si="12"/>
        <v>108.91208771911086</v>
      </c>
      <c r="T77">
        <f t="shared" si="13"/>
        <v>122.86485990437285</v>
      </c>
      <c r="V77">
        <f t="shared" si="14"/>
        <v>95.073722609515713</v>
      </c>
      <c r="W77">
        <f t="shared" si="15"/>
        <v>149.48251665874437</v>
      </c>
    </row>
    <row r="78" spans="12:23" x14ac:dyDescent="0.25">
      <c r="L78">
        <f>Center!B77</f>
        <v>103.28479299999999</v>
      </c>
      <c r="M78">
        <f>Center!C77</f>
        <v>136.522986</v>
      </c>
      <c r="N78">
        <f>Center!H77</f>
        <v>0.47972900000000002</v>
      </c>
      <c r="P78">
        <f>P77 + (Center!$D77-Center!$D76)*COS($N78)</f>
        <v>103.32358521285843</v>
      </c>
      <c r="Q78">
        <f>Q77 + (Center!$D77-Center!$D76)*SIN($N78)</f>
        <v>136.86599645600398</v>
      </c>
      <c r="S78">
        <f t="shared" si="12"/>
        <v>110.24666695731229</v>
      </c>
      <c r="T78">
        <f t="shared" si="13"/>
        <v>123.55919597055258</v>
      </c>
      <c r="V78">
        <f t="shared" si="14"/>
        <v>96.40050346840458</v>
      </c>
      <c r="W78">
        <f t="shared" si="15"/>
        <v>150.1727969414554</v>
      </c>
    </row>
    <row r="79" spans="12:23" x14ac:dyDescent="0.25">
      <c r="L79">
        <f>Center!B78</f>
        <v>104.615692</v>
      </c>
      <c r="M79">
        <f>Center!C78</f>
        <v>137.21487200000001</v>
      </c>
      <c r="N79">
        <f>Center!H78</f>
        <v>0.47890899999999997</v>
      </c>
      <c r="P79">
        <f>P78 + (Center!$D78-Center!$D77)*COS($N79)</f>
        <v>104.6548325066684</v>
      </c>
      <c r="Q79">
        <f>Q78 + (Center!$D78-Center!$D77)*SIN($N79)</f>
        <v>137.55721324017784</v>
      </c>
      <c r="S79">
        <f t="shared" si="12"/>
        <v>111.56700034840705</v>
      </c>
      <c r="T79">
        <f t="shared" si="13"/>
        <v>124.24474030207824</v>
      </c>
      <c r="V79">
        <f t="shared" si="14"/>
        <v>97.742664664929748</v>
      </c>
      <c r="W79">
        <f t="shared" si="15"/>
        <v>150.86968617827745</v>
      </c>
    </row>
    <row r="80" spans="12:23" x14ac:dyDescent="0.25">
      <c r="L80">
        <f>Center!B79</f>
        <v>105.947543</v>
      </c>
      <c r="M80">
        <f>Center!C79</f>
        <v>137.90492499999999</v>
      </c>
      <c r="N80">
        <f>Center!H79</f>
        <v>0.47697499999999998</v>
      </c>
      <c r="P80">
        <f>P79 + (Center!$D79-Center!$D78)*COS($N80)</f>
        <v>105.98741412323696</v>
      </c>
      <c r="Q80">
        <f>Q79 + (Center!$D79-Center!$D78)*SIN($N80)</f>
        <v>138.24585410099246</v>
      </c>
      <c r="S80">
        <f t="shared" si="12"/>
        <v>112.87382273138319</v>
      </c>
      <c r="T80">
        <f t="shared" si="13"/>
        <v>124.92003793530679</v>
      </c>
      <c r="V80">
        <f t="shared" si="14"/>
        <v>99.101005515090733</v>
      </c>
      <c r="W80">
        <f t="shared" si="15"/>
        <v>151.57167026667813</v>
      </c>
    </row>
    <row r="81" spans="12:23" x14ac:dyDescent="0.25">
      <c r="L81">
        <f>Center!B80</f>
        <v>107.281109</v>
      </c>
      <c r="M81">
        <f>Center!C80</f>
        <v>138.591656</v>
      </c>
      <c r="N81">
        <f>Center!H80</f>
        <v>0.47392299999999998</v>
      </c>
      <c r="P81">
        <f>P80 + (Center!$D80-Center!$D79)*COS($N81)</f>
        <v>107.32209126215307</v>
      </c>
      <c r="Q81">
        <f>Q80 + (Center!$D80-Center!$D79)*SIN($N81)</f>
        <v>138.93042472178678</v>
      </c>
      <c r="S81">
        <f t="shared" si="12"/>
        <v>114.16779747009636</v>
      </c>
      <c r="T81">
        <f t="shared" si="13"/>
        <v>125.58365333262577</v>
      </c>
      <c r="V81">
        <f t="shared" si="14"/>
        <v>100.47638505420977</v>
      </c>
      <c r="W81">
        <f t="shared" si="15"/>
        <v>152.27719611094778</v>
      </c>
    </row>
    <row r="82" spans="12:23" x14ac:dyDescent="0.25">
      <c r="L82">
        <f>Center!B81</f>
        <v>108.617147</v>
      </c>
      <c r="M82">
        <f>Center!C81</f>
        <v>139.27356499999999</v>
      </c>
      <c r="N82">
        <f>Center!H81</f>
        <v>0.46975</v>
      </c>
      <c r="P82">
        <f>P81 + (Center!$D81-Center!$D80)*COS($N82)</f>
        <v>108.65961348500905</v>
      </c>
      <c r="Q82">
        <f>Q81 + (Center!$D81-Center!$D80)*SIN($N82)</f>
        <v>139.60941979052174</v>
      </c>
      <c r="S82">
        <f t="shared" si="12"/>
        <v>115.44956417235872</v>
      </c>
      <c r="T82">
        <f t="shared" si="13"/>
        <v>126.23419756196196</v>
      </c>
      <c r="V82">
        <f t="shared" si="14"/>
        <v>101.86966279765937</v>
      </c>
      <c r="W82">
        <f t="shared" si="15"/>
        <v>152.98464201908152</v>
      </c>
    </row>
    <row r="83" spans="12:23" x14ac:dyDescent="0.25">
      <c r="L83">
        <f>Center!B82</f>
        <v>109.9564</v>
      </c>
      <c r="M83">
        <f>Center!C82</f>
        <v>139.94913700000001</v>
      </c>
      <c r="N83">
        <f>Center!H82</f>
        <v>0.46444800000000003</v>
      </c>
      <c r="P83">
        <f>P82 + (Center!$D82-Center!$D81)*COS($N83)</f>
        <v>110.00071692321661</v>
      </c>
      <c r="Q83">
        <f>Q82 + (Center!$D82-Center!$D81)*SIN($N83)</f>
        <v>140.2813138059943</v>
      </c>
      <c r="S83">
        <f t="shared" si="12"/>
        <v>116.71965707794212</v>
      </c>
      <c r="T83">
        <f t="shared" si="13"/>
        <v>126.87027942391857</v>
      </c>
      <c r="V83">
        <f t="shared" si="14"/>
        <v>103.28177676849111</v>
      </c>
      <c r="W83">
        <f t="shared" si="15"/>
        <v>153.69234818807001</v>
      </c>
    </row>
    <row r="84" spans="12:23" x14ac:dyDescent="0.25">
      <c r="L84">
        <f>Center!B83</f>
        <v>111.299592</v>
      </c>
      <c r="M84">
        <f>Center!C83</f>
        <v>140.61684</v>
      </c>
      <c r="N84">
        <f>Center!H83</f>
        <v>0.458013</v>
      </c>
      <c r="P84">
        <f>P83 + (Center!$D83-Center!$D82)*COS($N84)</f>
        <v>111.34611620264288</v>
      </c>
      <c r="Q84">
        <f>Q83 + (Center!$D83-Center!$D82)*SIN($N84)</f>
        <v>140.94456396914489</v>
      </c>
      <c r="S84">
        <f t="shared" si="12"/>
        <v>117.97861783414895</v>
      </c>
      <c r="T84">
        <f t="shared" si="13"/>
        <v>127.49057117488232</v>
      </c>
      <c r="V84">
        <f t="shared" si="14"/>
        <v>104.7136145711368</v>
      </c>
      <c r="W84">
        <f t="shared" si="15"/>
        <v>154.39855676340747</v>
      </c>
    </row>
    <row r="85" spans="12:23" x14ac:dyDescent="0.25">
      <c r="L85">
        <f>Center!B84</f>
        <v>112.64726</v>
      </c>
      <c r="M85">
        <f>Center!C84</f>
        <v>141.27503300000001</v>
      </c>
      <c r="N85">
        <f>Center!H84</f>
        <v>0.45043699999999998</v>
      </c>
      <c r="P85">
        <f>P84 + (Center!$D84-Center!$D83)*COS($N85)</f>
        <v>112.69633325925814</v>
      </c>
      <c r="Q85">
        <f>Q84 + (Center!$D84-Center!$D83)*SIN($N85)</f>
        <v>141.59752103893911</v>
      </c>
      <c r="S85">
        <f t="shared" si="12"/>
        <v>119.22671807850766</v>
      </c>
      <c r="T85">
        <f t="shared" si="13"/>
        <v>128.09366699231541</v>
      </c>
      <c r="V85">
        <f t="shared" si="14"/>
        <v>106.16594844000862</v>
      </c>
      <c r="W85">
        <f t="shared" si="15"/>
        <v>155.10137508556281</v>
      </c>
    </row>
    <row r="86" spans="12:23" x14ac:dyDescent="0.25">
      <c r="L86">
        <f>Center!B85</f>
        <v>113.99853400000001</v>
      </c>
      <c r="M86">
        <f>Center!C85</f>
        <v>141.92141100000001</v>
      </c>
      <c r="N86">
        <f>Center!H85</f>
        <v>0.441722</v>
      </c>
      <c r="P86">
        <f>P85 + (Center!$D85-Center!$D84)*COS($N86)</f>
        <v>114.05047637776896</v>
      </c>
      <c r="Q86">
        <f>Q85 + (Center!$D85-Center!$D84)*SIN($N86)</f>
        <v>142.23787621328674</v>
      </c>
      <c r="S86">
        <f t="shared" si="12"/>
        <v>120.46292860493651</v>
      </c>
      <c r="T86">
        <f t="shared" si="13"/>
        <v>128.67762339726985</v>
      </c>
      <c r="V86">
        <f t="shared" si="14"/>
        <v>107.63802415060141</v>
      </c>
      <c r="W86">
        <f t="shared" si="15"/>
        <v>155.79812902930362</v>
      </c>
    </row>
    <row r="87" spans="12:23" x14ac:dyDescent="0.25">
      <c r="L87">
        <f>Center!B86</f>
        <v>115.35127</v>
      </c>
      <c r="M87">
        <f>Center!C86</f>
        <v>142.55313799999999</v>
      </c>
      <c r="N87">
        <f>Center!H86</f>
        <v>0.43188799999999999</v>
      </c>
      <c r="P87">
        <f>P86 + (Center!$D86-Center!$D85)*COS($N87)</f>
        <v>115.4063674999238</v>
      </c>
      <c r="Q87">
        <f>Q86 + (Center!$D86-Center!$D85)*SIN($N87)</f>
        <v>142.86281743550103</v>
      </c>
      <c r="S87">
        <f t="shared" si="12"/>
        <v>121.68516028644567</v>
      </c>
      <c r="T87">
        <f t="shared" si="13"/>
        <v>129.24016126484469</v>
      </c>
      <c r="V87">
        <f t="shared" si="14"/>
        <v>109.12757471340194</v>
      </c>
      <c r="W87">
        <f t="shared" si="15"/>
        <v>156.48547360615737</v>
      </c>
    </row>
    <row r="88" spans="12:23" x14ac:dyDescent="0.25">
      <c r="L88">
        <f>Center!B87</f>
        <v>116.70322400000001</v>
      </c>
      <c r="M88">
        <f>Center!C87</f>
        <v>143.16748699999999</v>
      </c>
      <c r="N88">
        <f>Center!H87</f>
        <v>0.42096</v>
      </c>
      <c r="P88">
        <f>P87 + (Center!$D87-Center!$D86)*COS($N88)</f>
        <v>116.76172264825922</v>
      </c>
      <c r="Q88">
        <f>Q87 + (Center!$D87-Center!$D86)*SIN($N88)</f>
        <v>143.46964312866228</v>
      </c>
      <c r="S88">
        <f t="shared" si="12"/>
        <v>122.89127510443363</v>
      </c>
      <c r="T88">
        <f t="shared" si="13"/>
        <v>129.7791870848701</v>
      </c>
      <c r="V88">
        <f t="shared" si="14"/>
        <v>110.63217019208481</v>
      </c>
      <c r="W88">
        <f t="shared" si="15"/>
        <v>157.16009917245447</v>
      </c>
    </row>
    <row r="89" spans="12:23" x14ac:dyDescent="0.25">
      <c r="L89">
        <f>Center!B88</f>
        <v>118.05203899999999</v>
      </c>
      <c r="M89">
        <f>Center!C88</f>
        <v>143.76186200000001</v>
      </c>
      <c r="N89">
        <f>Center!H88</f>
        <v>0.40897800000000001</v>
      </c>
      <c r="P89">
        <f>P88 + (Center!$D88-Center!$D87)*COS($N89)</f>
        <v>118.11413832564369</v>
      </c>
      <c r="Q89">
        <f>Q88 + (Center!$D88-Center!$D87)*SIN($N89)</f>
        <v>144.05580264624152</v>
      </c>
      <c r="S89">
        <f t="shared" si="12"/>
        <v>124.07921566308602</v>
      </c>
      <c r="T89">
        <f t="shared" si="13"/>
        <v>130.29288680844274</v>
      </c>
      <c r="V89">
        <f t="shared" si="14"/>
        <v>112.14906098820137</v>
      </c>
      <c r="W89">
        <f t="shared" si="15"/>
        <v>157.81871848404029</v>
      </c>
    </row>
    <row r="90" spans="12:23" x14ac:dyDescent="0.25">
      <c r="L90">
        <f>Center!B89</f>
        <v>119.39522700000001</v>
      </c>
      <c r="M90">
        <f>Center!C89</f>
        <v>144.33383900000001</v>
      </c>
      <c r="N90">
        <f>Center!H89</f>
        <v>0.39599099999999998</v>
      </c>
      <c r="P90">
        <f>P89 + (Center!$D89-Center!$D88)*COS($N90)</f>
        <v>119.46107469431564</v>
      </c>
      <c r="Q90">
        <f>Q89 + (Center!$D89-Center!$D88)*SIN($N90)</f>
        <v>144.61892382901911</v>
      </c>
      <c r="S90">
        <f t="shared" si="12"/>
        <v>125.24691503377697</v>
      </c>
      <c r="T90">
        <f t="shared" si="13"/>
        <v>130.77970233479257</v>
      </c>
      <c r="V90">
        <f t="shared" si="14"/>
        <v>113.67523435485431</v>
      </c>
      <c r="W90">
        <f t="shared" si="15"/>
        <v>158.45814532324565</v>
      </c>
    </row>
    <row r="91" spans="12:23" x14ac:dyDescent="0.25">
      <c r="L91">
        <f>Center!B90</f>
        <v>120.730163</v>
      </c>
      <c r="M91">
        <f>Center!C90</f>
        <v>144.881193</v>
      </c>
      <c r="N91">
        <f>Center!H90</f>
        <v>0.38206099999999998</v>
      </c>
      <c r="P91">
        <f>P90 + (Center!$D90-Center!$D89)*COS($N91)</f>
        <v>120.79984992407374</v>
      </c>
      <c r="Q91">
        <f>Q90 + (Center!$D90-Center!$D89)*SIN($N91)</f>
        <v>145.15684972224432</v>
      </c>
      <c r="S91">
        <f t="shared" si="12"/>
        <v>126.3923547954064</v>
      </c>
      <c r="T91">
        <f t="shared" si="13"/>
        <v>131.23837677209204</v>
      </c>
      <c r="V91">
        <f t="shared" si="14"/>
        <v>115.20734505274108</v>
      </c>
      <c r="W91">
        <f t="shared" si="15"/>
        <v>159.0753226723966</v>
      </c>
    </row>
    <row r="92" spans="12:23" x14ac:dyDescent="0.25">
      <c r="L92">
        <f>Center!B91</f>
        <v>122.05407200000001</v>
      </c>
      <c r="M92">
        <f>Center!C91</f>
        <v>145.40193400000001</v>
      </c>
      <c r="N92">
        <f>Center!H91</f>
        <v>0.36725999999999998</v>
      </c>
      <c r="P92">
        <f>P91 + (Center!$D91-Center!$D90)*COS($N92)</f>
        <v>122.12763377386217</v>
      </c>
      <c r="Q92">
        <f>Q91 + (Center!$D91-Center!$D90)*SIN($N92)</f>
        <v>145.66766715730012</v>
      </c>
      <c r="S92">
        <f t="shared" si="12"/>
        <v>127.51352628591164</v>
      </c>
      <c r="T92">
        <f t="shared" si="13"/>
        <v>131.66794709407566</v>
      </c>
      <c r="V92">
        <f t="shared" si="14"/>
        <v>116.74174126181271</v>
      </c>
      <c r="W92">
        <f t="shared" si="15"/>
        <v>159.66738722052457</v>
      </c>
    </row>
    <row r="93" spans="12:23" x14ac:dyDescent="0.25">
      <c r="L93">
        <f>Center!B92</f>
        <v>123.36403</v>
      </c>
      <c r="M93">
        <f>Center!C92</f>
        <v>145.89433500000001</v>
      </c>
      <c r="N93">
        <f>Center!H92</f>
        <v>0.35167300000000001</v>
      </c>
      <c r="P93">
        <f>P92 + (Center!$D92-Center!$D91)*COS($N93)</f>
        <v>123.44144364573825</v>
      </c>
      <c r="Q93">
        <f>Q92 + (Center!$D92-Center!$D91)*SIN($N93)</f>
        <v>146.14973760045234</v>
      </c>
      <c r="S93">
        <f t="shared" si="12"/>
        <v>128.60847710670419</v>
      </c>
      <c r="T93">
        <f t="shared" si="13"/>
        <v>132.06777164348247</v>
      </c>
      <c r="V93">
        <f t="shared" si="14"/>
        <v>118.27441018477231</v>
      </c>
      <c r="W93">
        <f t="shared" si="15"/>
        <v>160.23170355742221</v>
      </c>
    </row>
    <row r="94" spans="12:23" x14ac:dyDescent="0.25">
      <c r="L94">
        <f>Center!B93</f>
        <v>124.656965</v>
      </c>
      <c r="M94">
        <f>Center!C93</f>
        <v>146.35696100000001</v>
      </c>
      <c r="N94">
        <f>Center!H93</f>
        <v>0.33539799999999997</v>
      </c>
      <c r="P94">
        <f>P93 + (Center!$D93-Center!$D92)*COS($N94)</f>
        <v>124.73815170380294</v>
      </c>
      <c r="Q94">
        <f>Q93 + (Center!$D93-Center!$D92)*SIN($N94)</f>
        <v>146.60172776934445</v>
      </c>
      <c r="S94">
        <f t="shared" si="12"/>
        <v>129.67532699072351</v>
      </c>
      <c r="T94">
        <f t="shared" si="13"/>
        <v>132.43753699873491</v>
      </c>
      <c r="V94">
        <f t="shared" si="14"/>
        <v>119.80097641688238</v>
      </c>
      <c r="W94">
        <f t="shared" si="15"/>
        <v>160.76591853995399</v>
      </c>
    </row>
    <row r="95" spans="12:23" x14ac:dyDescent="0.25">
      <c r="L95">
        <f>Center!B94</f>
        <v>125.929661</v>
      </c>
      <c r="M95">
        <f>Center!C94</f>
        <v>146.78869399999999</v>
      </c>
      <c r="N95">
        <f>Center!H94</f>
        <v>0.31854199999999999</v>
      </c>
      <c r="P95">
        <f>P94 + (Center!$D94-Center!$D93)*COS($N95)</f>
        <v>126.01448787560051</v>
      </c>
      <c r="Q95">
        <f>Q94 + (Center!$D94-Center!$D93)*SIN($N95)</f>
        <v>147.02262779010604</v>
      </c>
      <c r="S95">
        <f t="shared" si="12"/>
        <v>130.71222149839775</v>
      </c>
      <c r="T95">
        <f t="shared" si="13"/>
        <v>132.77723208450206</v>
      </c>
      <c r="V95">
        <f t="shared" si="14"/>
        <v>121.31675425280328</v>
      </c>
      <c r="W95">
        <f t="shared" si="15"/>
        <v>161.26802349571003</v>
      </c>
    </row>
    <row r="96" spans="12:23" x14ac:dyDescent="0.25">
      <c r="L96">
        <f>Center!B95</f>
        <v>127.178769</v>
      </c>
      <c r="M96">
        <f>Center!C95</f>
        <v>147.18875299999999</v>
      </c>
      <c r="N96">
        <f>Center!H95</f>
        <v>0.30122199999999999</v>
      </c>
      <c r="P96">
        <f>P95 + (Center!$D95-Center!$D94)*COS($N96)</f>
        <v>127.26705650120671</v>
      </c>
      <c r="Q96">
        <f>Q95 + (Center!$D95-Center!$D94)*SIN($N96)</f>
        <v>147.41177041019796</v>
      </c>
      <c r="S96">
        <f t="shared" si="12"/>
        <v>131.71736760489767</v>
      </c>
      <c r="T96">
        <f t="shared" si="13"/>
        <v>133.08715065676768</v>
      </c>
      <c r="V96">
        <f t="shared" si="14"/>
        <v>122.81674539751573</v>
      </c>
      <c r="W96">
        <f t="shared" si="15"/>
        <v>161.73639016362824</v>
      </c>
    </row>
    <row r="97" spans="12:23" x14ac:dyDescent="0.25">
      <c r="L97">
        <f>Center!B96</f>
        <v>128.40082200000001</v>
      </c>
      <c r="M97">
        <f>Center!C96</f>
        <v>147.556704</v>
      </c>
      <c r="N97">
        <f>Center!H96</f>
        <v>0.28356599999999998</v>
      </c>
      <c r="P97">
        <f>P96 + (Center!$D96-Center!$D95)*COS($N97)</f>
        <v>128.49234950492183</v>
      </c>
      <c r="Q97">
        <f>Q96 + (Center!$D96-Center!$D95)*SIN($N97)</f>
        <v>147.7688442788733</v>
      </c>
      <c r="S97">
        <f t="shared" si="12"/>
        <v>132.68906462307939</v>
      </c>
      <c r="T97">
        <f t="shared" si="13"/>
        <v>133.36788659485006</v>
      </c>
      <c r="V97">
        <f t="shared" si="14"/>
        <v>124.29563438676428</v>
      </c>
      <c r="W97">
        <f t="shared" si="15"/>
        <v>162.16980196289654</v>
      </c>
    </row>
    <row r="98" spans="12:23" x14ac:dyDescent="0.25">
      <c r="L98">
        <f>Center!B97</f>
        <v>129.592251</v>
      </c>
      <c r="M98">
        <f>Center!C97</f>
        <v>147.892472</v>
      </c>
      <c r="N98">
        <f>Center!H97</f>
        <v>0.26570700000000003</v>
      </c>
      <c r="P98">
        <f>P97 + (Center!$D97-Center!$D96)*COS($N98)</f>
        <v>129.68676553552766</v>
      </c>
      <c r="Q98">
        <f>Q97 + (Center!$D97-Center!$D96)*SIN($N98)</f>
        <v>148.09389477120916</v>
      </c>
      <c r="S98">
        <f t="shared" si="12"/>
        <v>133.62563838102662</v>
      </c>
      <c r="T98">
        <f t="shared" si="13"/>
        <v>133.62028842355031</v>
      </c>
      <c r="V98">
        <f t="shared" si="14"/>
        <v>125.74789269002869</v>
      </c>
      <c r="W98">
        <f t="shared" si="15"/>
        <v>162.56750111886802</v>
      </c>
    </row>
    <row r="99" spans="12:23" x14ac:dyDescent="0.25">
      <c r="L99">
        <f>Center!B98</f>
        <v>130.74941000000001</v>
      </c>
      <c r="M99">
        <f>Center!C98</f>
        <v>148.196337</v>
      </c>
      <c r="N99">
        <f>Center!H98</f>
        <v>0.247783</v>
      </c>
      <c r="P99">
        <f>P98 + (Center!$D98-Center!$D97)*COS($N99)</f>
        <v>130.84663154318744</v>
      </c>
      <c r="Q99">
        <f>Q98 + (Center!$D98-Center!$D97)*SIN($N99)</f>
        <v>148.38731965275693</v>
      </c>
      <c r="S99">
        <f t="shared" si="12"/>
        <v>134.52546065572642</v>
      </c>
      <c r="T99">
        <f t="shared" si="13"/>
        <v>133.84544163233826</v>
      </c>
      <c r="V99">
        <f t="shared" si="14"/>
        <v>127.16780243064845</v>
      </c>
      <c r="W99">
        <f t="shared" si="15"/>
        <v>162.92919767317559</v>
      </c>
    </row>
    <row r="100" spans="12:23" x14ac:dyDescent="0.25">
      <c r="L100">
        <f>Center!B99</f>
        <v>131.868593</v>
      </c>
      <c r="M100">
        <f>Center!C99</f>
        <v>148.46892399999999</v>
      </c>
      <c r="N100">
        <f>Center!H99</f>
        <v>0.229938</v>
      </c>
      <c r="P100">
        <f>P99 + (Center!$D99-Center!$D98)*COS($N100)</f>
        <v>131.96822972198009</v>
      </c>
      <c r="Q100">
        <f>Q99 + (Center!$D99-Center!$D98)*SIN($N100)</f>
        <v>148.64986107117505</v>
      </c>
      <c r="S100">
        <f t="shared" si="12"/>
        <v>135.38698705868856</v>
      </c>
      <c r="T100">
        <f t="shared" si="13"/>
        <v>134.04465315506849</v>
      </c>
      <c r="V100">
        <f t="shared" si="14"/>
        <v>128.54947238527163</v>
      </c>
      <c r="W100">
        <f t="shared" si="15"/>
        <v>163.25506898728162</v>
      </c>
    </row>
    <row r="101" spans="12:23" x14ac:dyDescent="0.25">
      <c r="L101">
        <f>Center!B100</f>
        <v>132.94605999999999</v>
      </c>
      <c r="M101">
        <f>Center!C100</f>
        <v>148.71118799999999</v>
      </c>
      <c r="N101">
        <f>Center!H100</f>
        <v>0.212314</v>
      </c>
      <c r="P101">
        <f>P100 + (Center!$D100-Center!$D99)*COS($N101)</f>
        <v>133.04781286317174</v>
      </c>
      <c r="Q101">
        <f>Q100 + (Center!$D100-Center!$D99)*SIN($N101)</f>
        <v>148.88257900004123</v>
      </c>
      <c r="S101">
        <f t="shared" si="12"/>
        <v>136.20865041198215</v>
      </c>
      <c r="T101">
        <f t="shared" si="13"/>
        <v>134.21939019303099</v>
      </c>
      <c r="V101">
        <f t="shared" si="14"/>
        <v>129.88697531436134</v>
      </c>
      <c r="W101">
        <f t="shared" si="15"/>
        <v>163.54576780705148</v>
      </c>
    </row>
    <row r="102" spans="12:23" x14ac:dyDescent="0.25">
      <c r="L102">
        <f>Center!B101</f>
        <v>133.97824199999999</v>
      </c>
      <c r="M102">
        <f>Center!C101</f>
        <v>148.924419</v>
      </c>
      <c r="N102">
        <f>Center!H101</f>
        <v>0.19505</v>
      </c>
      <c r="P102">
        <f>P101 + (Center!$D101-Center!$D100)*COS($N102)</f>
        <v>134.08181904578424</v>
      </c>
      <c r="Q102">
        <f>Q101 + (Center!$D101-Center!$D100)*SIN($N102)</f>
        <v>149.08685907832381</v>
      </c>
      <c r="S102">
        <f t="shared" si="12"/>
        <v>136.98905285233931</v>
      </c>
      <c r="T102">
        <f t="shared" si="13"/>
        <v>134.37128937837596</v>
      </c>
      <c r="V102">
        <f t="shared" si="14"/>
        <v>131.17458523922917</v>
      </c>
      <c r="W102">
        <f t="shared" si="15"/>
        <v>163.80242877827166</v>
      </c>
    </row>
    <row r="103" spans="12:23" x14ac:dyDescent="0.25">
      <c r="L103">
        <f>Center!B102</f>
        <v>134.96308400000001</v>
      </c>
      <c r="M103">
        <f>Center!C102</f>
        <v>149.11043900000001</v>
      </c>
      <c r="N103">
        <f>Center!H102</f>
        <v>0.178257</v>
      </c>
      <c r="P103">
        <f>P102 + (Center!$D102-Center!$D101)*COS($N103)</f>
        <v>135.06820535431004</v>
      </c>
      <c r="Q103">
        <f>Q102 + (Center!$D102-Center!$D101)*SIN($N103)</f>
        <v>149.26457569031277</v>
      </c>
      <c r="S103">
        <f t="shared" si="12"/>
        <v>137.72792229612028</v>
      </c>
      <c r="T103">
        <f t="shared" si="13"/>
        <v>134.50226198989822</v>
      </c>
      <c r="V103">
        <f t="shared" si="14"/>
        <v>132.40848841249979</v>
      </c>
      <c r="W103">
        <f t="shared" si="15"/>
        <v>164.02688939072732</v>
      </c>
    </row>
    <row r="104" spans="12:23" x14ac:dyDescent="0.25">
      <c r="L104">
        <f>Center!B103</f>
        <v>135.899888</v>
      </c>
      <c r="M104">
        <f>Center!C103</f>
        <v>149.27140199999999</v>
      </c>
      <c r="N104">
        <f>Center!H103</f>
        <v>0.16201499999999999</v>
      </c>
      <c r="P104">
        <f>P103 + (Center!$D103-Center!$D102)*COS($N104)</f>
        <v>136.00630028388306</v>
      </c>
      <c r="Q104">
        <f>Q103 + (Center!$D103-Center!$D102)*SIN($N104)</f>
        <v>149.41790506766222</v>
      </c>
      <c r="S104">
        <f t="shared" si="12"/>
        <v>138.42590745603806</v>
      </c>
      <c r="T104">
        <f t="shared" si="13"/>
        <v>134.61434126929069</v>
      </c>
      <c r="V104">
        <f t="shared" si="14"/>
        <v>133.58669311172807</v>
      </c>
      <c r="W104">
        <f t="shared" si="15"/>
        <v>164.22146886603375</v>
      </c>
    </row>
    <row r="105" spans="12:23" x14ac:dyDescent="0.25">
      <c r="L105">
        <f>Center!B104</f>
        <v>136.78802999999999</v>
      </c>
      <c r="M105">
        <f>Center!C104</f>
        <v>149.40947299999999</v>
      </c>
      <c r="N105">
        <f>Center!H104</f>
        <v>0.146395</v>
      </c>
      <c r="P105">
        <f>P104 + (Center!$D104-Center!$D103)*COS($N105)</f>
        <v>136.89550594447633</v>
      </c>
      <c r="Q105">
        <f>Q104 + (Center!$D104-Center!$D103)*SIN($N105)</f>
        <v>149.54901832240367</v>
      </c>
      <c r="S105">
        <f t="shared" si="12"/>
        <v>139.0835956856053</v>
      </c>
      <c r="T105">
        <f t="shared" si="13"/>
        <v>134.70946767945068</v>
      </c>
      <c r="V105">
        <f t="shared" si="14"/>
        <v>134.70741620334735</v>
      </c>
      <c r="W105">
        <f t="shared" si="15"/>
        <v>164.38856896535665</v>
      </c>
    </row>
    <row r="106" spans="12:23" x14ac:dyDescent="0.25">
      <c r="L106">
        <f>Center!B105</f>
        <v>137.62695299999999</v>
      </c>
      <c r="M106">
        <f>Center!C105</f>
        <v>149.526792</v>
      </c>
      <c r="N106">
        <f>Center!H105</f>
        <v>0.13146099999999999</v>
      </c>
      <c r="P106">
        <f>P105 + (Center!$D105-Center!$D104)*COS($N106)</f>
        <v>137.73529173448136</v>
      </c>
      <c r="Q106">
        <f>Q105 + (Center!$D105-Center!$D104)*SIN($N106)</f>
        <v>149.66005780155683</v>
      </c>
      <c r="S106">
        <f t="shared" si="12"/>
        <v>139.70153186964637</v>
      </c>
      <c r="T106">
        <f t="shared" si="13"/>
        <v>134.78948620087965</v>
      </c>
      <c r="V106">
        <f t="shared" si="14"/>
        <v>135.76905159931636</v>
      </c>
      <c r="W106">
        <f t="shared" si="15"/>
        <v>164.53062940223401</v>
      </c>
    </row>
    <row r="107" spans="12:23" x14ac:dyDescent="0.25">
      <c r="L107">
        <f>Center!B106</f>
        <v>138.41617299999999</v>
      </c>
      <c r="M107">
        <f>Center!C106</f>
        <v>149.625462</v>
      </c>
      <c r="N107">
        <f>Center!H106</f>
        <v>0.117266</v>
      </c>
      <c r="P107">
        <f>P106 + (Center!$D106-Center!$D105)*COS($N107)</f>
        <v>138.5252002999413</v>
      </c>
      <c r="Q107">
        <f>Q106 + (Center!$D106-Center!$D105)*SIN($N107)</f>
        <v>149.75311416003944</v>
      </c>
      <c r="S107">
        <f t="shared" si="12"/>
        <v>140.28016166669889</v>
      </c>
      <c r="T107">
        <f t="shared" si="13"/>
        <v>134.85613088820926</v>
      </c>
      <c r="V107">
        <f t="shared" si="14"/>
        <v>136.77023893318372</v>
      </c>
      <c r="W107">
        <f t="shared" si="15"/>
        <v>164.65009743186963</v>
      </c>
    </row>
    <row r="108" spans="12:23" x14ac:dyDescent="0.25">
      <c r="L108">
        <f>Center!B107</f>
        <v>139.15527399999999</v>
      </c>
      <c r="M108">
        <f>Center!C107</f>
        <v>149.70752100000001</v>
      </c>
      <c r="N108">
        <f>Center!H107</f>
        <v>0.10385900000000001</v>
      </c>
      <c r="P108">
        <f>P107 + (Center!$D107-Center!$D106)*COS($N108)</f>
        <v>139.26484015833967</v>
      </c>
      <c r="Q108">
        <f>Q107 + (Center!$D107-Center!$D106)*SIN($N108)</f>
        <v>149.83020981800689</v>
      </c>
      <c r="S108">
        <f t="shared" si="12"/>
        <v>140.81992593090627</v>
      </c>
      <c r="T108">
        <f t="shared" si="13"/>
        <v>134.91103731280538</v>
      </c>
      <c r="V108">
        <f t="shared" si="14"/>
        <v>137.70975438577307</v>
      </c>
      <c r="W108">
        <f t="shared" si="15"/>
        <v>164.74938232320841</v>
      </c>
    </row>
    <row r="109" spans="12:23" x14ac:dyDescent="0.25">
      <c r="L109">
        <f>Center!B108</f>
        <v>139.84389899999999</v>
      </c>
      <c r="M109">
        <f>Center!C108</f>
        <v>149.77492899999999</v>
      </c>
      <c r="N109">
        <f>Center!H108</f>
        <v>9.1276999999999997E-2</v>
      </c>
      <c r="P109">
        <f>P108 + (Center!$D108-Center!$D107)*COS($N109)</f>
        <v>139.95388278396089</v>
      </c>
      <c r="Q109">
        <f>Q108 + (Center!$D108-Center!$D107)*SIN($N109)</f>
        <v>149.89327881202161</v>
      </c>
      <c r="S109">
        <f t="shared" si="12"/>
        <v>141.32113739209035</v>
      </c>
      <c r="T109">
        <f t="shared" si="13"/>
        <v>134.95572162094953</v>
      </c>
      <c r="V109">
        <f t="shared" si="14"/>
        <v>138.58662817583144</v>
      </c>
      <c r="W109">
        <f t="shared" si="15"/>
        <v>164.83083600309368</v>
      </c>
    </row>
    <row r="110" spans="12:23" x14ac:dyDescent="0.25">
      <c r="L110">
        <f>Center!B109</f>
        <v>140.48176000000001</v>
      </c>
      <c r="M110">
        <f>Center!C109</f>
        <v>149.82954899999999</v>
      </c>
      <c r="N110">
        <f>Center!H109</f>
        <v>7.9555000000000001E-2</v>
      </c>
      <c r="P110">
        <f>P109 + (Center!$D109-Center!$D108)*COS($N110)</f>
        <v>140.59205694313007</v>
      </c>
      <c r="Q110">
        <f>Q109 + (Center!$D109-Center!$D108)*SIN($N110)</f>
        <v>149.944156136732</v>
      </c>
      <c r="S110">
        <f t="shared" si="12"/>
        <v>141.7841235828094</v>
      </c>
      <c r="T110">
        <f t="shared" si="13"/>
        <v>134.99159859206549</v>
      </c>
      <c r="V110">
        <f t="shared" si="14"/>
        <v>139.39999030345075</v>
      </c>
      <c r="W110">
        <f t="shared" si="15"/>
        <v>164.89671368139852</v>
      </c>
    </row>
    <row r="111" spans="12:23" x14ac:dyDescent="0.25">
      <c r="L111">
        <f>Center!B110</f>
        <v>141.06861499999999</v>
      </c>
      <c r="M111">
        <f>Center!C110</f>
        <v>149.87313900000001</v>
      </c>
      <c r="N111">
        <f>Center!H110</f>
        <v>6.8719000000000002E-2</v>
      </c>
      <c r="P111">
        <f>P110 + (Center!$D110-Center!$D109)*COS($N111)</f>
        <v>141.17914201416968</v>
      </c>
      <c r="Q111">
        <f>Q110 + (Center!$D110-Center!$D109)*SIN($N111)</f>
        <v>149.98456366125939</v>
      </c>
      <c r="S111">
        <f t="shared" si="12"/>
        <v>142.20911592620411</v>
      </c>
      <c r="T111">
        <f t="shared" si="13"/>
        <v>135.01996698308164</v>
      </c>
      <c r="V111">
        <f t="shared" si="14"/>
        <v>140.14916810213526</v>
      </c>
      <c r="W111">
        <f t="shared" si="15"/>
        <v>164.94916033943713</v>
      </c>
    </row>
    <row r="112" spans="12:23" x14ac:dyDescent="0.25">
      <c r="L112">
        <f>Center!B111</f>
        <v>141.60427200000001</v>
      </c>
      <c r="M112">
        <f>Center!C111</f>
        <v>149.90733800000001</v>
      </c>
      <c r="N112">
        <f>Center!H111</f>
        <v>5.8789000000000001E-2</v>
      </c>
      <c r="P112">
        <f>P111 + (Center!$D111-Center!$D110)*COS($N112)</f>
        <v>141.71496573623256</v>
      </c>
      <c r="Q112">
        <f>Q111 + (Center!$D111-Center!$D110)*SIN($N112)</f>
        <v>150.01610054245717</v>
      </c>
      <c r="S112">
        <f t="shared" si="12"/>
        <v>142.59629286550972</v>
      </c>
      <c r="T112">
        <f t="shared" si="13"/>
        <v>135.04201417663171</v>
      </c>
      <c r="V112">
        <f t="shared" si="14"/>
        <v>140.83363860695539</v>
      </c>
      <c r="W112">
        <f t="shared" si="15"/>
        <v>164.99018690828262</v>
      </c>
    </row>
    <row r="113" spans="12:23" x14ac:dyDescent="0.25">
      <c r="L113">
        <f>Center!B112</f>
        <v>142.088582</v>
      </c>
      <c r="M113">
        <f>Center!C112</f>
        <v>149.93365600000001</v>
      </c>
      <c r="N113">
        <f>Center!H112</f>
        <v>4.9784000000000002E-2</v>
      </c>
      <c r="P113">
        <f>P112 + (Center!$D112-Center!$D111)*COS($N113)</f>
        <v>142.19939080482877</v>
      </c>
      <c r="Q113">
        <f>Q112 + (Center!$D112-Center!$D111)*SIN($N113)</f>
        <v>150.04023710376092</v>
      </c>
      <c r="S113">
        <f t="shared" si="12"/>
        <v>142.94584237558172</v>
      </c>
      <c r="T113">
        <f t="shared" si="13"/>
        <v>135.05882161481193</v>
      </c>
      <c r="V113">
        <f t="shared" si="14"/>
        <v>141.45293923407581</v>
      </c>
      <c r="W113">
        <f t="shared" si="15"/>
        <v>165.0216525927099</v>
      </c>
    </row>
    <row r="114" spans="12:23" x14ac:dyDescent="0.25">
      <c r="L114">
        <f>Center!B113</f>
        <v>142.52161699999999</v>
      </c>
      <c r="M114">
        <f>Center!C113</f>
        <v>149.95348200000001</v>
      </c>
      <c r="N114">
        <f>Center!H113</f>
        <v>4.1713E-2</v>
      </c>
      <c r="P114">
        <f>P113 + (Center!$D113-Center!$D112)*COS($N114)</f>
        <v>142.63250272963398</v>
      </c>
      <c r="Q114">
        <f>Q113 + (Center!$D113-Center!$D112)*SIN($N114)</f>
        <v>150.0583139871346</v>
      </c>
      <c r="S114">
        <f t="shared" si="12"/>
        <v>143.25801629654202</v>
      </c>
      <c r="T114">
        <f t="shared" si="13"/>
        <v>135.07136190281759</v>
      </c>
      <c r="V114">
        <f t="shared" si="14"/>
        <v>142.00698916272594</v>
      </c>
      <c r="W114">
        <f t="shared" si="15"/>
        <v>165.04526607145161</v>
      </c>
    </row>
    <row r="115" spans="12:23" x14ac:dyDescent="0.25">
      <c r="L115">
        <f>Center!B114</f>
        <v>142.90499500000001</v>
      </c>
      <c r="M115">
        <f>Center!C114</f>
        <v>149.968109</v>
      </c>
      <c r="N115">
        <f>Center!H114</f>
        <v>3.4555000000000002E-2</v>
      </c>
      <c r="P115">
        <f>P114 + (Center!$D114-Center!$D113)*COS($N115)</f>
        <v>143.01593369819227</v>
      </c>
      <c r="Q115">
        <f>Q114 + (Center!$D114-Center!$D113)*SIN($N115)</f>
        <v>150.07156872026911</v>
      </c>
      <c r="S115">
        <f t="shared" si="12"/>
        <v>143.53415555352669</v>
      </c>
      <c r="T115">
        <f t="shared" si="13"/>
        <v>135.08052318939789</v>
      </c>
      <c r="V115">
        <f t="shared" si="14"/>
        <v>142.49771184285785</v>
      </c>
      <c r="W115">
        <f t="shared" si="15"/>
        <v>165.06261425114033</v>
      </c>
    </row>
    <row r="116" spans="12:23" x14ac:dyDescent="0.25">
      <c r="L116">
        <f>Center!B115</f>
        <v>143.241702</v>
      </c>
      <c r="M116">
        <f>Center!C115</f>
        <v>149.97868800000001</v>
      </c>
      <c r="N116">
        <f>Center!H115</f>
        <v>2.8258999999999999E-2</v>
      </c>
      <c r="P116">
        <f>P115 + (Center!$D115-Center!$D114)*COS($N116)</f>
        <v>143.35267219862536</v>
      </c>
      <c r="Q116">
        <f>Q115 + (Center!$D115-Center!$D114)*SIN($N116)</f>
        <v>150.08108714740129</v>
      </c>
      <c r="S116">
        <f t="shared" si="12"/>
        <v>143.77650078382752</v>
      </c>
      <c r="T116">
        <f t="shared" si="13"/>
        <v>135.08707603194705</v>
      </c>
      <c r="V116">
        <f t="shared" si="14"/>
        <v>142.9288436134232</v>
      </c>
      <c r="W116">
        <f t="shared" si="15"/>
        <v>165.07509826285553</v>
      </c>
    </row>
    <row r="117" spans="12:23" x14ac:dyDescent="0.25">
      <c r="L117">
        <f>Center!B116</f>
        <v>143.53473700000001</v>
      </c>
      <c r="M117">
        <f>Center!C116</f>
        <v>149.98616699999999</v>
      </c>
      <c r="N117">
        <f>Center!H116</f>
        <v>2.2773000000000002E-2</v>
      </c>
      <c r="P117">
        <f>P116 + (Center!$D116-Center!$D115)*COS($N117)</f>
        <v>143.64572619190466</v>
      </c>
      <c r="Q117">
        <f>Q116 + (Center!$D116-Center!$D115)*SIN($N117)</f>
        <v>150.08776201991429</v>
      </c>
      <c r="S117">
        <f t="shared" si="12"/>
        <v>143.98729166693326</v>
      </c>
      <c r="T117">
        <f t="shared" si="13"/>
        <v>135.09165142328729</v>
      </c>
      <c r="V117">
        <f t="shared" si="14"/>
        <v>143.30416071687605</v>
      </c>
      <c r="W117">
        <f t="shared" si="15"/>
        <v>165.0838726165413</v>
      </c>
    </row>
    <row r="118" spans="12:23" x14ac:dyDescent="0.25">
      <c r="L118">
        <f>Center!B117</f>
        <v>143.78711100000001</v>
      </c>
      <c r="M118">
        <f>Center!C117</f>
        <v>149.99131800000001</v>
      </c>
      <c r="N118">
        <f>Center!H117</f>
        <v>1.8044999999999999E-2</v>
      </c>
      <c r="P118">
        <f>P117 + (Center!$D117-Center!$D116)*COS($N118)</f>
        <v>143.89811309496159</v>
      </c>
      <c r="Q118">
        <f>Q117 + (Center!$D117-Center!$D116)*SIN($N118)</f>
        <v>150.09231683597349</v>
      </c>
      <c r="S118">
        <f t="shared" si="12"/>
        <v>144.16877340557716</v>
      </c>
      <c r="T118">
        <f t="shared" si="13"/>
        <v>135.09475893489315</v>
      </c>
      <c r="V118">
        <f t="shared" si="14"/>
        <v>143.62745278434602</v>
      </c>
      <c r="W118">
        <f t="shared" si="15"/>
        <v>165.08987473705383</v>
      </c>
    </row>
    <row r="119" spans="12:23" x14ac:dyDescent="0.25">
      <c r="L119">
        <f>Center!B118</f>
        <v>144.00185500000001</v>
      </c>
      <c r="M119">
        <f>Center!C118</f>
        <v>149.99476100000001</v>
      </c>
      <c r="N119">
        <f>Center!H118</f>
        <v>1.4019E-2</v>
      </c>
      <c r="P119">
        <f>P118 + (Center!$D118-Center!$D117)*COS($N119)</f>
        <v>144.1128609907779</v>
      </c>
      <c r="Q119">
        <f>Q118 + (Center!$D118-Center!$D117)*SIN($N119)</f>
        <v>150.09532758396401</v>
      </c>
      <c r="S119">
        <f t="shared" si="12"/>
        <v>144.32313910287766</v>
      </c>
      <c r="T119">
        <f t="shared" si="13"/>
        <v>135.09680155253105</v>
      </c>
      <c r="V119">
        <f t="shared" si="14"/>
        <v>143.90258287867815</v>
      </c>
      <c r="W119">
        <f t="shared" si="15"/>
        <v>165.09385361539697</v>
      </c>
    </row>
    <row r="120" spans="12:23" x14ac:dyDescent="0.25">
      <c r="L120">
        <f>Center!B119</f>
        <v>144.181994</v>
      </c>
      <c r="M120">
        <f>Center!C119</f>
        <v>149.996983</v>
      </c>
      <c r="N120">
        <f>Center!H119</f>
        <v>1.0640999999999999E-2</v>
      </c>
      <c r="P120">
        <f>P119 + (Center!$D119-Center!$D118)*COS($N120)</f>
        <v>144.29300379143271</v>
      </c>
      <c r="Q120">
        <f>Q119 + (Center!$D119-Center!$D118)*SIN($N120)</f>
        <v>150.09724455585979</v>
      </c>
      <c r="S120">
        <f t="shared" si="12"/>
        <v>144.45261577922525</v>
      </c>
      <c r="T120">
        <f t="shared" si="13"/>
        <v>135.09809377945405</v>
      </c>
      <c r="V120">
        <f t="shared" si="14"/>
        <v>144.13339180364017</v>
      </c>
      <c r="W120">
        <f t="shared" si="15"/>
        <v>165.09639533226553</v>
      </c>
    </row>
    <row r="121" spans="12:23" x14ac:dyDescent="0.25">
      <c r="L121">
        <f>Center!B120</f>
        <v>144.330568</v>
      </c>
      <c r="M121">
        <f>Center!C120</f>
        <v>149.998357</v>
      </c>
      <c r="N121">
        <f>Center!H120</f>
        <v>7.8539999999999999E-3</v>
      </c>
      <c r="P121">
        <f>P120 + (Center!$D120-Center!$D119)*COS($N121)</f>
        <v>144.44157920885414</v>
      </c>
      <c r="Q121">
        <f>Q120 + (Center!$D120-Center!$D119)*SIN($N121)</f>
        <v>150.09841149118256</v>
      </c>
      <c r="S121">
        <f t="shared" si="12"/>
        <v>144.5593879976667</v>
      </c>
      <c r="T121">
        <f t="shared" si="13"/>
        <v>135.0988741286744</v>
      </c>
      <c r="V121">
        <f t="shared" si="14"/>
        <v>144.32377042004157</v>
      </c>
      <c r="W121">
        <f t="shared" si="15"/>
        <v>165.09794885369072</v>
      </c>
    </row>
    <row r="122" spans="12:23" x14ac:dyDescent="0.25">
      <c r="L122">
        <f>Center!B121</f>
        <v>144.45061000000001</v>
      </c>
      <c r="M122">
        <f>Center!C121</f>
        <v>149.99916400000001</v>
      </c>
      <c r="N122">
        <f>Center!H121</f>
        <v>5.6010000000000001E-3</v>
      </c>
      <c r="P122">
        <f>P121 + (Center!$D121-Center!$D120)*COS($N122)</f>
        <v>144.56162632581839</v>
      </c>
      <c r="Q122">
        <f>Q121 + (Center!$D121-Center!$D120)*SIN($N122)</f>
        <v>150.09908388211593</v>
      </c>
      <c r="S122">
        <f t="shared" si="12"/>
        <v>144.64564088654384</v>
      </c>
      <c r="T122">
        <f t="shared" si="13"/>
        <v>135.09931916550835</v>
      </c>
      <c r="V122">
        <f t="shared" si="14"/>
        <v>144.47761176509295</v>
      </c>
      <c r="W122">
        <f t="shared" si="15"/>
        <v>165.09884859872352</v>
      </c>
    </row>
    <row r="123" spans="12:23" x14ac:dyDescent="0.25">
      <c r="L123">
        <f>Center!B122</f>
        <v>144.54516899999999</v>
      </c>
      <c r="M123">
        <f>Center!C122</f>
        <v>149.99960999999999</v>
      </c>
      <c r="N123">
        <f>Center!H122</f>
        <v>3.826E-3</v>
      </c>
      <c r="P123">
        <f>P122 + (Center!$D122-Center!$D121)*COS($N123)</f>
        <v>144.65618563372155</v>
      </c>
      <c r="Q123">
        <f>Q122 + (Center!$D122-Center!$D121)*SIN($N123)</f>
        <v>150.09944566779328</v>
      </c>
      <c r="S123">
        <f t="shared" si="12"/>
        <v>144.71357549370654</v>
      </c>
      <c r="T123">
        <f t="shared" si="13"/>
        <v>135.09955545472934</v>
      </c>
      <c r="V123">
        <f t="shared" si="14"/>
        <v>144.59879577373655</v>
      </c>
      <c r="W123">
        <f t="shared" si="15"/>
        <v>165.09933588085721</v>
      </c>
    </row>
    <row r="124" spans="12:23" x14ac:dyDescent="0.25">
      <c r="L124">
        <f>Center!B123</f>
        <v>144.61728299999999</v>
      </c>
      <c r="M124">
        <f>Center!C123</f>
        <v>149.99983700000001</v>
      </c>
      <c r="N124">
        <f>Center!H123</f>
        <v>2.4729999999999999E-3</v>
      </c>
      <c r="P124">
        <f>P123 + (Center!$D123-Center!$D122)*COS($N124)</f>
        <v>144.72829941320683</v>
      </c>
      <c r="Q124">
        <f>Q123 + (Center!$D123-Center!$D122)*SIN($N124)</f>
        <v>150.09962400553349</v>
      </c>
      <c r="S124">
        <f t="shared" si="12"/>
        <v>144.76539437539634</v>
      </c>
      <c r="T124">
        <f t="shared" si="13"/>
        <v>135.09966987347761</v>
      </c>
      <c r="V124">
        <f t="shared" si="14"/>
        <v>144.69120445101731</v>
      </c>
      <c r="W124">
        <f t="shared" si="15"/>
        <v>165.09957813758936</v>
      </c>
    </row>
    <row r="125" spans="12:23" x14ac:dyDescent="0.25">
      <c r="L125">
        <f>Center!B124</f>
        <v>144.66999899999999</v>
      </c>
      <c r="M125">
        <f>Center!C124</f>
        <v>149.99994100000001</v>
      </c>
      <c r="N125">
        <f>Center!H124</f>
        <v>1.4829999999999999E-3</v>
      </c>
      <c r="P125">
        <f>P124 + (Center!$D124-Center!$D123)*COS($N125)</f>
        <v>144.78101135524238</v>
      </c>
      <c r="Q125">
        <f>Q124 + (Center!$D124-Center!$D123)*SIN($N125)</f>
        <v>150.09970217740084</v>
      </c>
      <c r="S125">
        <f t="shared" si="12"/>
        <v>144.80325634708853</v>
      </c>
      <c r="T125">
        <f t="shared" si="13"/>
        <v>135.09971867206531</v>
      </c>
      <c r="V125">
        <f t="shared" si="14"/>
        <v>144.75876636339623</v>
      </c>
      <c r="W125">
        <f t="shared" si="15"/>
        <v>165.09968568273638</v>
      </c>
    </row>
    <row r="126" spans="12:23" x14ac:dyDescent="0.25">
      <c r="L126">
        <f>Center!B125</f>
        <v>144.706345</v>
      </c>
      <c r="M126">
        <f>Center!C125</f>
        <v>149.99998299999999</v>
      </c>
      <c r="N126">
        <f>Center!H125</f>
        <v>8.0099999999999995E-4</v>
      </c>
      <c r="P126">
        <f>P125 + (Center!$D125-Center!$D124)*COS($N126)</f>
        <v>144.81736234358098</v>
      </c>
      <c r="Q126">
        <f>Q125 + (Center!$D125-Center!$D124)*SIN($N126)</f>
        <v>150.09973129454872</v>
      </c>
      <c r="S126">
        <f t="shared" si="12"/>
        <v>144.82937734229617</v>
      </c>
      <c r="T126">
        <f t="shared" si="13"/>
        <v>135.09973610655595</v>
      </c>
      <c r="V126">
        <f t="shared" si="14"/>
        <v>144.80534734486579</v>
      </c>
      <c r="W126">
        <f t="shared" si="15"/>
        <v>165.09972648254148</v>
      </c>
    </row>
    <row r="127" spans="12:23" x14ac:dyDescent="0.25">
      <c r="L127">
        <f>Center!B126</f>
        <v>144.72937899999999</v>
      </c>
      <c r="M127">
        <f>Center!C126</f>
        <v>149.99999600000001</v>
      </c>
      <c r="N127">
        <f>Center!H126</f>
        <v>3.68E-4</v>
      </c>
      <c r="P127">
        <f>P126 + (Center!$D126-Center!$D125)*COS($N127)</f>
        <v>144.84039434202143</v>
      </c>
      <c r="Q127">
        <f>Q126 + (Center!$D126-Center!$D125)*SIN($N127)</f>
        <v>150.09973977032453</v>
      </c>
      <c r="S127">
        <f t="shared" si="12"/>
        <v>144.84591434189684</v>
      </c>
      <c r="T127">
        <f t="shared" si="13"/>
        <v>135.09974078600453</v>
      </c>
      <c r="V127">
        <f t="shared" si="14"/>
        <v>144.83487434214601</v>
      </c>
      <c r="W127">
        <f t="shared" si="15"/>
        <v>165.09973875464453</v>
      </c>
    </row>
    <row r="128" spans="12:23" x14ac:dyDescent="0.25">
      <c r="L128">
        <f>Center!B127</f>
        <v>144.74213900000001</v>
      </c>
      <c r="M128">
        <f>Center!C127</f>
        <v>150</v>
      </c>
      <c r="N128">
        <f>Center!H127</f>
        <v>1.2899999999999999E-4</v>
      </c>
      <c r="P128">
        <f>P127 + (Center!$D127-Center!$D126)*COS($N128)</f>
        <v>144.85315234191529</v>
      </c>
      <c r="Q128">
        <f>Q127 + (Center!$D127-Center!$D126)*SIN($N128)</f>
        <v>150.09974141610653</v>
      </c>
      <c r="S128">
        <f t="shared" si="12"/>
        <v>144.85508734190992</v>
      </c>
      <c r="T128">
        <f t="shared" si="13"/>
        <v>135.09974154091401</v>
      </c>
      <c r="V128">
        <f t="shared" si="14"/>
        <v>144.85121734192066</v>
      </c>
      <c r="W128">
        <f t="shared" si="15"/>
        <v>165.09974129129904</v>
      </c>
    </row>
    <row r="129" spans="12:23" x14ac:dyDescent="0.25">
      <c r="L129">
        <f>Center!B128</f>
        <v>144.74766500000001</v>
      </c>
      <c r="M129">
        <f>Center!C128</f>
        <v>150</v>
      </c>
      <c r="N129">
        <f>Center!H128</f>
        <v>2.5000000000000001E-5</v>
      </c>
      <c r="P129">
        <f>P128 + (Center!$D128-Center!$D127)*COS($N129)</f>
        <v>144.85867634191357</v>
      </c>
      <c r="Q129">
        <f>Q128 + (Center!$D128-Center!$D127)*SIN($N129)</f>
        <v>150.09974155420653</v>
      </c>
      <c r="S129">
        <f t="shared" si="12"/>
        <v>144.85905134191353</v>
      </c>
      <c r="T129">
        <f t="shared" si="13"/>
        <v>135.09974155889404</v>
      </c>
      <c r="V129">
        <f t="shared" si="14"/>
        <v>144.8583013419136</v>
      </c>
      <c r="W129">
        <f t="shared" si="15"/>
        <v>165.09974154951902</v>
      </c>
    </row>
    <row r="130" spans="12:23" x14ac:dyDescent="0.25">
      <c r="L130">
        <f>Center!B129</f>
        <v>144.749</v>
      </c>
      <c r="M130">
        <f>Center!C129</f>
        <v>150</v>
      </c>
      <c r="N130">
        <f>Center!H129</f>
        <v>6.2831849999999996</v>
      </c>
      <c r="P130">
        <f>P129 + (Center!$D129-Center!$D128)*COS($N130)</f>
        <v>144.86001134191355</v>
      </c>
      <c r="Q130">
        <f>Q129 + (Center!$D129-Center!$D128)*SIN($N130)</f>
        <v>150.09974155379643</v>
      </c>
      <c r="S130">
        <f t="shared" si="12"/>
        <v>144.86000673421975</v>
      </c>
      <c r="T130">
        <f t="shared" si="13"/>
        <v>135.09974155379714</v>
      </c>
      <c r="V130">
        <f t="shared" si="14"/>
        <v>144.86001594960734</v>
      </c>
      <c r="W130">
        <f t="shared" si="15"/>
        <v>165.09974155379572</v>
      </c>
    </row>
    <row r="131" spans="12:23" x14ac:dyDescent="0.25">
      <c r="L131">
        <f>Center!B130</f>
        <v>144.749</v>
      </c>
      <c r="M131">
        <f>Center!C130</f>
        <v>150</v>
      </c>
      <c r="N131">
        <f>Center!H130</f>
        <v>6.2831849999999996</v>
      </c>
      <c r="P131">
        <f>P130 + (Center!$D130-Center!$D129)*COS($N131)</f>
        <v>144.86001134191355</v>
      </c>
      <c r="Q131">
        <f>Q130 + (Center!$D130-Center!$D129)*SIN($N131)</f>
        <v>150.09974155379643</v>
      </c>
      <c r="S131">
        <f t="shared" si="12"/>
        <v>144.86000673421975</v>
      </c>
      <c r="T131">
        <f t="shared" si="13"/>
        <v>135.09974155379714</v>
      </c>
      <c r="V131">
        <f t="shared" si="14"/>
        <v>144.86001594960734</v>
      </c>
      <c r="W131">
        <f t="shared" si="15"/>
        <v>165.09974155379572</v>
      </c>
    </row>
  </sheetData>
  <conditionalFormatting sqref="C7:C8">
    <cfRule type="cellIs" dxfId="1" priority="1" operator="greaterThan">
      <formula>90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xPaths">
                <anchor moveWithCells="1" sizeWithCells="1">
                  <from>
                    <xdr:col>0</xdr:col>
                    <xdr:colOff>314325</xdr:colOff>
                    <xdr:row>0</xdr:row>
                    <xdr:rowOff>104775</xdr:rowOff>
                  </from>
                  <to>
                    <xdr:col>4</xdr:col>
                    <xdr:colOff>76200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30"/>
  <sheetViews>
    <sheetView workbookViewId="0"/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0.02</v>
      </c>
      <c r="B2">
        <v>26</v>
      </c>
      <c r="C2">
        <v>120</v>
      </c>
      <c r="D2">
        <v>1.521E-3</v>
      </c>
      <c r="E2">
        <v>0.15212999999999999</v>
      </c>
      <c r="F2">
        <v>7.6064910000000001</v>
      </c>
      <c r="G2">
        <v>380.324544</v>
      </c>
      <c r="H2">
        <v>6.2830839999999997</v>
      </c>
    </row>
    <row r="3" spans="1:8" x14ac:dyDescent="0.25">
      <c r="A3">
        <v>0.02</v>
      </c>
      <c r="B3">
        <v>26</v>
      </c>
      <c r="C3">
        <v>120</v>
      </c>
      <c r="D3">
        <v>7.6059999999999999E-3</v>
      </c>
      <c r="E3">
        <v>0.45638899999999999</v>
      </c>
      <c r="F3">
        <v>15.212982</v>
      </c>
      <c r="G3">
        <v>380.324544</v>
      </c>
      <c r="H3">
        <v>6.2830969999999997</v>
      </c>
    </row>
    <row r="4" spans="1:8" x14ac:dyDescent="0.25">
      <c r="A4">
        <v>0.02</v>
      </c>
      <c r="B4">
        <v>26</v>
      </c>
      <c r="C4">
        <v>120</v>
      </c>
      <c r="D4">
        <v>2.1298000000000001E-2</v>
      </c>
      <c r="E4">
        <v>0.91277900000000001</v>
      </c>
      <c r="F4">
        <v>22.819472999999999</v>
      </c>
      <c r="G4">
        <v>380.324544</v>
      </c>
      <c r="H4">
        <v>6.2831289999999997</v>
      </c>
    </row>
    <row r="5" spans="1:8" x14ac:dyDescent="0.25">
      <c r="A5">
        <v>0.02</v>
      </c>
      <c r="B5">
        <v>26</v>
      </c>
      <c r="C5">
        <v>120</v>
      </c>
      <c r="D5">
        <v>4.5638999999999999E-2</v>
      </c>
      <c r="E5">
        <v>1.521298</v>
      </c>
      <c r="F5">
        <v>30.425962999999999</v>
      </c>
      <c r="G5">
        <v>380.324544</v>
      </c>
      <c r="H5">
        <v>6.2831840000000003</v>
      </c>
    </row>
    <row r="6" spans="1:8" x14ac:dyDescent="0.25">
      <c r="A6">
        <v>0.02</v>
      </c>
      <c r="B6">
        <v>26.037507000000002</v>
      </c>
      <c r="C6">
        <v>120.00000199999999</v>
      </c>
      <c r="D6">
        <v>8.3670999999999995E-2</v>
      </c>
      <c r="E6">
        <v>2.2819470000000002</v>
      </c>
      <c r="F6">
        <v>38.032454000000001</v>
      </c>
      <c r="G6">
        <v>380.324544</v>
      </c>
      <c r="H6">
        <v>8.6000000000000003E-5</v>
      </c>
    </row>
    <row r="7" spans="1:8" x14ac:dyDescent="0.25">
      <c r="A7">
        <v>0.02</v>
      </c>
      <c r="B7">
        <v>26.092274</v>
      </c>
      <c r="C7">
        <v>120.00001</v>
      </c>
      <c r="D7">
        <v>0.13843800000000001</v>
      </c>
      <c r="E7">
        <v>3.1947260000000002</v>
      </c>
      <c r="F7">
        <v>45.638945</v>
      </c>
      <c r="G7">
        <v>380.324544</v>
      </c>
      <c r="H7">
        <v>2.1100000000000001E-4</v>
      </c>
    </row>
    <row r="8" spans="1:8" x14ac:dyDescent="0.25">
      <c r="A8">
        <v>0.02</v>
      </c>
      <c r="B8">
        <v>26.166817999999999</v>
      </c>
      <c r="C8">
        <v>120.000032</v>
      </c>
      <c r="D8">
        <v>0.212982</v>
      </c>
      <c r="E8">
        <v>4.2596350000000003</v>
      </c>
      <c r="F8">
        <v>53.245435999999998</v>
      </c>
      <c r="G8">
        <v>380.324544</v>
      </c>
      <c r="H8">
        <v>3.8200000000000002E-4</v>
      </c>
    </row>
    <row r="9" spans="1:8" x14ac:dyDescent="0.25">
      <c r="A9">
        <v>0.02</v>
      </c>
      <c r="B9">
        <v>26.264181000000001</v>
      </c>
      <c r="C9">
        <v>120.00008</v>
      </c>
      <c r="D9">
        <v>0.31034499999999998</v>
      </c>
      <c r="E9">
        <v>5.4766729999999999</v>
      </c>
      <c r="F9">
        <v>60.851927000000003</v>
      </c>
      <c r="G9">
        <v>380.324544</v>
      </c>
      <c r="H9">
        <v>6.0499999999999996E-4</v>
      </c>
    </row>
    <row r="10" spans="1:8" x14ac:dyDescent="0.25">
      <c r="A10">
        <v>0.02</v>
      </c>
      <c r="B10">
        <v>26.387405999999999</v>
      </c>
      <c r="C10">
        <v>120.00017200000001</v>
      </c>
      <c r="D10">
        <v>0.43357000000000001</v>
      </c>
      <c r="E10">
        <v>6.8458420000000002</v>
      </c>
      <c r="F10">
        <v>68.458417999999995</v>
      </c>
      <c r="G10">
        <v>380.324544</v>
      </c>
      <c r="H10">
        <v>8.8999999999999995E-4</v>
      </c>
    </row>
    <row r="11" spans="1:8" x14ac:dyDescent="0.25">
      <c r="A11">
        <v>0.02</v>
      </c>
      <c r="B11">
        <v>26.539535000000001</v>
      </c>
      <c r="C11">
        <v>120.000334</v>
      </c>
      <c r="D11">
        <v>0.5857</v>
      </c>
      <c r="E11">
        <v>8.3671399999999991</v>
      </c>
      <c r="F11">
        <v>76.064909</v>
      </c>
      <c r="G11">
        <v>380.324544</v>
      </c>
      <c r="H11">
        <v>1.242E-3</v>
      </c>
    </row>
    <row r="12" spans="1:8" x14ac:dyDescent="0.25">
      <c r="A12">
        <v>0.02</v>
      </c>
      <c r="B12">
        <v>26.723611999999999</v>
      </c>
      <c r="C12">
        <v>120.000602</v>
      </c>
      <c r="D12">
        <v>0.76977700000000004</v>
      </c>
      <c r="E12">
        <v>10.040568</v>
      </c>
      <c r="F12">
        <v>83.671400000000006</v>
      </c>
      <c r="G12">
        <v>380.324544</v>
      </c>
      <c r="H12">
        <v>1.6720000000000001E-3</v>
      </c>
    </row>
    <row r="13" spans="1:8" x14ac:dyDescent="0.25">
      <c r="A13">
        <v>0.02</v>
      </c>
      <c r="B13">
        <v>26.942678999999998</v>
      </c>
      <c r="C13">
        <v>120.001025</v>
      </c>
      <c r="D13">
        <v>0.98884399999999995</v>
      </c>
      <c r="E13">
        <v>11.866126</v>
      </c>
      <c r="F13">
        <v>91.277889999999999</v>
      </c>
      <c r="G13">
        <v>380.324544</v>
      </c>
      <c r="H13">
        <v>2.1870000000000001E-3</v>
      </c>
    </row>
    <row r="14" spans="1:8" x14ac:dyDescent="0.25">
      <c r="A14">
        <v>0.02</v>
      </c>
      <c r="B14">
        <v>27.199777000000001</v>
      </c>
      <c r="C14">
        <v>120.001665</v>
      </c>
      <c r="D14">
        <v>1.245943</v>
      </c>
      <c r="E14">
        <v>13.843813000000001</v>
      </c>
      <c r="F14">
        <v>98.884381000000005</v>
      </c>
      <c r="G14">
        <v>380.324544</v>
      </c>
      <c r="H14">
        <v>2.7959999999999999E-3</v>
      </c>
    </row>
    <row r="15" spans="1:8" x14ac:dyDescent="0.25">
      <c r="A15">
        <v>0.02</v>
      </c>
      <c r="B15">
        <v>27.497949999999999</v>
      </c>
      <c r="C15">
        <v>120.002605</v>
      </c>
      <c r="D15">
        <v>1.5441180000000001</v>
      </c>
      <c r="E15">
        <v>15.973630999999999</v>
      </c>
      <c r="F15">
        <v>106.490872</v>
      </c>
      <c r="G15">
        <v>380.324544</v>
      </c>
      <c r="H15">
        <v>3.509E-3</v>
      </c>
    </row>
    <row r="16" spans="1:8" x14ac:dyDescent="0.25">
      <c r="A16">
        <v>0.02</v>
      </c>
      <c r="B16">
        <v>27.840240000000001</v>
      </c>
      <c r="C16">
        <v>120.00394799999999</v>
      </c>
      <c r="D16">
        <v>1.8864099999999999</v>
      </c>
      <c r="E16">
        <v>18.255578</v>
      </c>
      <c r="F16">
        <v>114.097363</v>
      </c>
      <c r="G16">
        <v>380.324544</v>
      </c>
      <c r="H16">
        <v>4.3379999999999998E-3</v>
      </c>
    </row>
    <row r="17" spans="1:8" x14ac:dyDescent="0.25">
      <c r="A17">
        <v>0.02</v>
      </c>
      <c r="B17">
        <v>28.229687999999999</v>
      </c>
      <c r="C17">
        <v>120.00582199999999</v>
      </c>
      <c r="D17">
        <v>2.2758620000000001</v>
      </c>
      <c r="E17">
        <v>20.689654999999998</v>
      </c>
      <c r="F17">
        <v>121.70385400000001</v>
      </c>
      <c r="G17">
        <v>380.324544</v>
      </c>
      <c r="H17">
        <v>5.2919999999999998E-3</v>
      </c>
    </row>
    <row r="18" spans="1:8" x14ac:dyDescent="0.25">
      <c r="A18">
        <v>0.02</v>
      </c>
      <c r="B18">
        <v>28.669335</v>
      </c>
      <c r="C18">
        <v>120.00838899999999</v>
      </c>
      <c r="D18">
        <v>2.7155170000000002</v>
      </c>
      <c r="E18">
        <v>23.275862</v>
      </c>
      <c r="F18">
        <v>129.31034500000001</v>
      </c>
      <c r="G18">
        <v>380.324544</v>
      </c>
      <c r="H18">
        <v>6.3839999999999999E-3</v>
      </c>
    </row>
    <row r="19" spans="1:8" x14ac:dyDescent="0.25">
      <c r="A19">
        <v>0.02</v>
      </c>
      <c r="B19">
        <v>29.160703000000002</v>
      </c>
      <c r="C19">
        <v>120.01182900000001</v>
      </c>
      <c r="D19">
        <v>3.2068970000000001</v>
      </c>
      <c r="E19">
        <v>25.862069000000002</v>
      </c>
      <c r="F19">
        <v>129.31034500000001</v>
      </c>
      <c r="G19">
        <v>0</v>
      </c>
      <c r="H19">
        <v>7.6239999999999997E-3</v>
      </c>
    </row>
    <row r="20" spans="1:8" x14ac:dyDescent="0.25">
      <c r="A20">
        <v>0.02</v>
      </c>
      <c r="B20">
        <v>29.703786999999998</v>
      </c>
      <c r="C20">
        <v>120.016347</v>
      </c>
      <c r="D20">
        <v>3.75</v>
      </c>
      <c r="E20">
        <v>28.448276</v>
      </c>
      <c r="F20">
        <v>129.31034500000001</v>
      </c>
      <c r="G20">
        <v>0</v>
      </c>
      <c r="H20">
        <v>9.018E-3</v>
      </c>
    </row>
    <row r="21" spans="1:8" x14ac:dyDescent="0.25">
      <c r="A21">
        <v>0.02</v>
      </c>
      <c r="B21">
        <v>30.298586</v>
      </c>
      <c r="C21">
        <v>120.022172</v>
      </c>
      <c r="D21">
        <v>4.3448279999999997</v>
      </c>
      <c r="E21">
        <v>31.034483000000002</v>
      </c>
      <c r="F21">
        <v>129.31034500000001</v>
      </c>
      <c r="G21">
        <v>0</v>
      </c>
      <c r="H21">
        <v>1.0573000000000001E-2</v>
      </c>
    </row>
    <row r="22" spans="1:8" x14ac:dyDescent="0.25">
      <c r="A22">
        <v>0.02</v>
      </c>
      <c r="B22">
        <v>30.945095999999999</v>
      </c>
      <c r="C22">
        <v>120.02956399999999</v>
      </c>
      <c r="D22">
        <v>4.9913790000000002</v>
      </c>
      <c r="E22">
        <v>33.620690000000003</v>
      </c>
      <c r="F22">
        <v>129.31034500000001</v>
      </c>
      <c r="G22">
        <v>0</v>
      </c>
      <c r="H22">
        <v>1.2297000000000001E-2</v>
      </c>
    </row>
    <row r="23" spans="1:8" x14ac:dyDescent="0.25">
      <c r="A23">
        <v>0.02</v>
      </c>
      <c r="B23">
        <v>31.64331</v>
      </c>
      <c r="C23">
        <v>120.038811</v>
      </c>
      <c r="D23">
        <v>5.6896550000000001</v>
      </c>
      <c r="E23">
        <v>36.206896999999998</v>
      </c>
      <c r="F23">
        <v>129.31034500000001</v>
      </c>
      <c r="G23">
        <v>0</v>
      </c>
      <c r="H23">
        <v>1.4198000000000001E-2</v>
      </c>
    </row>
    <row r="24" spans="1:8" x14ac:dyDescent="0.25">
      <c r="A24">
        <v>0.02</v>
      </c>
      <c r="B24">
        <v>32.393222999999999</v>
      </c>
      <c r="C24">
        <v>120.050239</v>
      </c>
      <c r="D24">
        <v>6.4396550000000001</v>
      </c>
      <c r="E24">
        <v>38.793103000000002</v>
      </c>
      <c r="F24">
        <v>129.31034500000001</v>
      </c>
      <c r="G24">
        <v>0</v>
      </c>
      <c r="H24">
        <v>1.6285000000000001E-2</v>
      </c>
    </row>
    <row r="25" spans="1:8" x14ac:dyDescent="0.25">
      <c r="A25">
        <v>0.02</v>
      </c>
      <c r="B25">
        <v>33.194825000000002</v>
      </c>
      <c r="C25">
        <v>120.064206</v>
      </c>
      <c r="D25">
        <v>7.2413790000000002</v>
      </c>
      <c r="E25">
        <v>41.379309999999997</v>
      </c>
      <c r="F25">
        <v>129.31034500000001</v>
      </c>
      <c r="G25">
        <v>0</v>
      </c>
      <c r="H25">
        <v>1.8568999999999999E-2</v>
      </c>
    </row>
    <row r="26" spans="1:8" x14ac:dyDescent="0.25">
      <c r="A26">
        <v>0.02</v>
      </c>
      <c r="B26">
        <v>34.048105999999997</v>
      </c>
      <c r="C26">
        <v>120.08111100000001</v>
      </c>
      <c r="D26">
        <v>8.0948279999999997</v>
      </c>
      <c r="E26">
        <v>43.965516999999998</v>
      </c>
      <c r="F26">
        <v>129.31034500000001</v>
      </c>
      <c r="G26">
        <v>0</v>
      </c>
      <c r="H26">
        <v>2.1059000000000001E-2</v>
      </c>
    </row>
    <row r="27" spans="1:8" x14ac:dyDescent="0.25">
      <c r="A27">
        <v>0.02</v>
      </c>
      <c r="B27">
        <v>34.953051000000002</v>
      </c>
      <c r="C27">
        <v>120.10139100000001</v>
      </c>
      <c r="D27">
        <v>9</v>
      </c>
      <c r="E27">
        <v>46.551724</v>
      </c>
      <c r="F27">
        <v>129.31034500000001</v>
      </c>
      <c r="G27">
        <v>0</v>
      </c>
      <c r="H27">
        <v>2.3767E-2</v>
      </c>
    </row>
    <row r="28" spans="1:8" x14ac:dyDescent="0.25">
      <c r="A28">
        <v>0.02</v>
      </c>
      <c r="B28">
        <v>35.909641999999998</v>
      </c>
      <c r="C28">
        <v>120.12553</v>
      </c>
      <c r="D28">
        <v>9.9568969999999997</v>
      </c>
      <c r="E28">
        <v>49.137931000000002</v>
      </c>
      <c r="F28">
        <v>129.31034500000001</v>
      </c>
      <c r="G28">
        <v>0</v>
      </c>
      <c r="H28">
        <v>2.6703999999999999E-2</v>
      </c>
    </row>
    <row r="29" spans="1:8" x14ac:dyDescent="0.25">
      <c r="A29">
        <v>0.02</v>
      </c>
      <c r="B29">
        <v>36.917859</v>
      </c>
      <c r="C29">
        <v>120.15405699999999</v>
      </c>
      <c r="D29">
        <v>10.965517</v>
      </c>
      <c r="E29">
        <v>51.724138000000004</v>
      </c>
      <c r="F29">
        <v>129.31034500000001</v>
      </c>
      <c r="G29">
        <v>0</v>
      </c>
      <c r="H29">
        <v>2.9884000000000001E-2</v>
      </c>
    </row>
    <row r="30" spans="1:8" x14ac:dyDescent="0.25">
      <c r="A30">
        <v>0.02</v>
      </c>
      <c r="B30">
        <v>37.977674</v>
      </c>
      <c r="C30">
        <v>120.187552</v>
      </c>
      <c r="D30">
        <v>12.025862</v>
      </c>
      <c r="E30">
        <v>54.310344999999998</v>
      </c>
      <c r="F30">
        <v>129.31034500000001</v>
      </c>
      <c r="G30">
        <v>0</v>
      </c>
      <c r="H30">
        <v>3.3319000000000001E-2</v>
      </c>
    </row>
    <row r="31" spans="1:8" x14ac:dyDescent="0.25">
      <c r="A31">
        <v>0.02</v>
      </c>
      <c r="B31">
        <v>39.087535000000003</v>
      </c>
      <c r="C31">
        <v>120.226591</v>
      </c>
      <c r="D31">
        <v>13.13641</v>
      </c>
      <c r="E31">
        <v>56.744422</v>
      </c>
      <c r="F31">
        <v>121.70385400000001</v>
      </c>
      <c r="G31">
        <v>-380.324544</v>
      </c>
      <c r="H31">
        <v>3.7018000000000002E-2</v>
      </c>
    </row>
    <row r="32" spans="1:8" x14ac:dyDescent="0.25">
      <c r="A32">
        <v>0.02</v>
      </c>
      <c r="B32">
        <v>40.244362000000002</v>
      </c>
      <c r="C32">
        <v>120.271721</v>
      </c>
      <c r="D32">
        <v>14.294117999999999</v>
      </c>
      <c r="E32">
        <v>59.026369000000003</v>
      </c>
      <c r="F32">
        <v>114.097363</v>
      </c>
      <c r="G32">
        <v>-380.324544</v>
      </c>
      <c r="H32">
        <v>4.0985000000000001E-2</v>
      </c>
    </row>
    <row r="33" spans="1:8" x14ac:dyDescent="0.25">
      <c r="A33">
        <v>0.02</v>
      </c>
      <c r="B33">
        <v>41.445070999999999</v>
      </c>
      <c r="C33">
        <v>120.32349600000001</v>
      </c>
      <c r="D33">
        <v>15.495943</v>
      </c>
      <c r="E33">
        <v>61.156187000000003</v>
      </c>
      <c r="F33">
        <v>106.490872</v>
      </c>
      <c r="G33">
        <v>-380.324544</v>
      </c>
      <c r="H33">
        <v>4.5221999999999998E-2</v>
      </c>
    </row>
    <row r="34" spans="1:8" x14ac:dyDescent="0.25">
      <c r="A34">
        <v>0.02</v>
      </c>
      <c r="B34">
        <v>42.686571000000001</v>
      </c>
      <c r="C34">
        <v>120.38247</v>
      </c>
      <c r="D34">
        <v>16.738844</v>
      </c>
      <c r="E34">
        <v>63.133873999999999</v>
      </c>
      <c r="F34">
        <v>98.884381000000005</v>
      </c>
      <c r="G34">
        <v>-380.324544</v>
      </c>
      <c r="H34">
        <v>4.9732999999999999E-2</v>
      </c>
    </row>
    <row r="35" spans="1:8" x14ac:dyDescent="0.25">
      <c r="A35">
        <v>0.02</v>
      </c>
      <c r="B35">
        <v>43.965764</v>
      </c>
      <c r="C35">
        <v>120.44919299999999</v>
      </c>
      <c r="D35">
        <v>18.019777000000001</v>
      </c>
      <c r="E35">
        <v>64.959432000000007</v>
      </c>
      <c r="F35">
        <v>91.277889999999999</v>
      </c>
      <c r="G35">
        <v>-380.324544</v>
      </c>
      <c r="H35">
        <v>5.4517000000000003E-2</v>
      </c>
    </row>
    <row r="36" spans="1:8" x14ac:dyDescent="0.25">
      <c r="A36">
        <v>0.02</v>
      </c>
      <c r="B36">
        <v>45.279544999999999</v>
      </c>
      <c r="C36">
        <v>120.52420499999999</v>
      </c>
      <c r="D36">
        <v>19.335699999999999</v>
      </c>
      <c r="E36">
        <v>66.632859999999994</v>
      </c>
      <c r="F36">
        <v>83.671400000000006</v>
      </c>
      <c r="G36">
        <v>-380.324544</v>
      </c>
      <c r="H36">
        <v>5.9575999999999997E-2</v>
      </c>
    </row>
    <row r="37" spans="1:8" x14ac:dyDescent="0.25">
      <c r="A37">
        <v>0.02</v>
      </c>
      <c r="B37">
        <v>46.624805000000002</v>
      </c>
      <c r="C37">
        <v>120.608028</v>
      </c>
      <c r="D37">
        <v>20.68357</v>
      </c>
      <c r="E37">
        <v>68.154157999999995</v>
      </c>
      <c r="F37">
        <v>76.064909</v>
      </c>
      <c r="G37">
        <v>-380.324544</v>
      </c>
      <c r="H37">
        <v>6.4907999999999993E-2</v>
      </c>
    </row>
    <row r="38" spans="1:8" x14ac:dyDescent="0.25">
      <c r="A38">
        <v>0.02</v>
      </c>
      <c r="B38">
        <v>47.998424</v>
      </c>
      <c r="C38">
        <v>120.701159</v>
      </c>
      <c r="D38">
        <v>22.060345000000002</v>
      </c>
      <c r="E38">
        <v>69.523326999999995</v>
      </c>
      <c r="F38">
        <v>68.458417999999995</v>
      </c>
      <c r="G38">
        <v>-380.324544</v>
      </c>
      <c r="H38">
        <v>7.0511000000000004E-2</v>
      </c>
    </row>
    <row r="39" spans="1:8" x14ac:dyDescent="0.25">
      <c r="A39">
        <v>0.02</v>
      </c>
      <c r="B39">
        <v>49.397278999999997</v>
      </c>
      <c r="C39">
        <v>120.804067</v>
      </c>
      <c r="D39">
        <v>23.462982</v>
      </c>
      <c r="E39">
        <v>70.740364999999997</v>
      </c>
      <c r="F39">
        <v>60.851927000000003</v>
      </c>
      <c r="G39">
        <v>-380.324544</v>
      </c>
      <c r="H39">
        <v>7.6383000000000006E-2</v>
      </c>
    </row>
    <row r="40" spans="1:8" x14ac:dyDescent="0.25">
      <c r="A40">
        <v>0.02</v>
      </c>
      <c r="B40">
        <v>50.818238000000001</v>
      </c>
      <c r="C40">
        <v>120.917182</v>
      </c>
      <c r="D40">
        <v>24.888438000000001</v>
      </c>
      <c r="E40">
        <v>71.805273999999997</v>
      </c>
      <c r="F40">
        <v>53.245435999999998</v>
      </c>
      <c r="G40">
        <v>-380.324544</v>
      </c>
      <c r="H40">
        <v>8.2518999999999995E-2</v>
      </c>
    </row>
    <row r="41" spans="1:8" x14ac:dyDescent="0.25">
      <c r="A41">
        <v>0.02</v>
      </c>
      <c r="B41">
        <v>52.258164999999998</v>
      </c>
      <c r="C41">
        <v>121.040887</v>
      </c>
      <c r="D41">
        <v>26.333670999999999</v>
      </c>
      <c r="E41">
        <v>72.718052999999998</v>
      </c>
      <c r="F41">
        <v>45.638945</v>
      </c>
      <c r="G41">
        <v>-380.324544</v>
      </c>
      <c r="H41">
        <v>8.8911000000000004E-2</v>
      </c>
    </row>
    <row r="42" spans="1:8" x14ac:dyDescent="0.25">
      <c r="A42">
        <v>0.02</v>
      </c>
      <c r="B42">
        <v>53.713918</v>
      </c>
      <c r="C42">
        <v>121.175515</v>
      </c>
      <c r="D42">
        <v>27.795639000000001</v>
      </c>
      <c r="E42">
        <v>73.478701999999998</v>
      </c>
      <c r="F42">
        <v>38.032454000000001</v>
      </c>
      <c r="G42">
        <v>-380.324544</v>
      </c>
      <c r="H42">
        <v>9.5552999999999999E-2</v>
      </c>
    </row>
    <row r="43" spans="1:8" x14ac:dyDescent="0.25">
      <c r="A43">
        <v>0.02</v>
      </c>
      <c r="B43">
        <v>55.182352000000002</v>
      </c>
      <c r="C43">
        <v>121.321337</v>
      </c>
      <c r="D43">
        <v>29.271298000000002</v>
      </c>
      <c r="E43">
        <v>74.087221</v>
      </c>
      <c r="F43">
        <v>30.425962999999999</v>
      </c>
      <c r="G43">
        <v>-380.324544</v>
      </c>
      <c r="H43">
        <v>0.102436</v>
      </c>
    </row>
    <row r="44" spans="1:8" x14ac:dyDescent="0.25">
      <c r="A44">
        <v>0.02</v>
      </c>
      <c r="B44">
        <v>56.660317999999997</v>
      </c>
      <c r="C44">
        <v>121.478555</v>
      </c>
      <c r="D44">
        <v>30.757605999999999</v>
      </c>
      <c r="E44">
        <v>74.543610999999999</v>
      </c>
      <c r="F44">
        <v>22.819472999999999</v>
      </c>
      <c r="G44">
        <v>-380.324544</v>
      </c>
      <c r="H44">
        <v>0.10954700000000001</v>
      </c>
    </row>
    <row r="45" spans="1:8" x14ac:dyDescent="0.25">
      <c r="A45">
        <v>0.02</v>
      </c>
      <c r="B45">
        <v>58.144669</v>
      </c>
      <c r="C45">
        <v>121.6473</v>
      </c>
      <c r="D45">
        <v>32.251520999999997</v>
      </c>
      <c r="E45">
        <v>74.84787</v>
      </c>
      <c r="F45">
        <v>15.212982</v>
      </c>
      <c r="G45">
        <v>-380.324544</v>
      </c>
      <c r="H45">
        <v>0.11687599999999999</v>
      </c>
    </row>
    <row r="46" spans="1:8" x14ac:dyDescent="0.25">
      <c r="A46">
        <v>0.02</v>
      </c>
      <c r="B46">
        <v>59.632255000000001</v>
      </c>
      <c r="C46">
        <v>121.827617</v>
      </c>
      <c r="D46">
        <v>33.75</v>
      </c>
      <c r="E46">
        <v>75</v>
      </c>
      <c r="F46">
        <v>7.6064910000000001</v>
      </c>
      <c r="G46">
        <v>-380.324544</v>
      </c>
      <c r="H46">
        <v>0.124406</v>
      </c>
    </row>
    <row r="47" spans="1:8" x14ac:dyDescent="0.25">
      <c r="A47">
        <v>0.02</v>
      </c>
      <c r="B47">
        <v>61.119933000000003</v>
      </c>
      <c r="C47">
        <v>122.019464</v>
      </c>
      <c r="D47">
        <v>35.25</v>
      </c>
      <c r="E47">
        <v>75</v>
      </c>
      <c r="F47">
        <v>0</v>
      </c>
      <c r="G47">
        <v>-380.324544</v>
      </c>
      <c r="H47">
        <v>0.13212299999999999</v>
      </c>
    </row>
    <row r="48" spans="1:8" x14ac:dyDescent="0.25">
      <c r="A48">
        <v>0.02</v>
      </c>
      <c r="B48">
        <v>62.606067000000003</v>
      </c>
      <c r="C48">
        <v>122.222916</v>
      </c>
      <c r="D48">
        <v>36.75</v>
      </c>
      <c r="E48">
        <v>75</v>
      </c>
      <c r="F48">
        <v>0</v>
      </c>
      <c r="G48">
        <v>0</v>
      </c>
      <c r="H48">
        <v>0.140016</v>
      </c>
    </row>
    <row r="49" spans="1:8" x14ac:dyDescent="0.25">
      <c r="A49">
        <v>0.02</v>
      </c>
      <c r="B49">
        <v>64.090530000000001</v>
      </c>
      <c r="C49">
        <v>122.43822299999999</v>
      </c>
      <c r="D49">
        <v>38.25</v>
      </c>
      <c r="E49">
        <v>75</v>
      </c>
      <c r="F49">
        <v>0</v>
      </c>
      <c r="G49">
        <v>0</v>
      </c>
      <c r="H49">
        <v>0.14808399999999999</v>
      </c>
    </row>
    <row r="50" spans="1:8" x14ac:dyDescent="0.25">
      <c r="A50">
        <v>0.02</v>
      </c>
      <c r="B50">
        <v>65.573188000000002</v>
      </c>
      <c r="C50">
        <v>122.665627</v>
      </c>
      <c r="D50">
        <v>39.75</v>
      </c>
      <c r="E50">
        <v>75</v>
      </c>
      <c r="F50">
        <v>0</v>
      </c>
      <c r="G50">
        <v>0</v>
      </c>
      <c r="H50">
        <v>0.15632399999999999</v>
      </c>
    </row>
    <row r="51" spans="1:8" x14ac:dyDescent="0.25">
      <c r="A51">
        <v>0.02</v>
      </c>
      <c r="B51">
        <v>67.053900999999996</v>
      </c>
      <c r="C51">
        <v>122.905365</v>
      </c>
      <c r="D51">
        <v>41.25</v>
      </c>
      <c r="E51">
        <v>75</v>
      </c>
      <c r="F51">
        <v>0</v>
      </c>
      <c r="G51">
        <v>0</v>
      </c>
      <c r="H51">
        <v>0.16473299999999999</v>
      </c>
    </row>
    <row r="52" spans="1:8" x14ac:dyDescent="0.25">
      <c r="A52">
        <v>0.02</v>
      </c>
      <c r="B52">
        <v>68.532525000000007</v>
      </c>
      <c r="C52">
        <v>123.15767</v>
      </c>
      <c r="D52">
        <v>42.75</v>
      </c>
      <c r="E52">
        <v>75</v>
      </c>
      <c r="F52">
        <v>0</v>
      </c>
      <c r="G52">
        <v>0</v>
      </c>
      <c r="H52">
        <v>0.17330899999999999</v>
      </c>
    </row>
    <row r="53" spans="1:8" x14ac:dyDescent="0.25">
      <c r="A53">
        <v>0.02</v>
      </c>
      <c r="B53">
        <v>70.008909000000003</v>
      </c>
      <c r="C53">
        <v>123.422766</v>
      </c>
      <c r="D53">
        <v>44.25</v>
      </c>
      <c r="E53">
        <v>75</v>
      </c>
      <c r="F53">
        <v>0</v>
      </c>
      <c r="G53">
        <v>0</v>
      </c>
      <c r="H53">
        <v>0.18204699999999999</v>
      </c>
    </row>
    <row r="54" spans="1:8" x14ac:dyDescent="0.25">
      <c r="A54">
        <v>0.02</v>
      </c>
      <c r="B54">
        <v>71.482898000000006</v>
      </c>
      <c r="C54">
        <v>123.70087100000001</v>
      </c>
      <c r="D54">
        <v>45.75</v>
      </c>
      <c r="E54">
        <v>75</v>
      </c>
      <c r="F54">
        <v>0</v>
      </c>
      <c r="G54">
        <v>0</v>
      </c>
      <c r="H54">
        <v>0.190945</v>
      </c>
    </row>
    <row r="55" spans="1:8" x14ac:dyDescent="0.25">
      <c r="A55">
        <v>0.02</v>
      </c>
      <c r="B55">
        <v>72.876378000000003</v>
      </c>
      <c r="C55">
        <v>123.982224</v>
      </c>
      <c r="D55">
        <v>47.25</v>
      </c>
      <c r="E55">
        <v>75</v>
      </c>
      <c r="F55">
        <v>0</v>
      </c>
      <c r="G55">
        <v>0</v>
      </c>
      <c r="H55">
        <v>0.21035400000000001</v>
      </c>
    </row>
    <row r="56" spans="1:8" x14ac:dyDescent="0.25">
      <c r="A56">
        <v>0.02</v>
      </c>
      <c r="B56">
        <v>74.339408000000006</v>
      </c>
      <c r="C56">
        <v>124.313035</v>
      </c>
      <c r="D56">
        <v>48.75</v>
      </c>
      <c r="E56">
        <v>75</v>
      </c>
      <c r="F56">
        <v>0</v>
      </c>
      <c r="G56">
        <v>0</v>
      </c>
      <c r="H56">
        <v>0.23424300000000001</v>
      </c>
    </row>
    <row r="57" spans="1:8" x14ac:dyDescent="0.25">
      <c r="A57">
        <v>0.02</v>
      </c>
      <c r="B57">
        <v>75.794290000000004</v>
      </c>
      <c r="C57">
        <v>124.678023</v>
      </c>
      <c r="D57">
        <v>50.25</v>
      </c>
      <c r="E57">
        <v>75</v>
      </c>
      <c r="F57">
        <v>0</v>
      </c>
      <c r="G57">
        <v>0</v>
      </c>
      <c r="H57">
        <v>0.257191</v>
      </c>
    </row>
    <row r="58" spans="1:8" x14ac:dyDescent="0.25">
      <c r="A58">
        <v>0.02</v>
      </c>
      <c r="B58">
        <v>77.240615000000005</v>
      </c>
      <c r="C58">
        <v>125.075582</v>
      </c>
      <c r="D58">
        <v>51.75</v>
      </c>
      <c r="E58">
        <v>75</v>
      </c>
      <c r="F58">
        <v>0</v>
      </c>
      <c r="G58">
        <v>0</v>
      </c>
      <c r="H58">
        <v>0.279138</v>
      </c>
    </row>
    <row r="59" spans="1:8" x14ac:dyDescent="0.25">
      <c r="A59">
        <v>0.02</v>
      </c>
      <c r="B59">
        <v>78.678094000000002</v>
      </c>
      <c r="C59">
        <v>125.504034</v>
      </c>
      <c r="D59">
        <v>53.25</v>
      </c>
      <c r="E59">
        <v>75</v>
      </c>
      <c r="F59">
        <v>0</v>
      </c>
      <c r="G59">
        <v>0</v>
      </c>
      <c r="H59">
        <v>0.30003200000000002</v>
      </c>
    </row>
    <row r="60" spans="1:8" x14ac:dyDescent="0.25">
      <c r="A60">
        <v>0.02</v>
      </c>
      <c r="B60">
        <v>80.106559000000004</v>
      </c>
      <c r="C60">
        <v>125.961651</v>
      </c>
      <c r="D60">
        <v>54.75</v>
      </c>
      <c r="E60">
        <v>75</v>
      </c>
      <c r="F60">
        <v>0</v>
      </c>
      <c r="G60">
        <v>0</v>
      </c>
      <c r="H60">
        <v>0.31983400000000001</v>
      </c>
    </row>
    <row r="61" spans="1:8" x14ac:dyDescent="0.25">
      <c r="A61">
        <v>0.02</v>
      </c>
      <c r="B61">
        <v>81.525957000000005</v>
      </c>
      <c r="C61">
        <v>126.44667</v>
      </c>
      <c r="D61">
        <v>56.25</v>
      </c>
      <c r="E61">
        <v>75</v>
      </c>
      <c r="F61">
        <v>0</v>
      </c>
      <c r="G61">
        <v>0</v>
      </c>
      <c r="H61">
        <v>0.33851199999999998</v>
      </c>
    </row>
    <row r="62" spans="1:8" x14ac:dyDescent="0.25">
      <c r="A62">
        <v>0.02</v>
      </c>
      <c r="B62">
        <v>82.936342999999994</v>
      </c>
      <c r="C62">
        <v>126.957308</v>
      </c>
      <c r="D62">
        <v>57.75</v>
      </c>
      <c r="E62">
        <v>75</v>
      </c>
      <c r="F62">
        <v>0</v>
      </c>
      <c r="G62">
        <v>0</v>
      </c>
      <c r="H62">
        <v>0.35604400000000003</v>
      </c>
    </row>
    <row r="63" spans="1:8" x14ac:dyDescent="0.25">
      <c r="A63">
        <v>0.02</v>
      </c>
      <c r="B63">
        <v>84.337873999999999</v>
      </c>
      <c r="C63">
        <v>127.491782</v>
      </c>
      <c r="D63">
        <v>59.25</v>
      </c>
      <c r="E63">
        <v>75</v>
      </c>
      <c r="F63">
        <v>0</v>
      </c>
      <c r="G63">
        <v>0</v>
      </c>
      <c r="H63">
        <v>0.37241299999999999</v>
      </c>
    </row>
    <row r="64" spans="1:8" x14ac:dyDescent="0.25">
      <c r="A64">
        <v>0.02</v>
      </c>
      <c r="B64">
        <v>85.730796999999995</v>
      </c>
      <c r="C64">
        <v>128.04830899999999</v>
      </c>
      <c r="D64">
        <v>60.75</v>
      </c>
      <c r="E64">
        <v>75</v>
      </c>
      <c r="F64">
        <v>0</v>
      </c>
      <c r="G64">
        <v>0</v>
      </c>
      <c r="H64">
        <v>0.38760899999999998</v>
      </c>
    </row>
    <row r="65" spans="1:8" x14ac:dyDescent="0.25">
      <c r="A65">
        <v>0.02</v>
      </c>
      <c r="B65">
        <v>87.115442999999999</v>
      </c>
      <c r="C65">
        <v>128.625125</v>
      </c>
      <c r="D65">
        <v>62.25</v>
      </c>
      <c r="E65">
        <v>75</v>
      </c>
      <c r="F65">
        <v>0</v>
      </c>
      <c r="G65">
        <v>0</v>
      </c>
      <c r="H65">
        <v>0.40162900000000001</v>
      </c>
    </row>
    <row r="66" spans="1:8" x14ac:dyDescent="0.25">
      <c r="A66">
        <v>0.02</v>
      </c>
      <c r="B66">
        <v>88.492220000000003</v>
      </c>
      <c r="C66">
        <v>129.22048699999999</v>
      </c>
      <c r="D66">
        <v>63.75</v>
      </c>
      <c r="E66">
        <v>75</v>
      </c>
      <c r="F66">
        <v>0</v>
      </c>
      <c r="G66">
        <v>0</v>
      </c>
      <c r="H66">
        <v>0.41447200000000001</v>
      </c>
    </row>
    <row r="67" spans="1:8" x14ac:dyDescent="0.25">
      <c r="A67">
        <v>0.02</v>
      </c>
      <c r="B67">
        <v>89.861598000000001</v>
      </c>
      <c r="C67">
        <v>129.83267699999999</v>
      </c>
      <c r="D67">
        <v>65.25</v>
      </c>
      <c r="E67">
        <v>75</v>
      </c>
      <c r="F67">
        <v>0</v>
      </c>
      <c r="G67">
        <v>0</v>
      </c>
      <c r="H67">
        <v>0.42614000000000002</v>
      </c>
    </row>
    <row r="68" spans="1:8" x14ac:dyDescent="0.25">
      <c r="A68">
        <v>0.02</v>
      </c>
      <c r="B68">
        <v>91.224108999999999</v>
      </c>
      <c r="C68">
        <v>130.46000599999999</v>
      </c>
      <c r="D68">
        <v>66.75</v>
      </c>
      <c r="E68">
        <v>75</v>
      </c>
      <c r="F68">
        <v>0</v>
      </c>
      <c r="G68">
        <v>0</v>
      </c>
      <c r="H68">
        <v>0.436639</v>
      </c>
    </row>
    <row r="69" spans="1:8" x14ac:dyDescent="0.25">
      <c r="A69">
        <v>0.02</v>
      </c>
      <c r="B69">
        <v>92.580332999999996</v>
      </c>
      <c r="C69">
        <v>131.100818</v>
      </c>
      <c r="D69">
        <v>68.25</v>
      </c>
      <c r="E69">
        <v>75</v>
      </c>
      <c r="F69">
        <v>0</v>
      </c>
      <c r="G69">
        <v>0</v>
      </c>
      <c r="H69">
        <v>0.44597599999999998</v>
      </c>
    </row>
    <row r="70" spans="1:8" x14ac:dyDescent="0.25">
      <c r="A70">
        <v>0.02</v>
      </c>
      <c r="B70">
        <v>93.930893999999995</v>
      </c>
      <c r="C70">
        <v>131.75348600000001</v>
      </c>
      <c r="D70">
        <v>69.75</v>
      </c>
      <c r="E70">
        <v>75</v>
      </c>
      <c r="F70">
        <v>0</v>
      </c>
      <c r="G70">
        <v>0</v>
      </c>
      <c r="H70">
        <v>0.45415899999999998</v>
      </c>
    </row>
    <row r="71" spans="1:8" x14ac:dyDescent="0.25">
      <c r="A71">
        <v>0.02</v>
      </c>
      <c r="B71">
        <v>95.276449</v>
      </c>
      <c r="C71">
        <v>132.41641200000001</v>
      </c>
      <c r="D71">
        <v>71.25</v>
      </c>
      <c r="E71">
        <v>75</v>
      </c>
      <c r="F71">
        <v>0</v>
      </c>
      <c r="G71">
        <v>0</v>
      </c>
      <c r="H71">
        <v>0.46119599999999999</v>
      </c>
    </row>
    <row r="72" spans="1:8" x14ac:dyDescent="0.25">
      <c r="A72">
        <v>0.02</v>
      </c>
      <c r="B72">
        <v>96.617690999999994</v>
      </c>
      <c r="C72">
        <v>133.08802600000001</v>
      </c>
      <c r="D72">
        <v>72.75</v>
      </c>
      <c r="E72">
        <v>75</v>
      </c>
      <c r="F72">
        <v>0</v>
      </c>
      <c r="G72">
        <v>0</v>
      </c>
      <c r="H72">
        <v>0.46709499999999998</v>
      </c>
    </row>
    <row r="73" spans="1:8" x14ac:dyDescent="0.25">
      <c r="A73">
        <v>0.02</v>
      </c>
      <c r="B73">
        <v>97.955331999999999</v>
      </c>
      <c r="C73">
        <v>133.76678200000001</v>
      </c>
      <c r="D73">
        <v>74.25</v>
      </c>
      <c r="E73">
        <v>75</v>
      </c>
      <c r="F73">
        <v>0</v>
      </c>
      <c r="G73">
        <v>0</v>
      </c>
      <c r="H73">
        <v>0.471862</v>
      </c>
    </row>
    <row r="74" spans="1:8" x14ac:dyDescent="0.25">
      <c r="A74">
        <v>0.02</v>
      </c>
      <c r="B74">
        <v>99.290109000000001</v>
      </c>
      <c r="C74">
        <v>134.45115799999999</v>
      </c>
      <c r="D74">
        <v>75.75</v>
      </c>
      <c r="E74">
        <v>75</v>
      </c>
      <c r="F74">
        <v>0</v>
      </c>
      <c r="G74">
        <v>0</v>
      </c>
      <c r="H74">
        <v>0.47550500000000001</v>
      </c>
    </row>
    <row r="75" spans="1:8" x14ac:dyDescent="0.25">
      <c r="A75">
        <v>0.02</v>
      </c>
      <c r="B75">
        <v>100.62277</v>
      </c>
      <c r="C75">
        <v>135.139645</v>
      </c>
      <c r="D75">
        <v>77.25</v>
      </c>
      <c r="E75">
        <v>75</v>
      </c>
      <c r="F75">
        <v>0</v>
      </c>
      <c r="G75">
        <v>0</v>
      </c>
      <c r="H75">
        <v>0.47802800000000001</v>
      </c>
    </row>
    <row r="76" spans="1:8" x14ac:dyDescent="0.25">
      <c r="A76">
        <v>0.02</v>
      </c>
      <c r="B76">
        <v>101.954075</v>
      </c>
      <c r="C76">
        <v>135.830749</v>
      </c>
      <c r="D76">
        <v>78.75</v>
      </c>
      <c r="E76">
        <v>75</v>
      </c>
      <c r="F76">
        <v>0</v>
      </c>
      <c r="G76">
        <v>0</v>
      </c>
      <c r="H76">
        <v>0.47943599999999997</v>
      </c>
    </row>
    <row r="77" spans="1:8" x14ac:dyDescent="0.25">
      <c r="A77">
        <v>0.02</v>
      </c>
      <c r="B77">
        <v>103.28479299999999</v>
      </c>
      <c r="C77">
        <v>136.522986</v>
      </c>
      <c r="D77">
        <v>80.25</v>
      </c>
      <c r="E77">
        <v>75</v>
      </c>
      <c r="F77">
        <v>0</v>
      </c>
      <c r="G77">
        <v>0</v>
      </c>
      <c r="H77">
        <v>0.47972900000000002</v>
      </c>
    </row>
    <row r="78" spans="1:8" x14ac:dyDescent="0.25">
      <c r="A78">
        <v>0.02</v>
      </c>
      <c r="B78">
        <v>104.615692</v>
      </c>
      <c r="C78">
        <v>137.21487200000001</v>
      </c>
      <c r="D78">
        <v>81.75</v>
      </c>
      <c r="E78">
        <v>75</v>
      </c>
      <c r="F78">
        <v>0</v>
      </c>
      <c r="G78">
        <v>0</v>
      </c>
      <c r="H78">
        <v>0.47890899999999997</v>
      </c>
    </row>
    <row r="79" spans="1:8" x14ac:dyDescent="0.25">
      <c r="A79">
        <v>0.02</v>
      </c>
      <c r="B79">
        <v>105.947543</v>
      </c>
      <c r="C79">
        <v>137.90492499999999</v>
      </c>
      <c r="D79">
        <v>83.25</v>
      </c>
      <c r="E79">
        <v>75</v>
      </c>
      <c r="F79">
        <v>0</v>
      </c>
      <c r="G79">
        <v>0</v>
      </c>
      <c r="H79">
        <v>0.47697499999999998</v>
      </c>
    </row>
    <row r="80" spans="1:8" x14ac:dyDescent="0.25">
      <c r="A80">
        <v>0.02</v>
      </c>
      <c r="B80">
        <v>107.281109</v>
      </c>
      <c r="C80">
        <v>138.591656</v>
      </c>
      <c r="D80">
        <v>84.75</v>
      </c>
      <c r="E80">
        <v>75</v>
      </c>
      <c r="F80">
        <v>0</v>
      </c>
      <c r="G80">
        <v>0</v>
      </c>
      <c r="H80">
        <v>0.47392299999999998</v>
      </c>
    </row>
    <row r="81" spans="1:8" x14ac:dyDescent="0.25">
      <c r="A81">
        <v>0.02</v>
      </c>
      <c r="B81">
        <v>108.617147</v>
      </c>
      <c r="C81">
        <v>139.27356499999999</v>
      </c>
      <c r="D81">
        <v>86.25</v>
      </c>
      <c r="E81">
        <v>75</v>
      </c>
      <c r="F81">
        <v>0</v>
      </c>
      <c r="G81">
        <v>0</v>
      </c>
      <c r="H81">
        <v>0.46975</v>
      </c>
    </row>
    <row r="82" spans="1:8" x14ac:dyDescent="0.25">
      <c r="A82">
        <v>0.02</v>
      </c>
      <c r="B82">
        <v>109.9564</v>
      </c>
      <c r="C82">
        <v>139.94913700000001</v>
      </c>
      <c r="D82">
        <v>87.75</v>
      </c>
      <c r="E82">
        <v>75</v>
      </c>
      <c r="F82">
        <v>0</v>
      </c>
      <c r="G82">
        <v>0</v>
      </c>
      <c r="H82">
        <v>0.46444800000000003</v>
      </c>
    </row>
    <row r="83" spans="1:8" x14ac:dyDescent="0.25">
      <c r="A83">
        <v>0.02</v>
      </c>
      <c r="B83">
        <v>111.299592</v>
      </c>
      <c r="C83">
        <v>140.61684</v>
      </c>
      <c r="D83">
        <v>89.25</v>
      </c>
      <c r="E83">
        <v>75</v>
      </c>
      <c r="F83">
        <v>0</v>
      </c>
      <c r="G83">
        <v>0</v>
      </c>
      <c r="H83">
        <v>0.458013</v>
      </c>
    </row>
    <row r="84" spans="1:8" x14ac:dyDescent="0.25">
      <c r="A84">
        <v>0.02</v>
      </c>
      <c r="B84">
        <v>112.64726</v>
      </c>
      <c r="C84">
        <v>141.27503300000001</v>
      </c>
      <c r="D84">
        <v>90.749813000000003</v>
      </c>
      <c r="E84">
        <v>74.981314999999995</v>
      </c>
      <c r="F84">
        <v>-0.93426600000000004</v>
      </c>
      <c r="G84">
        <v>-46.713279</v>
      </c>
      <c r="H84">
        <v>0.45043699999999998</v>
      </c>
    </row>
    <row r="85" spans="1:8" x14ac:dyDescent="0.25">
      <c r="A85">
        <v>0.02</v>
      </c>
      <c r="B85">
        <v>113.99853400000001</v>
      </c>
      <c r="C85">
        <v>141.92141100000001</v>
      </c>
      <c r="D85">
        <v>92.247731000000002</v>
      </c>
      <c r="E85">
        <v>74.810500000000005</v>
      </c>
      <c r="F85">
        <v>-8.540756</v>
      </c>
      <c r="G85">
        <v>-380.324544</v>
      </c>
      <c r="H85">
        <v>0.441722</v>
      </c>
    </row>
    <row r="86" spans="1:8" x14ac:dyDescent="0.25">
      <c r="A86">
        <v>0.02</v>
      </c>
      <c r="B86">
        <v>115.35127</v>
      </c>
      <c r="C86">
        <v>142.55313799999999</v>
      </c>
      <c r="D86">
        <v>93.740712000000002</v>
      </c>
      <c r="E86">
        <v>74.487555</v>
      </c>
      <c r="F86">
        <v>-16.147247</v>
      </c>
      <c r="G86">
        <v>-380.324544</v>
      </c>
      <c r="H86">
        <v>0.43188799999999999</v>
      </c>
    </row>
    <row r="87" spans="1:8" x14ac:dyDescent="0.25">
      <c r="A87">
        <v>0.02</v>
      </c>
      <c r="B87">
        <v>116.70322400000001</v>
      </c>
      <c r="C87">
        <v>143.16748699999999</v>
      </c>
      <c r="D87">
        <v>95.225712000000001</v>
      </c>
      <c r="E87">
        <v>74.012479999999996</v>
      </c>
      <c r="F87">
        <v>-23.753737999999998</v>
      </c>
      <c r="G87">
        <v>-380.324544</v>
      </c>
      <c r="H87">
        <v>0.42096</v>
      </c>
    </row>
    <row r="88" spans="1:8" x14ac:dyDescent="0.25">
      <c r="A88">
        <v>0.02</v>
      </c>
      <c r="B88">
        <v>118.05203899999999</v>
      </c>
      <c r="C88">
        <v>143.76186200000001</v>
      </c>
      <c r="D88">
        <v>96.699690000000004</v>
      </c>
      <c r="E88">
        <v>73.385274999999993</v>
      </c>
      <c r="F88">
        <v>-31.360229</v>
      </c>
      <c r="G88">
        <v>-380.324544</v>
      </c>
      <c r="H88">
        <v>0.40897800000000001</v>
      </c>
    </row>
    <row r="89" spans="1:8" x14ac:dyDescent="0.25">
      <c r="A89">
        <v>0.02</v>
      </c>
      <c r="B89">
        <v>119.39522700000001</v>
      </c>
      <c r="C89">
        <v>144.33383900000001</v>
      </c>
      <c r="D89">
        <v>98.159602000000007</v>
      </c>
      <c r="E89">
        <v>72.605941000000001</v>
      </c>
      <c r="F89">
        <v>-38.966720000000002</v>
      </c>
      <c r="G89">
        <v>-380.324544</v>
      </c>
      <c r="H89">
        <v>0.39599099999999998</v>
      </c>
    </row>
    <row r="90" spans="1:8" x14ac:dyDescent="0.25">
      <c r="A90">
        <v>0.02</v>
      </c>
      <c r="B90">
        <v>120.730163</v>
      </c>
      <c r="C90">
        <v>144.881193</v>
      </c>
      <c r="D90">
        <v>99.602406000000002</v>
      </c>
      <c r="E90">
        <v>71.674476999999996</v>
      </c>
      <c r="F90">
        <v>-46.573211000000001</v>
      </c>
      <c r="G90">
        <v>-380.324544</v>
      </c>
      <c r="H90">
        <v>0.38206099999999998</v>
      </c>
    </row>
    <row r="91" spans="1:8" x14ac:dyDescent="0.25">
      <c r="A91">
        <v>0.02</v>
      </c>
      <c r="B91">
        <v>122.05407200000001</v>
      </c>
      <c r="C91">
        <v>145.40193400000001</v>
      </c>
      <c r="D91">
        <v>101.02506</v>
      </c>
      <c r="E91">
        <v>70.590883000000005</v>
      </c>
      <c r="F91">
        <v>-54.179701999999999</v>
      </c>
      <c r="G91">
        <v>-380.324544</v>
      </c>
      <c r="H91">
        <v>0.36725999999999998</v>
      </c>
    </row>
    <row r="92" spans="1:8" x14ac:dyDescent="0.25">
      <c r="A92">
        <v>0.02</v>
      </c>
      <c r="B92">
        <v>123.36403</v>
      </c>
      <c r="C92">
        <v>145.89433500000001</v>
      </c>
      <c r="D92">
        <v>102.42452</v>
      </c>
      <c r="E92">
        <v>69.355159</v>
      </c>
      <c r="F92">
        <v>-61.786192999999997</v>
      </c>
      <c r="G92">
        <v>-380.324544</v>
      </c>
      <c r="H92">
        <v>0.35167300000000001</v>
      </c>
    </row>
    <row r="93" spans="1:8" x14ac:dyDescent="0.25">
      <c r="A93">
        <v>0.02</v>
      </c>
      <c r="B93">
        <v>124.656965</v>
      </c>
      <c r="C93">
        <v>146.35696100000001</v>
      </c>
      <c r="D93">
        <v>103.79774500000001</v>
      </c>
      <c r="E93">
        <v>67.967304999999996</v>
      </c>
      <c r="F93">
        <v>-69.392683000000005</v>
      </c>
      <c r="G93">
        <v>-380.324544</v>
      </c>
      <c r="H93">
        <v>0.33539799999999997</v>
      </c>
    </row>
    <row r="94" spans="1:8" x14ac:dyDescent="0.25">
      <c r="A94">
        <v>0.02</v>
      </c>
      <c r="B94">
        <v>125.929661</v>
      </c>
      <c r="C94">
        <v>146.78869399999999</v>
      </c>
      <c r="D94">
        <v>105.14169099999999</v>
      </c>
      <c r="E94">
        <v>66.427322000000004</v>
      </c>
      <c r="F94">
        <v>-76.999173999999996</v>
      </c>
      <c r="G94">
        <v>-380.324544</v>
      </c>
      <c r="H94">
        <v>0.31854199999999999</v>
      </c>
    </row>
    <row r="95" spans="1:8" x14ac:dyDescent="0.25">
      <c r="A95">
        <v>0.02</v>
      </c>
      <c r="B95">
        <v>127.178769</v>
      </c>
      <c r="C95">
        <v>147.18875299999999</v>
      </c>
      <c r="D95">
        <v>106.453316</v>
      </c>
      <c r="E95">
        <v>64.735208</v>
      </c>
      <c r="F95">
        <v>-84.605665000000002</v>
      </c>
      <c r="G95">
        <v>-380.324544</v>
      </c>
      <c r="H95">
        <v>0.30122199999999999</v>
      </c>
    </row>
    <row r="96" spans="1:8" x14ac:dyDescent="0.25">
      <c r="A96">
        <v>0.02</v>
      </c>
      <c r="B96">
        <v>128.40082200000001</v>
      </c>
      <c r="C96">
        <v>147.556704</v>
      </c>
      <c r="D96">
        <v>107.729578</v>
      </c>
      <c r="E96">
        <v>62.890965000000001</v>
      </c>
      <c r="F96">
        <v>-92.212155999999993</v>
      </c>
      <c r="G96">
        <v>-380.324544</v>
      </c>
      <c r="H96">
        <v>0.28356599999999998</v>
      </c>
    </row>
    <row r="97" spans="1:8" x14ac:dyDescent="0.25">
      <c r="A97">
        <v>0.02</v>
      </c>
      <c r="B97">
        <v>129.592251</v>
      </c>
      <c r="C97">
        <v>147.892472</v>
      </c>
      <c r="D97">
        <v>108.967434</v>
      </c>
      <c r="E97">
        <v>60.894592000000003</v>
      </c>
      <c r="F97">
        <v>-99.818646999999999</v>
      </c>
      <c r="G97">
        <v>-380.324544</v>
      </c>
      <c r="H97">
        <v>0.26570700000000003</v>
      </c>
    </row>
    <row r="98" spans="1:8" x14ac:dyDescent="0.25">
      <c r="A98">
        <v>0.02</v>
      </c>
      <c r="B98">
        <v>130.74941000000001</v>
      </c>
      <c r="C98">
        <v>148.196337</v>
      </c>
      <c r="D98">
        <v>110.16383999999999</v>
      </c>
      <c r="E98">
        <v>58.746088999999998</v>
      </c>
      <c r="F98">
        <v>-107.425138</v>
      </c>
      <c r="G98">
        <v>-380.324544</v>
      </c>
      <c r="H98">
        <v>0.247783</v>
      </c>
    </row>
    <row r="99" spans="1:8" x14ac:dyDescent="0.25">
      <c r="A99">
        <v>0.02</v>
      </c>
      <c r="B99">
        <v>131.868593</v>
      </c>
      <c r="C99">
        <v>148.46892399999999</v>
      </c>
      <c r="D99">
        <v>111.31575599999999</v>
      </c>
      <c r="E99">
        <v>56.445456999999998</v>
      </c>
      <c r="F99">
        <v>-115.031629</v>
      </c>
      <c r="G99">
        <v>-380.324544</v>
      </c>
      <c r="H99">
        <v>0.229938</v>
      </c>
    </row>
    <row r="100" spans="1:8" x14ac:dyDescent="0.25">
      <c r="A100">
        <v>0.02</v>
      </c>
      <c r="B100">
        <v>132.94605999999999</v>
      </c>
      <c r="C100">
        <v>148.71118799999999</v>
      </c>
      <c r="D100">
        <v>112.420137</v>
      </c>
      <c r="E100">
        <v>53.992694999999998</v>
      </c>
      <c r="F100">
        <v>-122.63812</v>
      </c>
      <c r="G100">
        <v>-380.324544</v>
      </c>
      <c r="H100">
        <v>0.212314</v>
      </c>
    </row>
    <row r="101" spans="1:8" x14ac:dyDescent="0.25">
      <c r="A101">
        <v>0.02</v>
      </c>
      <c r="B101">
        <v>133.97824199999999</v>
      </c>
      <c r="C101">
        <v>148.924419</v>
      </c>
      <c r="D101">
        <v>113.474129</v>
      </c>
      <c r="E101">
        <v>51.406488000000003</v>
      </c>
      <c r="F101">
        <v>-129.31034500000001</v>
      </c>
      <c r="G101">
        <v>-333.61126400000001</v>
      </c>
      <c r="H101">
        <v>0.19505</v>
      </c>
    </row>
    <row r="102" spans="1:8" x14ac:dyDescent="0.25">
      <c r="A102">
        <v>0.02</v>
      </c>
      <c r="B102">
        <v>134.96308400000001</v>
      </c>
      <c r="C102">
        <v>149.11043900000001</v>
      </c>
      <c r="D102">
        <v>114.47639700000001</v>
      </c>
      <c r="E102">
        <v>48.820281000000001</v>
      </c>
      <c r="F102">
        <v>-129.31034500000001</v>
      </c>
      <c r="G102">
        <v>0</v>
      </c>
      <c r="H102">
        <v>0.178257</v>
      </c>
    </row>
    <row r="103" spans="1:8" x14ac:dyDescent="0.25">
      <c r="A103">
        <v>0.02</v>
      </c>
      <c r="B103">
        <v>135.899888</v>
      </c>
      <c r="C103">
        <v>149.27140199999999</v>
      </c>
      <c r="D103">
        <v>115.42694</v>
      </c>
      <c r="E103">
        <v>46.234074</v>
      </c>
      <c r="F103">
        <v>-129.31034500000001</v>
      </c>
      <c r="G103">
        <v>0</v>
      </c>
      <c r="H103">
        <v>0.16201499999999999</v>
      </c>
    </row>
    <row r="104" spans="1:8" x14ac:dyDescent="0.25">
      <c r="A104">
        <v>0.02</v>
      </c>
      <c r="B104">
        <v>136.78802999999999</v>
      </c>
      <c r="C104">
        <v>149.40947299999999</v>
      </c>
      <c r="D104">
        <v>116.32576</v>
      </c>
      <c r="E104">
        <v>43.647866999999998</v>
      </c>
      <c r="F104">
        <v>-129.31034500000001</v>
      </c>
      <c r="G104">
        <v>0</v>
      </c>
      <c r="H104">
        <v>0.146395</v>
      </c>
    </row>
    <row r="105" spans="1:8" x14ac:dyDescent="0.25">
      <c r="A105">
        <v>0.02</v>
      </c>
      <c r="B105">
        <v>137.62695299999999</v>
      </c>
      <c r="C105">
        <v>149.526792</v>
      </c>
      <c r="D105">
        <v>117.172855</v>
      </c>
      <c r="E105">
        <v>41.061660000000003</v>
      </c>
      <c r="F105">
        <v>-129.31034500000001</v>
      </c>
      <c r="G105">
        <v>0</v>
      </c>
      <c r="H105">
        <v>0.13146099999999999</v>
      </c>
    </row>
    <row r="106" spans="1:8" x14ac:dyDescent="0.25">
      <c r="A106">
        <v>0.02</v>
      </c>
      <c r="B106">
        <v>138.41617299999999</v>
      </c>
      <c r="C106">
        <v>149.625462</v>
      </c>
      <c r="D106">
        <v>117.968226</v>
      </c>
      <c r="E106">
        <v>38.475453000000002</v>
      </c>
      <c r="F106">
        <v>-129.31034500000001</v>
      </c>
      <c r="G106">
        <v>0</v>
      </c>
      <c r="H106">
        <v>0.117266</v>
      </c>
    </row>
    <row r="107" spans="1:8" x14ac:dyDescent="0.25">
      <c r="A107">
        <v>0.02</v>
      </c>
      <c r="B107">
        <v>139.15527399999999</v>
      </c>
      <c r="C107">
        <v>149.70752100000001</v>
      </c>
      <c r="D107">
        <v>118.711873</v>
      </c>
      <c r="E107">
        <v>35.889246</v>
      </c>
      <c r="F107">
        <v>-129.31034500000001</v>
      </c>
      <c r="G107">
        <v>0</v>
      </c>
      <c r="H107">
        <v>0.10385900000000001</v>
      </c>
    </row>
    <row r="108" spans="1:8" x14ac:dyDescent="0.25">
      <c r="A108">
        <v>0.02</v>
      </c>
      <c r="B108">
        <v>139.84389899999999</v>
      </c>
      <c r="C108">
        <v>149.77492899999999</v>
      </c>
      <c r="D108">
        <v>119.403796</v>
      </c>
      <c r="E108">
        <v>33.303038999999998</v>
      </c>
      <c r="F108">
        <v>-129.31034500000001</v>
      </c>
      <c r="G108">
        <v>0</v>
      </c>
      <c r="H108">
        <v>9.1276999999999997E-2</v>
      </c>
    </row>
    <row r="109" spans="1:8" x14ac:dyDescent="0.25">
      <c r="A109">
        <v>0.02</v>
      </c>
      <c r="B109">
        <v>140.48176000000001</v>
      </c>
      <c r="C109">
        <v>149.82954899999999</v>
      </c>
      <c r="D109">
        <v>120.043995</v>
      </c>
      <c r="E109">
        <v>30.716832</v>
      </c>
      <c r="F109">
        <v>-129.31034500000001</v>
      </c>
      <c r="G109">
        <v>0</v>
      </c>
      <c r="H109">
        <v>7.9555000000000001E-2</v>
      </c>
    </row>
    <row r="110" spans="1:8" x14ac:dyDescent="0.25">
      <c r="A110">
        <v>0.02</v>
      </c>
      <c r="B110">
        <v>141.06861499999999</v>
      </c>
      <c r="C110">
        <v>149.87313900000001</v>
      </c>
      <c r="D110">
        <v>120.632469</v>
      </c>
      <c r="E110">
        <v>28.130625999999999</v>
      </c>
      <c r="F110">
        <v>-129.31034500000001</v>
      </c>
      <c r="G110">
        <v>0</v>
      </c>
      <c r="H110">
        <v>6.8719000000000002E-2</v>
      </c>
    </row>
    <row r="111" spans="1:8" x14ac:dyDescent="0.25">
      <c r="A111">
        <v>0.02</v>
      </c>
      <c r="B111">
        <v>141.60427200000001</v>
      </c>
      <c r="C111">
        <v>149.90733800000001</v>
      </c>
      <c r="D111">
        <v>121.16922</v>
      </c>
      <c r="E111">
        <v>25.544419000000001</v>
      </c>
      <c r="F111">
        <v>-129.31034500000001</v>
      </c>
      <c r="G111">
        <v>0</v>
      </c>
      <c r="H111">
        <v>5.8789000000000001E-2</v>
      </c>
    </row>
    <row r="112" spans="1:8" x14ac:dyDescent="0.25">
      <c r="A112">
        <v>0.02</v>
      </c>
      <c r="B112">
        <v>142.088582</v>
      </c>
      <c r="C112">
        <v>149.93365600000001</v>
      </c>
      <c r="D112">
        <v>121.654246</v>
      </c>
      <c r="E112">
        <v>22.958212</v>
      </c>
      <c r="F112">
        <v>-129.31034500000001</v>
      </c>
      <c r="G112">
        <v>0</v>
      </c>
      <c r="H112">
        <v>4.9784000000000002E-2</v>
      </c>
    </row>
    <row r="113" spans="1:8" x14ac:dyDescent="0.25">
      <c r="A113">
        <v>0.02</v>
      </c>
      <c r="B113">
        <v>142.52161699999999</v>
      </c>
      <c r="C113">
        <v>149.95348200000001</v>
      </c>
      <c r="D113">
        <v>122.087735</v>
      </c>
      <c r="E113">
        <v>20.390689999999999</v>
      </c>
      <c r="F113">
        <v>-128.376079</v>
      </c>
      <c r="G113">
        <v>46.713279</v>
      </c>
      <c r="H113">
        <v>4.1713E-2</v>
      </c>
    </row>
    <row r="114" spans="1:8" x14ac:dyDescent="0.25">
      <c r="A114">
        <v>0.02</v>
      </c>
      <c r="B114">
        <v>142.90499500000001</v>
      </c>
      <c r="C114">
        <v>149.968109</v>
      </c>
      <c r="D114">
        <v>122.471395</v>
      </c>
      <c r="E114">
        <v>17.975297999999999</v>
      </c>
      <c r="F114">
        <v>-120.769588</v>
      </c>
      <c r="G114">
        <v>380.324544</v>
      </c>
      <c r="H114">
        <v>3.4555000000000002E-2</v>
      </c>
    </row>
    <row r="115" spans="1:8" x14ac:dyDescent="0.25">
      <c r="A115">
        <v>0.02</v>
      </c>
      <c r="B115">
        <v>143.241702</v>
      </c>
      <c r="C115">
        <v>149.97868800000001</v>
      </c>
      <c r="D115">
        <v>122.808268</v>
      </c>
      <c r="E115">
        <v>15.712035999999999</v>
      </c>
      <c r="F115">
        <v>-113.16309699999999</v>
      </c>
      <c r="G115">
        <v>380.324544</v>
      </c>
      <c r="H115">
        <v>2.8258999999999999E-2</v>
      </c>
    </row>
    <row r="116" spans="1:8" x14ac:dyDescent="0.25">
      <c r="A116">
        <v>0.02</v>
      </c>
      <c r="B116">
        <v>143.53473700000001</v>
      </c>
      <c r="C116">
        <v>149.98616699999999</v>
      </c>
      <c r="D116">
        <v>123.101398</v>
      </c>
      <c r="E116">
        <v>13.600904</v>
      </c>
      <c r="F116">
        <v>-105.556607</v>
      </c>
      <c r="G116">
        <v>380.324544</v>
      </c>
      <c r="H116">
        <v>2.2773000000000002E-2</v>
      </c>
    </row>
    <row r="117" spans="1:8" x14ac:dyDescent="0.25">
      <c r="A117">
        <v>0.02</v>
      </c>
      <c r="B117">
        <v>143.78711100000001</v>
      </c>
      <c r="C117">
        <v>149.99131800000001</v>
      </c>
      <c r="D117">
        <v>123.353826</v>
      </c>
      <c r="E117">
        <v>11.641902</v>
      </c>
      <c r="F117">
        <v>-97.950115999999994</v>
      </c>
      <c r="G117">
        <v>380.324544</v>
      </c>
      <c r="H117">
        <v>1.8044999999999999E-2</v>
      </c>
    </row>
    <row r="118" spans="1:8" x14ac:dyDescent="0.25">
      <c r="A118">
        <v>0.02</v>
      </c>
      <c r="B118">
        <v>144.00185500000001</v>
      </c>
      <c r="C118">
        <v>149.99476100000001</v>
      </c>
      <c r="D118">
        <v>123.568595</v>
      </c>
      <c r="E118">
        <v>9.8350299999999997</v>
      </c>
      <c r="F118">
        <v>-90.343625000000003</v>
      </c>
      <c r="G118">
        <v>380.324544</v>
      </c>
      <c r="H118">
        <v>1.4019E-2</v>
      </c>
    </row>
    <row r="119" spans="1:8" x14ac:dyDescent="0.25">
      <c r="A119">
        <v>0.02</v>
      </c>
      <c r="B119">
        <v>144.181994</v>
      </c>
      <c r="C119">
        <v>149.996983</v>
      </c>
      <c r="D119">
        <v>123.74874800000001</v>
      </c>
      <c r="E119">
        <v>8.1802869999999999</v>
      </c>
      <c r="F119">
        <v>-82.737133999999998</v>
      </c>
      <c r="G119">
        <v>380.324544</v>
      </c>
      <c r="H119">
        <v>1.0640999999999999E-2</v>
      </c>
    </row>
    <row r="120" spans="1:8" x14ac:dyDescent="0.25">
      <c r="A120">
        <v>0.02</v>
      </c>
      <c r="B120">
        <v>144.330568</v>
      </c>
      <c r="C120">
        <v>149.998357</v>
      </c>
      <c r="D120">
        <v>123.897328</v>
      </c>
      <c r="E120">
        <v>6.6776739999999997</v>
      </c>
      <c r="F120">
        <v>-75.130643000000006</v>
      </c>
      <c r="G120">
        <v>380.324544</v>
      </c>
      <c r="H120">
        <v>7.8539999999999999E-3</v>
      </c>
    </row>
    <row r="121" spans="1:8" x14ac:dyDescent="0.25">
      <c r="A121">
        <v>0.02</v>
      </c>
      <c r="B121">
        <v>144.45061000000001</v>
      </c>
      <c r="C121">
        <v>149.99916400000001</v>
      </c>
      <c r="D121">
        <v>124.017377</v>
      </c>
      <c r="E121">
        <v>5.327191</v>
      </c>
      <c r="F121">
        <v>-67.524152000000001</v>
      </c>
      <c r="G121">
        <v>380.324544</v>
      </c>
      <c r="H121">
        <v>5.6010000000000001E-3</v>
      </c>
    </row>
    <row r="122" spans="1:8" x14ac:dyDescent="0.25">
      <c r="A122">
        <v>0.02</v>
      </c>
      <c r="B122">
        <v>144.54516899999999</v>
      </c>
      <c r="C122">
        <v>149.99960999999999</v>
      </c>
      <c r="D122">
        <v>124.111937</v>
      </c>
      <c r="E122">
        <v>4.128838</v>
      </c>
      <c r="F122">
        <v>-59.917661000000003</v>
      </c>
      <c r="G122">
        <v>380.324544</v>
      </c>
      <c r="H122">
        <v>3.826E-3</v>
      </c>
    </row>
    <row r="123" spans="1:8" x14ac:dyDescent="0.25">
      <c r="A123">
        <v>0.02</v>
      </c>
      <c r="B123">
        <v>144.61728299999999</v>
      </c>
      <c r="C123">
        <v>149.99983700000001</v>
      </c>
      <c r="D123">
        <v>124.184051</v>
      </c>
      <c r="E123">
        <v>3.082614</v>
      </c>
      <c r="F123">
        <v>-52.311171000000002</v>
      </c>
      <c r="G123">
        <v>380.324544</v>
      </c>
      <c r="H123">
        <v>2.4729999999999999E-3</v>
      </c>
    </row>
    <row r="124" spans="1:8" x14ac:dyDescent="0.25">
      <c r="A124">
        <v>0.02</v>
      </c>
      <c r="B124">
        <v>144.66999899999999</v>
      </c>
      <c r="C124">
        <v>149.99994100000001</v>
      </c>
      <c r="D124">
        <v>124.236763</v>
      </c>
      <c r="E124">
        <v>2.1885210000000002</v>
      </c>
      <c r="F124">
        <v>-44.704680000000003</v>
      </c>
      <c r="G124">
        <v>380.324544</v>
      </c>
      <c r="H124">
        <v>1.4829999999999999E-3</v>
      </c>
    </row>
    <row r="125" spans="1:8" x14ac:dyDescent="0.25">
      <c r="A125">
        <v>0.02</v>
      </c>
      <c r="B125">
        <v>144.706345</v>
      </c>
      <c r="C125">
        <v>149.99998299999999</v>
      </c>
      <c r="D125">
        <v>124.27311400000001</v>
      </c>
      <c r="E125">
        <v>1.4465570000000001</v>
      </c>
      <c r="F125">
        <v>-37.098188999999998</v>
      </c>
      <c r="G125">
        <v>380.324544</v>
      </c>
      <c r="H125">
        <v>8.0099999999999995E-4</v>
      </c>
    </row>
    <row r="126" spans="1:8" x14ac:dyDescent="0.25">
      <c r="A126">
        <v>0.02</v>
      </c>
      <c r="B126">
        <v>144.72937899999999</v>
      </c>
      <c r="C126">
        <v>149.99999600000001</v>
      </c>
      <c r="D126">
        <v>124.29614599999999</v>
      </c>
      <c r="E126">
        <v>0.85672300000000001</v>
      </c>
      <c r="F126">
        <v>-29.491698</v>
      </c>
      <c r="G126">
        <v>380.324544</v>
      </c>
      <c r="H126">
        <v>3.68E-4</v>
      </c>
    </row>
    <row r="127" spans="1:8" x14ac:dyDescent="0.25">
      <c r="A127">
        <v>0.02</v>
      </c>
      <c r="B127">
        <v>144.74213900000001</v>
      </c>
      <c r="C127">
        <v>150</v>
      </c>
      <c r="D127">
        <v>124.308904</v>
      </c>
      <c r="E127">
        <v>0.41901899999999997</v>
      </c>
      <c r="F127">
        <v>-21.885207000000001</v>
      </c>
      <c r="G127">
        <v>380.324544</v>
      </c>
      <c r="H127">
        <v>1.2899999999999999E-4</v>
      </c>
    </row>
    <row r="128" spans="1:8" x14ac:dyDescent="0.25">
      <c r="A128">
        <v>0.02</v>
      </c>
      <c r="B128">
        <v>144.74766500000001</v>
      </c>
      <c r="C128">
        <v>150</v>
      </c>
      <c r="D128">
        <v>124.31442800000001</v>
      </c>
      <c r="E128">
        <v>0.13344500000000001</v>
      </c>
      <c r="F128">
        <v>-14.278715999999999</v>
      </c>
      <c r="G128">
        <v>380.324544</v>
      </c>
      <c r="H128">
        <v>2.5000000000000001E-5</v>
      </c>
    </row>
    <row r="129" spans="1:8" x14ac:dyDescent="0.25">
      <c r="A129">
        <v>0.02</v>
      </c>
      <c r="B129">
        <v>144.749</v>
      </c>
      <c r="C129">
        <v>150</v>
      </c>
      <c r="D129">
        <v>124.315763</v>
      </c>
      <c r="E129">
        <v>0</v>
      </c>
      <c r="F129">
        <v>-6.6722250000000001</v>
      </c>
      <c r="G129">
        <v>380.324544</v>
      </c>
      <c r="H129">
        <v>6.2831849999999996</v>
      </c>
    </row>
    <row r="130" spans="1:8" x14ac:dyDescent="0.25">
      <c r="A130">
        <v>0.02</v>
      </c>
      <c r="B130">
        <v>144.749</v>
      </c>
      <c r="C130">
        <v>150</v>
      </c>
      <c r="D130">
        <v>124.315763</v>
      </c>
      <c r="E130">
        <v>0</v>
      </c>
      <c r="F130">
        <v>0</v>
      </c>
      <c r="G130">
        <v>333.61126400000001</v>
      </c>
      <c r="H130">
        <v>6.2831849999999996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1"/>
  <sheetViews>
    <sheetView workbookViewId="0">
      <pane ySplit="1" topLeftCell="A2" activePane="bottomLeft" state="frozenSplit"/>
      <selection pane="bottomLeft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f>Main!$K$2</f>
        <v>0.02</v>
      </c>
      <c r="B2">
        <f>Main!S2</f>
        <v>25.998480392308796</v>
      </c>
      <c r="C2">
        <f>Main!T2</f>
        <v>105.00000007697358</v>
      </c>
      <c r="D2">
        <v>0</v>
      </c>
      <c r="E2">
        <f t="shared" ref="E2:E4" si="0" xml:space="preserve"> IF(ISBLANK(D3), 0, (D3-D2)/$A2 )</f>
        <v>7.605000000000682E-2</v>
      </c>
      <c r="F2">
        <f xml:space="preserve"> (E3-E2)/$A2</f>
        <v>11.8974999999897</v>
      </c>
      <c r="G2">
        <f xml:space="preserve"> (F3-F2)/$A2</f>
        <v>391.62499999104278</v>
      </c>
      <c r="H2">
        <f>Main!N2</f>
        <v>6.2830839999999997</v>
      </c>
    </row>
    <row r="3" spans="1:8" x14ac:dyDescent="0.25">
      <c r="A3">
        <f>Main!$K$2</f>
        <v>0.02</v>
      </c>
      <c r="B3">
        <f>Main!S3</f>
        <v>26.000001392300991</v>
      </c>
      <c r="C3">
        <f>Main!T3</f>
        <v>104.99999992288537</v>
      </c>
      <c r="D3">
        <f>D2 + SQRT( (B3-B2)^2  + (C3-C2)^2 )</f>
        <v>1.5210000000001364E-3</v>
      </c>
      <c r="E3">
        <f t="shared" si="0"/>
        <v>0.31399999999980083</v>
      </c>
      <c r="F3">
        <f t="shared" ref="F3:G3" si="1" xml:space="preserve"> (E4-E3)/$A3</f>
        <v>19.729999999810556</v>
      </c>
      <c r="G3">
        <f t="shared" si="1"/>
        <v>387.74999996966369</v>
      </c>
      <c r="H3">
        <f>Main!N3</f>
        <v>6.2830839999999997</v>
      </c>
    </row>
    <row r="4" spans="1:8" x14ac:dyDescent="0.25">
      <c r="A4">
        <f>Main!$K$2</f>
        <v>0.02</v>
      </c>
      <c r="B4">
        <f>Main!S4</f>
        <v>26.006281392276389</v>
      </c>
      <c r="C4">
        <f>Main!T4</f>
        <v>104.99999936704877</v>
      </c>
      <c r="D4">
        <f t="shared" ref="D4" si="2">D3 + SQRT( (B4-B3)^2  + (C4-C3)^2 )</f>
        <v>7.800999999996153E-3</v>
      </c>
      <c r="E4">
        <f t="shared" si="0"/>
        <v>0.70859999999601198</v>
      </c>
      <c r="F4">
        <f t="shared" ref="F4:G4" si="3" xml:space="preserve"> (E5-E4)/$A4</f>
        <v>27.484999999203829</v>
      </c>
      <c r="G4">
        <f t="shared" si="3"/>
        <v>397.70096161081625</v>
      </c>
      <c r="H4">
        <f>Main!N4</f>
        <v>6.2830969999999997</v>
      </c>
    </row>
    <row r="5" spans="1:8" x14ac:dyDescent="0.25">
      <c r="A5">
        <f>Main!$K$2</f>
        <v>0.02</v>
      </c>
      <c r="B5">
        <f>Main!S5</f>
        <v>26.020453392253408</v>
      </c>
      <c r="C5">
        <f>Main!T5</f>
        <v>104.99999856138344</v>
      </c>
      <c r="D5">
        <f t="shared" ref="D5:D68" si="4">D4 + SQRT( (B5-B4)^2  + (C5-C4)^2 )</f>
        <v>2.1972999999916393E-2</v>
      </c>
      <c r="E5">
        <f t="shared" ref="E5:E68" si="5" xml:space="preserve"> IF(ISBLANK(D6), 0, (D6-D5)/$A5 )</f>
        <v>1.2582999999800886</v>
      </c>
      <c r="F5">
        <f t="shared" ref="F5:F68" si="6" xml:space="preserve"> (E6-E5)/$A5</f>
        <v>35.439019231420154</v>
      </c>
      <c r="G5">
        <f t="shared" ref="G5:G68" si="7" xml:space="preserve"> (F6-F5)/$A5</f>
        <v>390.59807631276584</v>
      </c>
      <c r="H5">
        <f>Main!N5</f>
        <v>6.2831289999999997</v>
      </c>
    </row>
    <row r="6" spans="1:8" x14ac:dyDescent="0.25">
      <c r="A6">
        <f>Main!$K$2</f>
        <v>0.02</v>
      </c>
      <c r="B6">
        <f>Main!S6</f>
        <v>26.045619392252949</v>
      </c>
      <c r="C6">
        <f>Main!T6</f>
        <v>104.99999850579945</v>
      </c>
      <c r="D6">
        <f t="shared" si="4"/>
        <v>4.7138999999518164E-2</v>
      </c>
      <c r="E6">
        <f t="shared" si="5"/>
        <v>1.9670803846084917</v>
      </c>
      <c r="F6">
        <f t="shared" si="6"/>
        <v>43.250980757675471</v>
      </c>
      <c r="G6">
        <f t="shared" si="7"/>
        <v>395.82596118749541</v>
      </c>
      <c r="H6">
        <f>Main!N6</f>
        <v>6.2831840000000003</v>
      </c>
    </row>
    <row r="7" spans="1:8" x14ac:dyDescent="0.25">
      <c r="A7">
        <f>Main!$K$2</f>
        <v>0.02</v>
      </c>
      <c r="B7">
        <f>Main!S7</f>
        <v>26.084960999804508</v>
      </c>
      <c r="C7">
        <f>Main!T7</f>
        <v>105.00000183200862</v>
      </c>
      <c r="D7">
        <f t="shared" si="4"/>
        <v>8.6480607691688E-2</v>
      </c>
      <c r="E7">
        <f t="shared" si="5"/>
        <v>2.8320999997620011</v>
      </c>
      <c r="F7">
        <f t="shared" si="6"/>
        <v>51.167499981425379</v>
      </c>
      <c r="G7">
        <f t="shared" si="7"/>
        <v>391.49999907356658</v>
      </c>
      <c r="H7">
        <f>Main!N7</f>
        <v>8.6000000000000003E-5</v>
      </c>
    </row>
    <row r="8" spans="1:8" x14ac:dyDescent="0.25">
      <c r="A8">
        <f>Main!$K$2</f>
        <v>0.02</v>
      </c>
      <c r="B8">
        <f>Main!S8</f>
        <v>26.141602998563474</v>
      </c>
      <c r="C8">
        <f>Main!T8</f>
        <v>105.00001366628304</v>
      </c>
      <c r="D8">
        <f t="shared" si="4"/>
        <v>0.14312260768692803</v>
      </c>
      <c r="E8">
        <f t="shared" si="5"/>
        <v>3.8554499993905087</v>
      </c>
      <c r="F8">
        <f t="shared" si="6"/>
        <v>58.997499962896711</v>
      </c>
      <c r="G8">
        <f t="shared" si="7"/>
        <v>399.12499818184483</v>
      </c>
      <c r="H8">
        <f>Main!N8</f>
        <v>2.1100000000000001E-4</v>
      </c>
    </row>
    <row r="9" spans="1:8" x14ac:dyDescent="0.25">
      <c r="A9">
        <f>Main!$K$2</f>
        <v>0.02</v>
      </c>
      <c r="B9">
        <f>Main!S9</f>
        <v>26.218711993008721</v>
      </c>
      <c r="C9">
        <f>Main!T9</f>
        <v>105.00004290261285</v>
      </c>
      <c r="D9">
        <f t="shared" si="4"/>
        <v>0.22023160767473821</v>
      </c>
      <c r="E9">
        <f t="shared" si="5"/>
        <v>5.035399998648443</v>
      </c>
      <c r="F9">
        <f t="shared" si="6"/>
        <v>66.979999926533608</v>
      </c>
      <c r="G9">
        <f t="shared" si="7"/>
        <v>389.7499974391593</v>
      </c>
      <c r="H9">
        <f>Main!N9</f>
        <v>3.8200000000000002E-4</v>
      </c>
    </row>
    <row r="10" spans="1:8" x14ac:dyDescent="0.25">
      <c r="A10">
        <f>Main!$K$2</f>
        <v>0.02</v>
      </c>
      <c r="B10">
        <f>Main!S10</f>
        <v>26.319419974775823</v>
      </c>
      <c r="C10">
        <f>Main!T10</f>
        <v>105.00010345798168</v>
      </c>
      <c r="D10">
        <f t="shared" si="4"/>
        <v>0.32093960764770707</v>
      </c>
      <c r="E10">
        <f t="shared" si="5"/>
        <v>6.3749999971791151</v>
      </c>
      <c r="F10">
        <f t="shared" si="6"/>
        <v>74.774999875316794</v>
      </c>
      <c r="G10">
        <f t="shared" si="7"/>
        <v>400.87499530542914</v>
      </c>
      <c r="H10">
        <f>Main!N10</f>
        <v>6.0499999999999996E-4</v>
      </c>
    </row>
    <row r="11" spans="1:8" x14ac:dyDescent="0.25">
      <c r="A11">
        <f>Main!$K$2</f>
        <v>0.02</v>
      </c>
      <c r="B11">
        <f>Main!S11</f>
        <v>26.446919924763755</v>
      </c>
      <c r="C11">
        <f>Main!T11</f>
        <v>105.00021632377938</v>
      </c>
      <c r="D11">
        <f t="shared" si="4"/>
        <v>0.44843960759128937</v>
      </c>
      <c r="E11">
        <f t="shared" si="5"/>
        <v>7.870499994685451</v>
      </c>
      <c r="F11">
        <f t="shared" si="6"/>
        <v>82.792499781425377</v>
      </c>
      <c r="G11">
        <f t="shared" si="7"/>
        <v>393.49999354999238</v>
      </c>
      <c r="H11">
        <f>Main!N11</f>
        <v>8.8999999999999995E-4</v>
      </c>
    </row>
    <row r="12" spans="1:8" x14ac:dyDescent="0.25">
      <c r="A12">
        <f>Main!$K$2</f>
        <v>0.02</v>
      </c>
      <c r="B12">
        <f>Main!S12</f>
        <v>26.604329804401402</v>
      </c>
      <c r="C12">
        <f>Main!T12</f>
        <v>105.00041089766972</v>
      </c>
      <c r="D12">
        <f t="shared" si="4"/>
        <v>0.60584960748499839</v>
      </c>
      <c r="E12">
        <f t="shared" si="5"/>
        <v>9.5263499903139586</v>
      </c>
      <c r="F12">
        <f t="shared" si="6"/>
        <v>90.662499652425225</v>
      </c>
      <c r="G12">
        <f t="shared" si="7"/>
        <v>397.12499020587728</v>
      </c>
      <c r="H12">
        <f>Main!N12</f>
        <v>1.242E-3</v>
      </c>
    </row>
    <row r="13" spans="1:8" x14ac:dyDescent="0.25">
      <c r="A13">
        <f>Main!$K$2</f>
        <v>0.02</v>
      </c>
      <c r="B13">
        <f>Main!S13</f>
        <v>26.794856540204226</v>
      </c>
      <c r="C13">
        <f>Main!T13</f>
        <v>105.00072807191691</v>
      </c>
      <c r="D13">
        <f t="shared" si="4"/>
        <v>0.79637660729127757</v>
      </c>
      <c r="E13">
        <f t="shared" si="5"/>
        <v>11.339599983362463</v>
      </c>
      <c r="F13">
        <f t="shared" si="6"/>
        <v>98.604999456542771</v>
      </c>
      <c r="G13">
        <f t="shared" si="7"/>
        <v>399.24998560962024</v>
      </c>
      <c r="H13">
        <f>Main!N13</f>
        <v>1.6720000000000001E-3</v>
      </c>
    </row>
    <row r="14" spans="1:8" x14ac:dyDescent="0.25">
      <c r="A14">
        <f>Main!$K$2</f>
        <v>0.02</v>
      </c>
      <c r="B14">
        <f>Main!S14</f>
        <v>27.021648001843765</v>
      </c>
      <c r="C14">
        <f>Main!T14</f>
        <v>105.00122207644209</v>
      </c>
      <c r="D14">
        <f t="shared" si="4"/>
        <v>1.0231686069585268</v>
      </c>
      <c r="E14">
        <f t="shared" si="5"/>
        <v>13.311699972493319</v>
      </c>
      <c r="F14">
        <f t="shared" si="6"/>
        <v>106.58999916873518</v>
      </c>
      <c r="G14">
        <f t="shared" si="7"/>
        <v>402.62497853602139</v>
      </c>
      <c r="H14">
        <f>Main!N14</f>
        <v>2.1870000000000001E-3</v>
      </c>
    </row>
    <row r="15" spans="1:8" x14ac:dyDescent="0.25">
      <c r="A15">
        <f>Main!$K$2</f>
        <v>0.02</v>
      </c>
      <c r="B15">
        <f>Main!S15</f>
        <v>27.287880968399556</v>
      </c>
      <c r="C15">
        <f>Main!T15</f>
        <v>105.00196368413808</v>
      </c>
      <c r="D15">
        <f t="shared" si="4"/>
        <v>1.2894026064083932</v>
      </c>
      <c r="E15">
        <f t="shared" si="5"/>
        <v>15.443499955868022</v>
      </c>
      <c r="F15">
        <f t="shared" si="6"/>
        <v>114.6424987394556</v>
      </c>
      <c r="G15">
        <f t="shared" si="7"/>
        <v>397.24997226809649</v>
      </c>
      <c r="H15">
        <f>Main!N15</f>
        <v>2.7959999999999999E-3</v>
      </c>
    </row>
    <row r="16" spans="1:8" x14ac:dyDescent="0.25">
      <c r="A16">
        <f>Main!$K$2</f>
        <v>0.02</v>
      </c>
      <c r="B16">
        <f>Main!S16</f>
        <v>27.596749079303649</v>
      </c>
      <c r="C16">
        <f>Main!T16</f>
        <v>105.00304369399683</v>
      </c>
      <c r="D16">
        <f t="shared" si="4"/>
        <v>1.5982726055257537</v>
      </c>
      <c r="E16">
        <f t="shared" si="5"/>
        <v>17.736349930657134</v>
      </c>
      <c r="F16">
        <f t="shared" si="6"/>
        <v>122.58749818481753</v>
      </c>
      <c r="G16">
        <f t="shared" si="7"/>
        <v>404.74995890931137</v>
      </c>
      <c r="H16">
        <f>Main!N16</f>
        <v>3.509E-3</v>
      </c>
    </row>
    <row r="17" spans="1:8" x14ac:dyDescent="0.25">
      <c r="A17">
        <f>Main!$K$2</f>
        <v>0.02</v>
      </c>
      <c r="B17">
        <f>Main!S17</f>
        <v>27.951472762574287</v>
      </c>
      <c r="C17">
        <f>Main!T17</f>
        <v>105.00457734063168</v>
      </c>
      <c r="D17">
        <f t="shared" si="4"/>
        <v>1.9529996041388964</v>
      </c>
      <c r="E17">
        <f t="shared" si="5"/>
        <v>20.188099894353485</v>
      </c>
      <c r="F17">
        <f t="shared" si="6"/>
        <v>130.68249736300376</v>
      </c>
      <c r="G17">
        <f t="shared" si="7"/>
        <v>208.99994829365625</v>
      </c>
      <c r="H17">
        <f>Main!N17</f>
        <v>4.3379999999999998E-3</v>
      </c>
    </row>
    <row r="18" spans="1:8" x14ac:dyDescent="0.25">
      <c r="A18">
        <f>Main!$K$2</f>
        <v>0.02</v>
      </c>
      <c r="B18">
        <f>Main!S18</f>
        <v>28.355229142808515</v>
      </c>
      <c r="C18">
        <f>Main!T18</f>
        <v>105.00670721337713</v>
      </c>
      <c r="D18">
        <f t="shared" si="4"/>
        <v>2.3567616020259661</v>
      </c>
      <c r="E18">
        <f t="shared" si="5"/>
        <v>22.80174984161356</v>
      </c>
      <c r="F18">
        <f t="shared" si="6"/>
        <v>134.86249632887689</v>
      </c>
      <c r="G18">
        <f t="shared" si="7"/>
        <v>10.999940094239946</v>
      </c>
      <c r="H18">
        <f>Main!N18</f>
        <v>5.2919999999999998E-3</v>
      </c>
    </row>
    <row r="19" spans="1:8" x14ac:dyDescent="0.25">
      <c r="A19">
        <f>Main!$K$2</f>
        <v>0.02</v>
      </c>
      <c r="B19">
        <f>Main!S19</f>
        <v>28.811254903722311</v>
      </c>
      <c r="C19">
        <f>Main!T19</f>
        <v>105.00960957772409</v>
      </c>
      <c r="D19">
        <f t="shared" si="4"/>
        <v>2.8127965988582373</v>
      </c>
      <c r="E19">
        <f t="shared" si="5"/>
        <v>25.498999768191098</v>
      </c>
      <c r="F19">
        <f t="shared" si="6"/>
        <v>135.08249513076169</v>
      </c>
      <c r="G19">
        <f t="shared" si="7"/>
        <v>13.374924690170076</v>
      </c>
      <c r="H19">
        <f>Main!N19</f>
        <v>6.3839999999999999E-3</v>
      </c>
    </row>
    <row r="20" spans="1:8" x14ac:dyDescent="0.25">
      <c r="A20">
        <f>Main!$K$2</f>
        <v>0.02</v>
      </c>
      <c r="B20">
        <f>Main!S20</f>
        <v>29.321220165557158</v>
      </c>
      <c r="C20">
        <f>Main!T20</f>
        <v>105.01348609587839</v>
      </c>
      <c r="D20">
        <f t="shared" si="4"/>
        <v>3.3227765942220593</v>
      </c>
      <c r="E20">
        <f t="shared" si="5"/>
        <v>28.200649670806332</v>
      </c>
      <c r="F20">
        <f t="shared" si="6"/>
        <v>135.34999362456509</v>
      </c>
      <c r="G20">
        <f t="shared" si="7"/>
        <v>14.749905454634415</v>
      </c>
      <c r="H20">
        <f>Main!N20</f>
        <v>7.6239999999999997E-3</v>
      </c>
    </row>
    <row r="21" spans="1:8" x14ac:dyDescent="0.25">
      <c r="A21">
        <f>Main!$K$2</f>
        <v>0.02</v>
      </c>
      <c r="B21">
        <f>Main!S21</f>
        <v>29.88521035638167</v>
      </c>
      <c r="C21">
        <f>Main!T21</f>
        <v>105.01855772243702</v>
      </c>
      <c r="D21">
        <f t="shared" si="4"/>
        <v>3.8867895876381859</v>
      </c>
      <c r="E21">
        <f t="shared" si="5"/>
        <v>30.907649543297634</v>
      </c>
      <c r="F21">
        <f t="shared" si="6"/>
        <v>135.64499173365778</v>
      </c>
      <c r="G21">
        <f t="shared" si="7"/>
        <v>15.249884738048536</v>
      </c>
      <c r="H21">
        <f>Main!N21</f>
        <v>9.018E-3</v>
      </c>
    </row>
    <row r="22" spans="1:8" x14ac:dyDescent="0.25">
      <c r="A22">
        <f>Main!$K$2</f>
        <v>0.02</v>
      </c>
      <c r="B22">
        <f>Main!S22</f>
        <v>30.50332898789825</v>
      </c>
      <c r="C22">
        <f>Main!T22</f>
        <v>105.02507519806736</v>
      </c>
      <c r="D22">
        <f t="shared" si="4"/>
        <v>4.5049425785041386</v>
      </c>
      <c r="E22">
        <f t="shared" si="5"/>
        <v>33.620549377970789</v>
      </c>
      <c r="F22">
        <f t="shared" si="6"/>
        <v>135.94998942841875</v>
      </c>
      <c r="G22">
        <f t="shared" si="7"/>
        <v>16.749856947662067</v>
      </c>
      <c r="H22">
        <f>Main!N22</f>
        <v>1.0573000000000001E-2</v>
      </c>
    </row>
    <row r="23" spans="1:8" x14ac:dyDescent="0.25">
      <c r="A23">
        <f>Main!$K$2</f>
        <v>0.02</v>
      </c>
      <c r="B23">
        <f>Main!S23</f>
        <v>31.175689410118018</v>
      </c>
      <c r="C23">
        <f>Main!T23</f>
        <v>105.03332133795729</v>
      </c>
      <c r="D23">
        <f t="shared" si="4"/>
        <v>5.1773535660635543</v>
      </c>
      <c r="E23">
        <f t="shared" si="5"/>
        <v>36.339549166539165</v>
      </c>
      <c r="F23">
        <f t="shared" si="6"/>
        <v>136.28498656737199</v>
      </c>
      <c r="G23">
        <f t="shared" si="7"/>
        <v>20.624817971058462</v>
      </c>
      <c r="H23">
        <f>Main!N23</f>
        <v>1.2297000000000001E-2</v>
      </c>
    </row>
    <row r="24" spans="1:8" x14ac:dyDescent="0.25">
      <c r="A24">
        <f>Main!$K$2</f>
        <v>0.02</v>
      </c>
      <c r="B24">
        <f>Main!S24</f>
        <v>31.902407524549069</v>
      </c>
      <c r="C24">
        <f>Main!T24</f>
        <v>105.04361286887858</v>
      </c>
      <c r="D24">
        <f t="shared" si="4"/>
        <v>5.9041445493943376</v>
      </c>
      <c r="E24">
        <f t="shared" si="5"/>
        <v>39.065248897886605</v>
      </c>
      <c r="F24">
        <f t="shared" si="6"/>
        <v>136.69748292679316</v>
      </c>
      <c r="G24">
        <f t="shared" si="7"/>
        <v>16.999789864122761</v>
      </c>
      <c r="H24">
        <f>Main!N24</f>
        <v>1.4198000000000001E-2</v>
      </c>
    </row>
    <row r="25" spans="1:8" x14ac:dyDescent="0.25">
      <c r="A25">
        <f>Main!$K$2</f>
        <v>0.02</v>
      </c>
      <c r="B25">
        <f>Main!S25</f>
        <v>32.683609434549545</v>
      </c>
      <c r="C25">
        <f>Main!T25</f>
        <v>105.05630319563328</v>
      </c>
      <c r="D25">
        <f t="shared" si="4"/>
        <v>6.6854495273520698</v>
      </c>
      <c r="E25">
        <f t="shared" si="5"/>
        <v>41.799198556422468</v>
      </c>
      <c r="F25">
        <f t="shared" si="6"/>
        <v>137.03747872407561</v>
      </c>
      <c r="G25">
        <f t="shared" si="7"/>
        <v>22.249730658802491</v>
      </c>
      <c r="H25">
        <f>Main!N25</f>
        <v>1.6285000000000001E-2</v>
      </c>
    </row>
    <row r="26" spans="1:8" x14ac:dyDescent="0.25">
      <c r="A26">
        <f>Main!$K$2</f>
        <v>0.02</v>
      </c>
      <c r="B26">
        <f>Main!S26</f>
        <v>33.519450008491816</v>
      </c>
      <c r="C26">
        <f>Main!T26</f>
        <v>105.07178657173628</v>
      </c>
      <c r="D26">
        <f t="shared" si="4"/>
        <v>7.5214334984805191</v>
      </c>
      <c r="E26">
        <f t="shared" si="5"/>
        <v>44.53994813090398</v>
      </c>
      <c r="F26">
        <f t="shared" si="6"/>
        <v>137.48247333725166</v>
      </c>
      <c r="G26">
        <f t="shared" si="7"/>
        <v>20.874683335883049</v>
      </c>
      <c r="H26">
        <f>Main!N26</f>
        <v>1.8568999999999999E-2</v>
      </c>
    </row>
    <row r="27" spans="1:8" x14ac:dyDescent="0.25">
      <c r="A27">
        <f>Main!$K$2</f>
        <v>0.02</v>
      </c>
      <c r="B27">
        <f>Main!S27</f>
        <v>34.410052429961105</v>
      </c>
      <c r="C27">
        <f>Main!T27</f>
        <v>105.09049803011037</v>
      </c>
      <c r="D27">
        <f t="shared" si="4"/>
        <v>8.4122324610985988</v>
      </c>
      <c r="E27">
        <f t="shared" si="5"/>
        <v>47.289597597649013</v>
      </c>
      <c r="F27">
        <f t="shared" si="6"/>
        <v>137.89996700396932</v>
      </c>
      <c r="G27">
        <f t="shared" si="7"/>
        <v>25.999596628736299</v>
      </c>
      <c r="H27">
        <f>Main!N27</f>
        <v>2.1059000000000001E-2</v>
      </c>
    </row>
    <row r="28" spans="1:8" x14ac:dyDescent="0.25">
      <c r="A28">
        <f>Main!$K$2</f>
        <v>0.02</v>
      </c>
      <c r="B28">
        <f>Main!S28</f>
        <v>35.355578575051553</v>
      </c>
      <c r="C28">
        <f>Main!T28</f>
        <v>105.11291956728846</v>
      </c>
      <c r="D28">
        <f t="shared" si="4"/>
        <v>9.3580244130515791</v>
      </c>
      <c r="E28">
        <f t="shared" si="5"/>
        <v>50.0475969377284</v>
      </c>
      <c r="F28">
        <f t="shared" si="6"/>
        <v>138.41995893654405</v>
      </c>
      <c r="G28">
        <f t="shared" si="7"/>
        <v>22.749536506393042</v>
      </c>
      <c r="H28">
        <f>Main!N28</f>
        <v>2.3767E-2</v>
      </c>
    </row>
    <row r="29" spans="1:8" x14ac:dyDescent="0.25">
      <c r="A29">
        <f>Main!$K$2</f>
        <v>0.02</v>
      </c>
      <c r="B29">
        <f>Main!S29</f>
        <v>36.356175369103042</v>
      </c>
      <c r="C29">
        <f>Main!T29</f>
        <v>105.13958113945532</v>
      </c>
      <c r="D29">
        <f t="shared" si="4"/>
        <v>10.358976351806147</v>
      </c>
      <c r="E29">
        <f t="shared" si="5"/>
        <v>52.815996116459281</v>
      </c>
      <c r="F29">
        <f t="shared" si="6"/>
        <v>138.87494966667191</v>
      </c>
      <c r="G29">
        <f t="shared" si="7"/>
        <v>-173.37550958362868</v>
      </c>
      <c r="H29">
        <f>Main!N29</f>
        <v>2.6703999999999999E-2</v>
      </c>
    </row>
    <row r="30" spans="1:8" x14ac:dyDescent="0.25">
      <c r="A30">
        <f>Main!$K$2</f>
        <v>0.02</v>
      </c>
      <c r="B30">
        <f>Main!S30</f>
        <v>37.412025914886584</v>
      </c>
      <c r="C30">
        <f>Main!T30</f>
        <v>105.17106769655726</v>
      </c>
      <c r="D30">
        <f t="shared" si="4"/>
        <v>11.415296274135333</v>
      </c>
      <c r="E30">
        <f t="shared" si="5"/>
        <v>55.59349510979272</v>
      </c>
      <c r="F30">
        <f t="shared" si="6"/>
        <v>135.40743947499934</v>
      </c>
      <c r="G30">
        <f t="shared" si="7"/>
        <v>-372.87551574660682</v>
      </c>
      <c r="H30">
        <f>Main!N30</f>
        <v>2.9884000000000001E-2</v>
      </c>
    </row>
    <row r="31" spans="1:8" x14ac:dyDescent="0.25">
      <c r="A31">
        <f>Main!$K$2</f>
        <v>0.02</v>
      </c>
      <c r="B31">
        <f>Main!S31</f>
        <v>38.523281644257992</v>
      </c>
      <c r="C31">
        <f>Main!T31</f>
        <v>105.20801879056327</v>
      </c>
      <c r="D31">
        <f t="shared" si="4"/>
        <v>12.527166176331187</v>
      </c>
      <c r="E31">
        <f t="shared" si="5"/>
        <v>58.301643899292706</v>
      </c>
      <c r="F31">
        <f t="shared" si="6"/>
        <v>127.9499291600672</v>
      </c>
      <c r="G31">
        <f t="shared" si="7"/>
        <v>-376.62553861617096</v>
      </c>
      <c r="H31">
        <f>Main!N31</f>
        <v>3.3319000000000001E-2</v>
      </c>
    </row>
    <row r="32" spans="1:8" x14ac:dyDescent="0.25">
      <c r="A32">
        <f>Main!$K$2</f>
        <v>0.02</v>
      </c>
      <c r="B32">
        <f>Main!S32</f>
        <v>39.688519480585306</v>
      </c>
      <c r="C32">
        <f>Main!T32</f>
        <v>105.2510705888441</v>
      </c>
      <c r="D32">
        <f t="shared" si="4"/>
        <v>13.693199054317041</v>
      </c>
      <c r="E32">
        <f t="shared" si="5"/>
        <v>60.86064248249405</v>
      </c>
      <c r="F32">
        <f t="shared" si="6"/>
        <v>120.41741838774378</v>
      </c>
      <c r="G32">
        <f t="shared" si="7"/>
        <v>-372.62562008754327</v>
      </c>
      <c r="H32">
        <f>Main!N32</f>
        <v>3.7018000000000002E-2</v>
      </c>
    </row>
    <row r="33" spans="1:8" x14ac:dyDescent="0.25">
      <c r="A33">
        <f>Main!$K$2</f>
        <v>0.02</v>
      </c>
      <c r="B33">
        <f>Main!S33</f>
        <v>40.904714984687487</v>
      </c>
      <c r="C33">
        <f>Main!T33</f>
        <v>105.30082616294816</v>
      </c>
      <c r="D33">
        <f t="shared" si="4"/>
        <v>14.910411903966923</v>
      </c>
      <c r="E33">
        <f t="shared" si="5"/>
        <v>63.268990850248926</v>
      </c>
      <c r="F33">
        <f t="shared" si="6"/>
        <v>112.96490598599291</v>
      </c>
      <c r="G33">
        <f t="shared" si="7"/>
        <v>-382.37557839273961</v>
      </c>
      <c r="H33">
        <f>Main!N33</f>
        <v>4.0985000000000001E-2</v>
      </c>
    </row>
    <row r="34" spans="1:8" x14ac:dyDescent="0.25">
      <c r="A34">
        <f>Main!$K$2</f>
        <v>0.02</v>
      </c>
      <c r="B34">
        <f>Main!S34</f>
        <v>42.16880723229432</v>
      </c>
      <c r="C34">
        <f>Main!T34</f>
        <v>105.35789516349887</v>
      </c>
      <c r="D34">
        <f t="shared" si="4"/>
        <v>16.175791720971901</v>
      </c>
      <c r="E34">
        <f t="shared" si="5"/>
        <v>65.528288969968784</v>
      </c>
      <c r="F34">
        <f t="shared" si="6"/>
        <v>105.31739441813812</v>
      </c>
      <c r="G34">
        <f t="shared" si="7"/>
        <v>-376.50067382742236</v>
      </c>
      <c r="H34">
        <f>Main!N34</f>
        <v>4.5221999999999998E-2</v>
      </c>
    </row>
    <row r="35" spans="1:8" x14ac:dyDescent="0.25">
      <c r="A35">
        <f>Main!$K$2</f>
        <v>0.02</v>
      </c>
      <c r="B35">
        <f>Main!S35</f>
        <v>43.477760165996465</v>
      </c>
      <c r="C35">
        <f>Main!T35</f>
        <v>105.42289423645565</v>
      </c>
      <c r="D35">
        <f t="shared" si="4"/>
        <v>17.486357500371277</v>
      </c>
      <c r="E35">
        <f t="shared" si="5"/>
        <v>67.634636858331547</v>
      </c>
      <c r="F35">
        <f t="shared" si="6"/>
        <v>97.787380941589674</v>
      </c>
      <c r="G35">
        <f t="shared" si="7"/>
        <v>-384.12562166410424</v>
      </c>
      <c r="H35">
        <f>Main!N35</f>
        <v>4.9732999999999999E-2</v>
      </c>
    </row>
    <row r="36" spans="1:8" x14ac:dyDescent="0.25">
      <c r="A36">
        <f>Main!$K$2</f>
        <v>0.02</v>
      </c>
      <c r="B36">
        <f>Main!S36</f>
        <v>44.828452572028517</v>
      </c>
      <c r="C36">
        <f>Main!T36</f>
        <v>105.49643106716447</v>
      </c>
      <c r="D36">
        <f t="shared" si="4"/>
        <v>18.839050237537908</v>
      </c>
      <c r="E36">
        <f t="shared" si="5"/>
        <v>69.59038447716334</v>
      </c>
      <c r="F36">
        <f t="shared" si="6"/>
        <v>90.10486850830759</v>
      </c>
      <c r="G36">
        <f t="shared" si="7"/>
        <v>-384.00064005553958</v>
      </c>
      <c r="H36">
        <f>Main!N36</f>
        <v>5.4517000000000003E-2</v>
      </c>
    </row>
    <row r="37" spans="1:8" x14ac:dyDescent="0.25">
      <c r="A37">
        <f>Main!$K$2</f>
        <v>0.02</v>
      </c>
      <c r="B37">
        <f>Main!S37</f>
        <v>46.21780243635903</v>
      </c>
      <c r="C37">
        <f>Main!T37</f>
        <v>105.57910874950109</v>
      </c>
      <c r="D37">
        <f t="shared" si="4"/>
        <v>20.230857927081175</v>
      </c>
      <c r="E37">
        <f t="shared" si="5"/>
        <v>71.392481847329492</v>
      </c>
      <c r="F37">
        <f t="shared" si="6"/>
        <v>82.424855707196798</v>
      </c>
      <c r="G37">
        <f t="shared" si="7"/>
        <v>-384.1256566258977</v>
      </c>
      <c r="H37">
        <f>Main!N37</f>
        <v>5.9575999999999997E-2</v>
      </c>
    </row>
    <row r="38" spans="1:8" x14ac:dyDescent="0.25">
      <c r="A38">
        <f>Main!$K$2</f>
        <v>0.02</v>
      </c>
      <c r="B38">
        <f>Main!S38</f>
        <v>47.642659143779035</v>
      </c>
      <c r="C38">
        <f>Main!T38</f>
        <v>105.67150977248637</v>
      </c>
      <c r="D38">
        <f t="shared" si="4"/>
        <v>21.658707564027765</v>
      </c>
      <c r="E38">
        <f t="shared" si="5"/>
        <v>73.040978961473428</v>
      </c>
      <c r="F38">
        <f t="shared" si="6"/>
        <v>74.742342574678844</v>
      </c>
      <c r="G38">
        <f t="shared" si="7"/>
        <v>-389.75057176141803</v>
      </c>
      <c r="H38">
        <f>Main!N38</f>
        <v>6.4907999999999993E-2</v>
      </c>
    </row>
    <row r="39" spans="1:8" x14ac:dyDescent="0.25">
      <c r="A39">
        <f>Main!$K$2</f>
        <v>0.02</v>
      </c>
      <c r="B39">
        <f>Main!S39</f>
        <v>49.099865344356104</v>
      </c>
      <c r="C39">
        <f>Main!T39</f>
        <v>105.77419342288849</v>
      </c>
      <c r="D39">
        <f t="shared" si="4"/>
        <v>23.119527143257233</v>
      </c>
      <c r="E39">
        <f t="shared" si="5"/>
        <v>74.535825812967005</v>
      </c>
      <c r="F39">
        <f t="shared" si="6"/>
        <v>66.947331139450483</v>
      </c>
      <c r="G39">
        <f t="shared" si="7"/>
        <v>-395.25045124385372</v>
      </c>
      <c r="H39">
        <f>Main!N39</f>
        <v>7.0511000000000004E-2</v>
      </c>
    </row>
    <row r="40" spans="1:8" x14ac:dyDescent="0.25">
      <c r="A40">
        <f>Main!$K$2</f>
        <v>0.02</v>
      </c>
      <c r="B40">
        <f>Main!S40</f>
        <v>50.586254995352895</v>
      </c>
      <c r="C40">
        <f>Main!T40</f>
        <v>105.88769028301253</v>
      </c>
      <c r="D40">
        <f t="shared" si="4"/>
        <v>24.610243659516573</v>
      </c>
      <c r="E40">
        <f t="shared" si="5"/>
        <v>75.874772435756014</v>
      </c>
      <c r="F40">
        <f t="shared" si="6"/>
        <v>59.042322114573409</v>
      </c>
      <c r="G40">
        <f t="shared" si="7"/>
        <v>-391.50048772821577</v>
      </c>
      <c r="H40">
        <f>Main!N40</f>
        <v>7.6383000000000006E-2</v>
      </c>
    </row>
    <row r="41" spans="1:8" x14ac:dyDescent="0.25">
      <c r="A41">
        <f>Main!$K$2</f>
        <v>0.02</v>
      </c>
      <c r="B41">
        <f>Main!S41</f>
        <v>52.098610018457165</v>
      </c>
      <c r="C41">
        <f>Main!T41</f>
        <v>106.01248900481042</v>
      </c>
      <c r="D41">
        <f t="shared" si="4"/>
        <v>26.127739108231694</v>
      </c>
      <c r="E41">
        <f t="shared" si="5"/>
        <v>77.055618878047483</v>
      </c>
      <c r="F41">
        <f t="shared" si="6"/>
        <v>51.212312360009093</v>
      </c>
      <c r="G41">
        <f t="shared" si="7"/>
        <v>-397.37533550130877</v>
      </c>
      <c r="H41">
        <f>Main!N41</f>
        <v>8.2518999999999995E-2</v>
      </c>
    </row>
    <row r="42" spans="1:8" x14ac:dyDescent="0.25">
      <c r="A42">
        <f>Main!$K$2</f>
        <v>0.02</v>
      </c>
      <c r="B42">
        <f>Main!S42</f>
        <v>53.633662212113002</v>
      </c>
      <c r="C42">
        <f>Main!T42</f>
        <v>106.14902516494378</v>
      </c>
      <c r="D42">
        <f t="shared" si="4"/>
        <v>27.668851485792644</v>
      </c>
      <c r="E42">
        <f t="shared" si="5"/>
        <v>78.079865125247665</v>
      </c>
      <c r="F42">
        <f t="shared" si="6"/>
        <v>43.264805649982918</v>
      </c>
      <c r="G42">
        <f t="shared" si="7"/>
        <v>-404.62510263637341</v>
      </c>
      <c r="H42">
        <f>Main!N42</f>
        <v>8.8911000000000004E-2</v>
      </c>
    </row>
    <row r="43" spans="1:8" x14ac:dyDescent="0.25">
      <c r="A43">
        <f>Main!$K$2</f>
        <v>0.02</v>
      </c>
      <c r="B43">
        <f>Main!S43</f>
        <v>55.188167484684676</v>
      </c>
      <c r="C43">
        <f>Main!T43</f>
        <v>106.29768414629912</v>
      </c>
      <c r="D43">
        <f t="shared" si="4"/>
        <v>29.230448788297597</v>
      </c>
      <c r="E43">
        <f t="shared" si="5"/>
        <v>78.945161238247323</v>
      </c>
      <c r="F43">
        <f t="shared" si="6"/>
        <v>35.17230359725545</v>
      </c>
      <c r="G43">
        <f t="shared" si="7"/>
        <v>-399.0001530884868</v>
      </c>
      <c r="H43">
        <f>Main!N43</f>
        <v>9.5552999999999999E-2</v>
      </c>
    </row>
    <row r="44" spans="1:8" x14ac:dyDescent="0.25">
      <c r="A44">
        <f>Main!$K$2</f>
        <v>0.02</v>
      </c>
      <c r="B44">
        <f>Main!S44</f>
        <v>56.758830422675999</v>
      </c>
      <c r="C44">
        <f>Main!T44</f>
        <v>106.45878451375249</v>
      </c>
      <c r="D44">
        <f t="shared" si="4"/>
        <v>30.809352013062544</v>
      </c>
      <c r="E44">
        <f t="shared" si="5"/>
        <v>79.648607310192432</v>
      </c>
      <c r="F44">
        <f t="shared" si="6"/>
        <v>27.192300535485714</v>
      </c>
      <c r="G44">
        <f t="shared" si="7"/>
        <v>-412.24973892983741</v>
      </c>
      <c r="H44">
        <f>Main!N44</f>
        <v>0.102436</v>
      </c>
    </row>
    <row r="45" spans="1:8" x14ac:dyDescent="0.25">
      <c r="A45">
        <f>Main!$K$2</f>
        <v>0.02</v>
      </c>
      <c r="B45">
        <f>Main!S45</f>
        <v>58.342295273952338</v>
      </c>
      <c r="C45">
        <f>Main!T45</f>
        <v>106.63256403888042</v>
      </c>
      <c r="D45">
        <f t="shared" si="4"/>
        <v>32.402324159266392</v>
      </c>
      <c r="E45">
        <f t="shared" si="5"/>
        <v>80.192453320902146</v>
      </c>
      <c r="F45">
        <f t="shared" si="6"/>
        <v>18.947305756888966</v>
      </c>
      <c r="G45">
        <f t="shared" si="7"/>
        <v>-406.62477466035796</v>
      </c>
      <c r="H45">
        <f>Main!N45</f>
        <v>0.10954700000000001</v>
      </c>
    </row>
    <row r="46" spans="1:8" x14ac:dyDescent="0.25">
      <c r="A46">
        <f>Main!$K$2</f>
        <v>0.02</v>
      </c>
      <c r="B46">
        <f>Main!S46</f>
        <v>59.935249442412506</v>
      </c>
      <c r="C46">
        <f>Main!T46</f>
        <v>106.81918891673816</v>
      </c>
      <c r="D46">
        <f t="shared" si="4"/>
        <v>34.006173225684435</v>
      </c>
      <c r="E46">
        <f t="shared" si="5"/>
        <v>80.571399436039925</v>
      </c>
      <c r="F46">
        <f t="shared" si="6"/>
        <v>10.814810263681807</v>
      </c>
      <c r="G46">
        <f t="shared" si="7"/>
        <v>-210.74985041291683</v>
      </c>
      <c r="H46">
        <f>Main!N46</f>
        <v>0.11687599999999999</v>
      </c>
    </row>
    <row r="47" spans="1:8" x14ac:dyDescent="0.25">
      <c r="A47">
        <f>Main!$K$2</f>
        <v>0.02</v>
      </c>
      <c r="B47">
        <f>Main!S47</f>
        <v>61.534276301045374</v>
      </c>
      <c r="C47">
        <f>Main!T47</f>
        <v>107.01872154114697</v>
      </c>
      <c r="D47">
        <f t="shared" si="4"/>
        <v>35.617601214405234</v>
      </c>
      <c r="E47">
        <f t="shared" si="5"/>
        <v>80.787695641313562</v>
      </c>
      <c r="F47">
        <f t="shared" si="6"/>
        <v>6.5998132554234701</v>
      </c>
      <c r="G47">
        <f t="shared" si="7"/>
        <v>-1.8753539618998616</v>
      </c>
      <c r="H47">
        <f>Main!N47</f>
        <v>0.124406</v>
      </c>
    </row>
    <row r="48" spans="1:8" x14ac:dyDescent="0.25">
      <c r="A48">
        <f>Main!$K$2</f>
        <v>0.02</v>
      </c>
      <c r="B48">
        <f>Main!S48</f>
        <v>63.136006802017604</v>
      </c>
      <c r="C48">
        <f>Main!T48</f>
        <v>107.23113648663963</v>
      </c>
      <c r="D48">
        <f t="shared" si="4"/>
        <v>37.233355127231505</v>
      </c>
      <c r="E48">
        <f t="shared" si="5"/>
        <v>80.919691906422031</v>
      </c>
      <c r="F48">
        <f t="shared" si="6"/>
        <v>6.5623061761854729</v>
      </c>
      <c r="G48">
        <f t="shared" si="7"/>
        <v>-5.6252371667397938</v>
      </c>
      <c r="H48">
        <f>Main!N48</f>
        <v>0.13212299999999999</v>
      </c>
    </row>
    <row r="49" spans="1:8" x14ac:dyDescent="0.25">
      <c r="A49">
        <f>Main!$K$2</f>
        <v>0.02</v>
      </c>
      <c r="B49">
        <f>Main!S49</f>
        <v>64.738627796347231</v>
      </c>
      <c r="C49">
        <f>Main!T49</f>
        <v>107.45653516415575</v>
      </c>
      <c r="D49">
        <f t="shared" si="4"/>
        <v>38.851748965359945</v>
      </c>
      <c r="E49">
        <f t="shared" si="5"/>
        <v>81.05093802994574</v>
      </c>
      <c r="F49">
        <f t="shared" si="6"/>
        <v>6.449801432850677</v>
      </c>
      <c r="G49">
        <f t="shared" si="7"/>
        <v>-5.6252236557696733</v>
      </c>
      <c r="H49">
        <f>Main!N49</f>
        <v>0.140016</v>
      </c>
    </row>
    <row r="50" spans="1:8" x14ac:dyDescent="0.25">
      <c r="A50">
        <f>Main!$K$2</f>
        <v>0.02</v>
      </c>
      <c r="B50">
        <f>Main!S50</f>
        <v>66.341977413815997</v>
      </c>
      <c r="C50">
        <f>Main!T50</f>
        <v>107.6952228814275</v>
      </c>
      <c r="D50">
        <f t="shared" si="4"/>
        <v>40.47276772595886</v>
      </c>
      <c r="E50">
        <f t="shared" si="5"/>
        <v>81.179934058602754</v>
      </c>
      <c r="F50">
        <f t="shared" si="6"/>
        <v>6.3372969597352835</v>
      </c>
      <c r="G50">
        <f t="shared" si="7"/>
        <v>-3.7502733247762876</v>
      </c>
      <c r="H50">
        <f>Main!N50</f>
        <v>0.14808399999999999</v>
      </c>
    </row>
    <row r="51" spans="1:8" x14ac:dyDescent="0.25">
      <c r="A51">
        <f>Main!$K$2</f>
        <v>0.02</v>
      </c>
      <c r="B51">
        <f>Main!S51</f>
        <v>67.945857565926687</v>
      </c>
      <c r="C51">
        <f>Main!T51</f>
        <v>107.94749482828054</v>
      </c>
      <c r="D51">
        <f t="shared" si="4"/>
        <v>42.096366407130915</v>
      </c>
      <c r="E51">
        <f t="shared" si="5"/>
        <v>81.30667999779746</v>
      </c>
      <c r="F51">
        <f t="shared" si="6"/>
        <v>6.2622914932397578</v>
      </c>
      <c r="G51">
        <f t="shared" si="7"/>
        <v>-9.3750681555704318</v>
      </c>
      <c r="H51">
        <f>Main!N51</f>
        <v>0.15632399999999999</v>
      </c>
    </row>
    <row r="52" spans="1:8" x14ac:dyDescent="0.25">
      <c r="A52">
        <f>Main!$K$2</f>
        <v>0.02</v>
      </c>
      <c r="B52">
        <f>Main!S52</f>
        <v>69.550063737882752</v>
      </c>
      <c r="C52">
        <f>Main!T52</f>
        <v>108.213639606106</v>
      </c>
      <c r="D52">
        <f t="shared" si="4"/>
        <v>43.722500007086865</v>
      </c>
      <c r="E52">
        <f t="shared" si="5"/>
        <v>81.431925827662255</v>
      </c>
      <c r="F52">
        <f t="shared" si="6"/>
        <v>6.0747901301283491</v>
      </c>
      <c r="G52">
        <f t="shared" si="7"/>
        <v>-3.750244263578395</v>
      </c>
      <c r="H52">
        <f>Main!N52</f>
        <v>0.16473299999999999</v>
      </c>
    </row>
    <row r="53" spans="1:8" x14ac:dyDescent="0.25">
      <c r="A53">
        <f>Main!$K$2</f>
        <v>0.02</v>
      </c>
      <c r="B53">
        <f>Main!S53</f>
        <v>71.154399541102947</v>
      </c>
      <c r="C53">
        <f>Main!T53</f>
        <v>108.49394309896074</v>
      </c>
      <c r="D53">
        <f t="shared" si="4"/>
        <v>45.35113852364011</v>
      </c>
      <c r="E53">
        <f t="shared" si="5"/>
        <v>81.553421630264822</v>
      </c>
      <c r="F53">
        <f t="shared" si="6"/>
        <v>5.9997852448567812</v>
      </c>
      <c r="G53">
        <f t="shared" si="7"/>
        <v>19406.336108104937</v>
      </c>
      <c r="H53">
        <f>Main!N53</f>
        <v>0.17330899999999999</v>
      </c>
    </row>
    <row r="54" spans="1:8" x14ac:dyDescent="0.25">
      <c r="A54">
        <f>Main!$K$2</f>
        <v>0.02</v>
      </c>
      <c r="B54">
        <f>Main!S54</f>
        <v>72.758618399868865</v>
      </c>
      <c r="C54">
        <f>Main!T54</f>
        <v>108.78867362846401</v>
      </c>
      <c r="D54">
        <f t="shared" si="4"/>
        <v>46.982206956245406</v>
      </c>
      <c r="E54">
        <f t="shared" si="5"/>
        <v>81.673417335161957</v>
      </c>
      <c r="F54">
        <f t="shared" si="6"/>
        <v>394.12650740695551</v>
      </c>
      <c r="G54">
        <f t="shared" si="7"/>
        <v>-11307.963214696847</v>
      </c>
      <c r="H54">
        <f>Main!N54</f>
        <v>0.18204699999999999</v>
      </c>
    </row>
    <row r="55" spans="1:8" x14ac:dyDescent="0.25">
      <c r="A55">
        <f>Main!$K$2</f>
        <v>0.02</v>
      </c>
      <c r="B55">
        <f>Main!S55</f>
        <v>74.362511580481552</v>
      </c>
      <c r="C55">
        <f>Main!T55</f>
        <v>109.09810133385822</v>
      </c>
      <c r="D55">
        <f t="shared" si="4"/>
        <v>48.615675302948645</v>
      </c>
      <c r="E55">
        <f t="shared" si="5"/>
        <v>89.555947483301068</v>
      </c>
      <c r="F55">
        <f t="shared" si="6"/>
        <v>167.96724311301858</v>
      </c>
      <c r="G55">
        <f t="shared" si="7"/>
        <v>-10162.340764325429</v>
      </c>
      <c r="H55">
        <f>Main!N55</f>
        <v>0.190945</v>
      </c>
    </row>
    <row r="56" spans="1:8" x14ac:dyDescent="0.25">
      <c r="A56">
        <f>Main!$K$2</f>
        <v>0.02</v>
      </c>
      <c r="B56">
        <f>Main!S56</f>
        <v>76.114736746565356</v>
      </c>
      <c r="C56">
        <f>Main!T56</f>
        <v>109.46933449400868</v>
      </c>
      <c r="D56">
        <f t="shared" si="4"/>
        <v>50.406794252614667</v>
      </c>
      <c r="E56">
        <f t="shared" si="5"/>
        <v>92.91529234556144</v>
      </c>
      <c r="F56">
        <f t="shared" si="6"/>
        <v>-35.279572173489981</v>
      </c>
      <c r="G56">
        <f t="shared" si="7"/>
        <v>-112.50620248492993</v>
      </c>
      <c r="H56">
        <f>Main!N56</f>
        <v>0.21035400000000001</v>
      </c>
    </row>
    <row r="57" spans="1:8" x14ac:dyDescent="0.25">
      <c r="A57">
        <f>Main!$K$2</f>
        <v>0.02</v>
      </c>
      <c r="B57">
        <f>Main!S57</f>
        <v>77.923281470627202</v>
      </c>
      <c r="C57">
        <f>Main!T57</f>
        <v>109.89649558977058</v>
      </c>
      <c r="D57">
        <f t="shared" si="4"/>
        <v>52.265100099525895</v>
      </c>
      <c r="E57">
        <f t="shared" si="5"/>
        <v>92.20970090209164</v>
      </c>
      <c r="F57">
        <f t="shared" si="6"/>
        <v>-37.52969622318858</v>
      </c>
      <c r="G57">
        <f t="shared" si="7"/>
        <v>-97.513570520568749</v>
      </c>
      <c r="H57">
        <f>Main!N57</f>
        <v>0.23424300000000001</v>
      </c>
    </row>
    <row r="58" spans="1:8" x14ac:dyDescent="0.25">
      <c r="A58">
        <f>Main!$K$2</f>
        <v>0.02</v>
      </c>
      <c r="B58">
        <f>Main!S58</f>
        <v>79.707817320228514</v>
      </c>
      <c r="C58">
        <f>Main!T58</f>
        <v>110.36177333227391</v>
      </c>
      <c r="D58">
        <f t="shared" si="4"/>
        <v>54.109294117567728</v>
      </c>
      <c r="E58">
        <f t="shared" si="5"/>
        <v>91.459106977627869</v>
      </c>
      <c r="F58">
        <f t="shared" si="6"/>
        <v>-39.479967633599955</v>
      </c>
      <c r="G58">
        <f t="shared" si="7"/>
        <v>-73.14632851063152</v>
      </c>
      <c r="H58">
        <f>Main!N58</f>
        <v>0.257191</v>
      </c>
    </row>
    <row r="59" spans="1:8" x14ac:dyDescent="0.25">
      <c r="A59">
        <f>Main!$K$2</f>
        <v>0.02</v>
      </c>
      <c r="B59">
        <f>Main!S59</f>
        <v>81.467189736481416</v>
      </c>
      <c r="C59">
        <f>Main!T59</f>
        <v>110.86228906687823</v>
      </c>
      <c r="D59">
        <f t="shared" si="4"/>
        <v>55.938476257120286</v>
      </c>
      <c r="E59">
        <f t="shared" si="5"/>
        <v>90.66950762495587</v>
      </c>
      <c r="F59">
        <f t="shared" si="6"/>
        <v>-40.942894203812585</v>
      </c>
      <c r="G59">
        <f t="shared" si="7"/>
        <v>-60.025555260523333</v>
      </c>
      <c r="H59">
        <f>Main!N59</f>
        <v>0.279138</v>
      </c>
    </row>
    <row r="60" spans="1:8" x14ac:dyDescent="0.25">
      <c r="A60">
        <f>Main!$K$2</f>
        <v>0.02</v>
      </c>
      <c r="B60">
        <f>Main!S60</f>
        <v>83.200535200531107</v>
      </c>
      <c r="C60">
        <f>Main!T60</f>
        <v>111.39510924990354</v>
      </c>
      <c r="D60">
        <f t="shared" si="4"/>
        <v>57.751866409619403</v>
      </c>
      <c r="E60">
        <f t="shared" si="5"/>
        <v>89.850649740879618</v>
      </c>
      <c r="F60">
        <f t="shared" si="6"/>
        <v>-42.143405309023052</v>
      </c>
      <c r="G60">
        <f t="shared" si="7"/>
        <v>-41.279412659633863</v>
      </c>
      <c r="H60">
        <f>Main!N60</f>
        <v>0.30003200000000002</v>
      </c>
    </row>
    <row r="61" spans="1:8" x14ac:dyDescent="0.25">
      <c r="A61">
        <f>Main!$K$2</f>
        <v>0.02</v>
      </c>
      <c r="B61">
        <f>Main!S61</f>
        <v>84.907339723995079</v>
      </c>
      <c r="C61">
        <f>Main!T61</f>
        <v>111.95731385876603</v>
      </c>
      <c r="D61">
        <f t="shared" si="4"/>
        <v>59.548879404436995</v>
      </c>
      <c r="E61">
        <f t="shared" si="5"/>
        <v>89.007781634699157</v>
      </c>
      <c r="F61">
        <f t="shared" si="6"/>
        <v>-42.968993562215729</v>
      </c>
      <c r="G61">
        <f t="shared" si="7"/>
        <v>-31.90573778066863</v>
      </c>
      <c r="H61">
        <f>Main!N61</f>
        <v>0.31983400000000001</v>
      </c>
    </row>
    <row r="62" spans="1:8" x14ac:dyDescent="0.25">
      <c r="A62">
        <f>Main!$K$2</f>
        <v>0.02</v>
      </c>
      <c r="B62">
        <f>Main!S62</f>
        <v>86.587338319437222</v>
      </c>
      <c r="C62">
        <f>Main!T62</f>
        <v>112.54600630472108</v>
      </c>
      <c r="D62">
        <f t="shared" si="4"/>
        <v>61.329035037130978</v>
      </c>
      <c r="E62">
        <f t="shared" si="5"/>
        <v>88.148401763454842</v>
      </c>
      <c r="F62">
        <f t="shared" si="6"/>
        <v>-43.607108317829102</v>
      </c>
      <c r="G62">
        <f t="shared" si="7"/>
        <v>-18.781651341726047</v>
      </c>
      <c r="H62">
        <f>Main!N62</f>
        <v>0.33851199999999998</v>
      </c>
    </row>
    <row r="63" spans="1:8" x14ac:dyDescent="0.25">
      <c r="A63">
        <f>Main!$K$2</f>
        <v>0.02</v>
      </c>
      <c r="B63">
        <f>Main!S63</f>
        <v>88.240540570442008</v>
      </c>
      <c r="C63">
        <f>Main!T63</f>
        <v>113.15836127583938</v>
      </c>
      <c r="D63">
        <f t="shared" si="4"/>
        <v>63.092003072400075</v>
      </c>
      <c r="E63">
        <f t="shared" si="5"/>
        <v>87.27625959709826</v>
      </c>
      <c r="F63">
        <f t="shared" si="6"/>
        <v>-43.982741344663623</v>
      </c>
      <c r="G63">
        <f t="shared" si="7"/>
        <v>-5.6566137516256276</v>
      </c>
      <c r="H63">
        <f>Main!N63</f>
        <v>0.35604400000000003</v>
      </c>
    </row>
    <row r="64" spans="1:8" x14ac:dyDescent="0.25">
      <c r="A64">
        <f>Main!$K$2</f>
        <v>0.02</v>
      </c>
      <c r="B64">
        <f>Main!S64</f>
        <v>89.867143716689384</v>
      </c>
      <c r="C64">
        <f>Main!T64</f>
        <v>113.79162299134266</v>
      </c>
      <c r="D64">
        <f t="shared" si="4"/>
        <v>64.837528264342041</v>
      </c>
      <c r="E64">
        <f t="shared" si="5"/>
        <v>86.396604770204988</v>
      </c>
      <c r="F64">
        <f t="shared" si="6"/>
        <v>-44.095873619696135</v>
      </c>
      <c r="G64">
        <f t="shared" si="7"/>
        <v>-1.9050394364228396</v>
      </c>
      <c r="H64">
        <f>Main!N64</f>
        <v>0.37241299999999999</v>
      </c>
    </row>
    <row r="65" spans="1:8" x14ac:dyDescent="0.25">
      <c r="A65">
        <f>Main!$K$2</f>
        <v>0.02</v>
      </c>
      <c r="B65">
        <f>Main!S65</f>
        <v>91.467543735545547</v>
      </c>
      <c r="C65">
        <f>Main!T65</f>
        <v>114.44313592749418</v>
      </c>
      <c r="D65">
        <f t="shared" si="4"/>
        <v>66.56546035974614</v>
      </c>
      <c r="E65">
        <f t="shared" si="5"/>
        <v>85.514687297811065</v>
      </c>
      <c r="F65">
        <f t="shared" si="6"/>
        <v>-44.133974408424592</v>
      </c>
      <c r="G65">
        <f t="shared" si="7"/>
        <v>3.7216919839266893</v>
      </c>
      <c r="H65">
        <f>Main!N65</f>
        <v>0.38760899999999998</v>
      </c>
    </row>
    <row r="66" spans="1:8" x14ac:dyDescent="0.25">
      <c r="A66">
        <f>Main!$K$2</f>
        <v>0.02</v>
      </c>
      <c r="B66">
        <f>Main!S66</f>
        <v>93.042317256029705</v>
      </c>
      <c r="C66">
        <f>Main!T66</f>
        <v>115.11036381707831</v>
      </c>
      <c r="D66">
        <f t="shared" si="4"/>
        <v>68.275754105702362</v>
      </c>
      <c r="E66">
        <f t="shared" si="5"/>
        <v>84.632007809642573</v>
      </c>
      <c r="F66">
        <f t="shared" si="6"/>
        <v>-44.059540568746058</v>
      </c>
      <c r="G66">
        <f t="shared" si="7"/>
        <v>11.223651663172518</v>
      </c>
      <c r="H66">
        <f>Main!N66</f>
        <v>0.40162900000000001</v>
      </c>
    </row>
    <row r="67" spans="1:8" x14ac:dyDescent="0.25">
      <c r="A67">
        <f>Main!$K$2</f>
        <v>0.02</v>
      </c>
      <c r="B67">
        <f>Main!S67</f>
        <v>94.592137763940457</v>
      </c>
      <c r="C67">
        <f>Main!T67</f>
        <v>115.79086884396334</v>
      </c>
      <c r="D67">
        <f t="shared" si="4"/>
        <v>69.968394261895213</v>
      </c>
      <c r="E67">
        <f t="shared" si="5"/>
        <v>83.750816998267652</v>
      </c>
      <c r="F67">
        <f t="shared" si="6"/>
        <v>-43.835067535482608</v>
      </c>
      <c r="G67">
        <f t="shared" si="7"/>
        <v>13.101177103180817</v>
      </c>
      <c r="H67">
        <f>Main!N67</f>
        <v>0.41447200000000001</v>
      </c>
    </row>
    <row r="68" spans="1:8" x14ac:dyDescent="0.25">
      <c r="A68">
        <f>Main!$K$2</f>
        <v>0.02</v>
      </c>
      <c r="B68">
        <f>Main!S68</f>
        <v>96.117775981377292</v>
      </c>
      <c r="C68">
        <f>Main!T68</f>
        <v>116.48232221813045</v>
      </c>
      <c r="D68">
        <f t="shared" si="4"/>
        <v>71.643410601860566</v>
      </c>
      <c r="E68">
        <f t="shared" si="5"/>
        <v>82.874115647558</v>
      </c>
      <c r="F68">
        <f t="shared" si="6"/>
        <v>-43.573043993418992</v>
      </c>
      <c r="G68">
        <f t="shared" si="7"/>
        <v>14.978761933903684</v>
      </c>
      <c r="H68">
        <f>Main!N68</f>
        <v>0.42614000000000002</v>
      </c>
    </row>
    <row r="69" spans="1:8" x14ac:dyDescent="0.25">
      <c r="A69">
        <f>Main!$K$2</f>
        <v>0.02</v>
      </c>
      <c r="B69">
        <f>Main!S69</f>
        <v>97.62009963467284</v>
      </c>
      <c r="C69">
        <f>Main!T69</f>
        <v>117.18251594739019</v>
      </c>
      <c r="D69">
        <f t="shared" ref="D69:D131" si="8">D68 + SQRT( (B69-B68)^2  + (C69-C68)^2 )</f>
        <v>73.300892914811726</v>
      </c>
      <c r="E69">
        <f t="shared" ref="E69:E131" si="9" xml:space="preserve"> IF(ISBLANK(D70), 0, (D70-D69)/$A69 )</f>
        <v>82.00265476768962</v>
      </c>
      <c r="F69">
        <f t="shared" ref="F69:F131" si="10" xml:space="preserve"> (E70-E69)/$A69</f>
        <v>-43.273468754740918</v>
      </c>
      <c r="G69">
        <f t="shared" ref="G69:G131" si="11" xml:space="preserve"> (F70-F69)/$A69</f>
        <v>14.981429711014016</v>
      </c>
      <c r="H69">
        <f>Main!N69</f>
        <v>0.436639</v>
      </c>
    </row>
    <row r="70" spans="1:8" x14ac:dyDescent="0.25">
      <c r="A70">
        <f>Main!$K$2</f>
        <v>0.02</v>
      </c>
      <c r="B70">
        <f>Main!S70</f>
        <v>99.100021224722568</v>
      </c>
      <c r="C70">
        <f>Main!T70</f>
        <v>117.88934424541188</v>
      </c>
      <c r="D70">
        <f t="shared" si="8"/>
        <v>74.940946010165518</v>
      </c>
      <c r="E70">
        <f t="shared" si="9"/>
        <v>81.137185392594802</v>
      </c>
      <c r="F70">
        <f t="shared" si="10"/>
        <v>-42.973840160520638</v>
      </c>
      <c r="G70">
        <f t="shared" si="11"/>
        <v>14.98406634503624</v>
      </c>
      <c r="H70">
        <f>Main!N70</f>
        <v>0.44597599999999998</v>
      </c>
    </row>
    <row r="71" spans="1:8" x14ac:dyDescent="0.25">
      <c r="A71">
        <f>Main!$K$2</f>
        <v>0.02</v>
      </c>
      <c r="B71">
        <f>Main!S71</f>
        <v>100.55848813929137</v>
      </c>
      <c r="C71">
        <f>Main!T71</f>
        <v>118.60080148269398</v>
      </c>
      <c r="D71">
        <f t="shared" si="8"/>
        <v>76.563689718017415</v>
      </c>
      <c r="E71">
        <f t="shared" si="9"/>
        <v>80.277708589384389</v>
      </c>
      <c r="F71">
        <f t="shared" si="10"/>
        <v>-42.674158833619913</v>
      </c>
      <c r="G71">
        <f t="shared" si="11"/>
        <v>11.236713072904081</v>
      </c>
      <c r="H71">
        <f>Main!N71</f>
        <v>0.45415899999999998</v>
      </c>
    </row>
    <row r="72" spans="1:8" x14ac:dyDescent="0.25">
      <c r="A72">
        <f>Main!$K$2</f>
        <v>0.02</v>
      </c>
      <c r="B72">
        <f>Main!S72</f>
        <v>101.99646068691976</v>
      </c>
      <c r="C72">
        <f>Main!T72</f>
        <v>119.31497173607336</v>
      </c>
      <c r="D72">
        <f t="shared" si="8"/>
        <v>78.169243889805102</v>
      </c>
      <c r="E72">
        <f t="shared" si="9"/>
        <v>79.424225412711991</v>
      </c>
      <c r="F72">
        <f t="shared" si="10"/>
        <v>-42.449424572161831</v>
      </c>
      <c r="G72">
        <f t="shared" si="11"/>
        <v>14.9892150265174</v>
      </c>
      <c r="H72">
        <f>Main!N72</f>
        <v>0.46119599999999999</v>
      </c>
    </row>
    <row r="73" spans="1:8" x14ac:dyDescent="0.25">
      <c r="A73">
        <f>Main!$K$2</f>
        <v>0.02</v>
      </c>
      <c r="B73">
        <f>Main!S73</f>
        <v>103.41490448852699</v>
      </c>
      <c r="C73">
        <f>Main!T73</f>
        <v>120.03002433179324</v>
      </c>
      <c r="D73">
        <f t="shared" si="8"/>
        <v>79.757728398059342</v>
      </c>
      <c r="E73">
        <f t="shared" si="9"/>
        <v>78.575236921268754</v>
      </c>
      <c r="F73">
        <f t="shared" si="10"/>
        <v>-42.149640271631483</v>
      </c>
      <c r="G73">
        <f t="shared" si="11"/>
        <v>7.491797804348721</v>
      </c>
      <c r="H73">
        <f>Main!N73</f>
        <v>0.46709499999999998</v>
      </c>
    </row>
    <row r="74" spans="1:8" x14ac:dyDescent="0.25">
      <c r="A74">
        <f>Main!$K$2</f>
        <v>0.02</v>
      </c>
      <c r="B74">
        <f>Main!S74</f>
        <v>104.81475810129045</v>
      </c>
      <c r="C74">
        <f>Main!T74</f>
        <v>120.74419308336844</v>
      </c>
      <c r="D74">
        <f t="shared" si="8"/>
        <v>81.329233136484717</v>
      </c>
      <c r="E74">
        <f t="shared" si="9"/>
        <v>77.732244115836124</v>
      </c>
      <c r="F74">
        <f t="shared" si="10"/>
        <v>-41.999804315544509</v>
      </c>
      <c r="G74">
        <f t="shared" si="11"/>
        <v>9.3692787608290473</v>
      </c>
      <c r="H74">
        <f>Main!N74</f>
        <v>0.471862</v>
      </c>
    </row>
    <row r="75" spans="1:8" x14ac:dyDescent="0.25">
      <c r="A75">
        <f>Main!$K$2</f>
        <v>0.02</v>
      </c>
      <c r="B75">
        <f>Main!S75</f>
        <v>106.19697881252654</v>
      </c>
      <c r="C75">
        <f>Main!T75</f>
        <v>121.45580155404849</v>
      </c>
      <c r="D75">
        <f t="shared" si="8"/>
        <v>82.88387801880144</v>
      </c>
      <c r="E75">
        <f t="shared" si="9"/>
        <v>76.892248029525234</v>
      </c>
      <c r="F75">
        <f t="shared" si="10"/>
        <v>-41.812418740327928</v>
      </c>
      <c r="G75">
        <f t="shared" si="11"/>
        <v>-3.2076226119670537E-3</v>
      </c>
      <c r="H75">
        <f>Main!N75</f>
        <v>0.47550500000000001</v>
      </c>
    </row>
    <row r="76" spans="1:8" x14ac:dyDescent="0.25">
      <c r="A76">
        <f>Main!$K$2</f>
        <v>0.02</v>
      </c>
      <c r="B76">
        <f>Main!S76</f>
        <v>107.56245919871469</v>
      </c>
      <c r="C76">
        <f>Main!T76</f>
        <v>122.16321263520928</v>
      </c>
      <c r="D76">
        <f t="shared" si="8"/>
        <v>84.421722979391944</v>
      </c>
      <c r="E76">
        <f t="shared" si="9"/>
        <v>76.055999654718676</v>
      </c>
      <c r="F76">
        <f t="shared" si="10"/>
        <v>-41.812482892780167</v>
      </c>
      <c r="G76">
        <f t="shared" si="11"/>
        <v>3.7493258506771099</v>
      </c>
      <c r="H76">
        <f>Main!N76</f>
        <v>0.47802800000000001</v>
      </c>
    </row>
    <row r="77" spans="1:8" x14ac:dyDescent="0.25">
      <c r="A77">
        <f>Main!$K$2</f>
        <v>0.02</v>
      </c>
      <c r="B77">
        <f>Main!S77</f>
        <v>108.91208771911086</v>
      </c>
      <c r="C77">
        <f>Main!T77</f>
        <v>122.86485990437285</v>
      </c>
      <c r="D77">
        <f t="shared" si="8"/>
        <v>85.942842972486318</v>
      </c>
      <c r="E77">
        <f t="shared" si="9"/>
        <v>75.219749996863072</v>
      </c>
      <c r="F77">
        <f t="shared" si="10"/>
        <v>-41.737496375766625</v>
      </c>
      <c r="G77">
        <f t="shared" si="11"/>
        <v>-1.8730605688688229</v>
      </c>
      <c r="H77">
        <f>Main!N77</f>
        <v>0.47943599999999997</v>
      </c>
    </row>
    <row r="78" spans="1:8" x14ac:dyDescent="0.25">
      <c r="A78">
        <f>Main!$K$2</f>
        <v>0.02</v>
      </c>
      <c r="B78">
        <f>Main!S78</f>
        <v>110.24666695731229</v>
      </c>
      <c r="C78">
        <f>Main!T78</f>
        <v>123.55919597055258</v>
      </c>
      <c r="D78">
        <f t="shared" si="8"/>
        <v>87.447237972423579</v>
      </c>
      <c r="E78">
        <f t="shared" si="9"/>
        <v>74.38500006934774</v>
      </c>
      <c r="F78">
        <f t="shared" si="10"/>
        <v>-41.774957587144002</v>
      </c>
      <c r="G78">
        <f t="shared" si="11"/>
        <v>-7.4953210056349917</v>
      </c>
      <c r="H78">
        <f>Main!N78</f>
        <v>0.47972900000000002</v>
      </c>
    </row>
    <row r="79" spans="1:8" x14ac:dyDescent="0.25">
      <c r="A79">
        <f>Main!$K$2</f>
        <v>0.02</v>
      </c>
      <c r="B79">
        <f>Main!S79</f>
        <v>111.56700034840705</v>
      </c>
      <c r="C79">
        <f>Main!T79</f>
        <v>124.24474030207824</v>
      </c>
      <c r="D79">
        <f t="shared" si="8"/>
        <v>88.934937973810534</v>
      </c>
      <c r="E79">
        <f t="shared" si="9"/>
        <v>73.54950091760486</v>
      </c>
      <c r="F79">
        <f t="shared" si="10"/>
        <v>-41.924864007256701</v>
      </c>
      <c r="G79">
        <f t="shared" si="11"/>
        <v>-5.6174427758293177</v>
      </c>
      <c r="H79">
        <f>Main!N79</f>
        <v>0.47890899999999997</v>
      </c>
    </row>
    <row r="80" spans="1:8" x14ac:dyDescent="0.25">
      <c r="A80">
        <f>Main!$K$2</f>
        <v>0.02</v>
      </c>
      <c r="B80">
        <f>Main!S80</f>
        <v>112.87382273138319</v>
      </c>
      <c r="C80">
        <f>Main!T80</f>
        <v>124.92003793530679</v>
      </c>
      <c r="D80">
        <f t="shared" si="8"/>
        <v>90.405927992162631</v>
      </c>
      <c r="E80">
        <f t="shared" si="9"/>
        <v>72.711003637459726</v>
      </c>
      <c r="F80">
        <f t="shared" si="10"/>
        <v>-42.037212862773288</v>
      </c>
      <c r="G80">
        <f t="shared" si="11"/>
        <v>-14.989274873755676</v>
      </c>
      <c r="H80">
        <f>Main!N80</f>
        <v>0.47697499999999998</v>
      </c>
    </row>
    <row r="81" spans="1:8" x14ac:dyDescent="0.25">
      <c r="A81">
        <f>Main!$K$2</f>
        <v>0.02</v>
      </c>
      <c r="B81">
        <f>Main!S81</f>
        <v>114.16779747009636</v>
      </c>
      <c r="C81">
        <f>Main!T81</f>
        <v>125.58365333262577</v>
      </c>
      <c r="D81">
        <f t="shared" si="8"/>
        <v>91.860148064911826</v>
      </c>
      <c r="E81">
        <f t="shared" si="9"/>
        <v>71.87025938020426</v>
      </c>
      <c r="F81">
        <f t="shared" si="10"/>
        <v>-42.336998360248401</v>
      </c>
      <c r="G81">
        <f t="shared" si="11"/>
        <v>-7.4860480410166019</v>
      </c>
      <c r="H81">
        <f>Main!N81</f>
        <v>0.47392299999999998</v>
      </c>
    </row>
    <row r="82" spans="1:8" x14ac:dyDescent="0.25">
      <c r="A82">
        <f>Main!$K$2</f>
        <v>0.02</v>
      </c>
      <c r="B82">
        <f>Main!S82</f>
        <v>115.44956417235872</v>
      </c>
      <c r="C82">
        <f>Main!T82</f>
        <v>126.23419756196196</v>
      </c>
      <c r="D82">
        <f t="shared" si="8"/>
        <v>93.297553252515911</v>
      </c>
      <c r="E82">
        <f t="shared" si="9"/>
        <v>71.023519412999292</v>
      </c>
      <c r="F82">
        <f t="shared" si="10"/>
        <v>-42.486719321068733</v>
      </c>
      <c r="G82">
        <f t="shared" si="11"/>
        <v>-38.357361395569001</v>
      </c>
      <c r="H82">
        <f>Main!N82</f>
        <v>0.46975</v>
      </c>
    </row>
    <row r="83" spans="1:8" x14ac:dyDescent="0.25">
      <c r="A83">
        <f>Main!$K$2</f>
        <v>0.02</v>
      </c>
      <c r="B83">
        <f>Main!S83</f>
        <v>116.71965707794212</v>
      </c>
      <c r="C83">
        <f>Main!T83</f>
        <v>126.87027942391857</v>
      </c>
      <c r="D83">
        <f t="shared" si="8"/>
        <v>94.718023640775897</v>
      </c>
      <c r="E83">
        <f t="shared" si="9"/>
        <v>70.173785026577917</v>
      </c>
      <c r="F83">
        <f t="shared" si="10"/>
        <v>-43.253866548980113</v>
      </c>
      <c r="G83">
        <f t="shared" si="11"/>
        <v>-209.72923067041904</v>
      </c>
      <c r="H83">
        <f>Main!N83</f>
        <v>0.46444800000000003</v>
      </c>
    </row>
    <row r="84" spans="1:8" x14ac:dyDescent="0.25">
      <c r="A84">
        <f>Main!$K$2</f>
        <v>0.02</v>
      </c>
      <c r="B84">
        <f>Main!S84</f>
        <v>117.97861783414895</v>
      </c>
      <c r="C84">
        <f>Main!T84</f>
        <v>127.49057117488232</v>
      </c>
      <c r="D84">
        <f t="shared" si="8"/>
        <v>96.121499341307455</v>
      </c>
      <c r="E84">
        <f t="shared" si="9"/>
        <v>69.308707695598315</v>
      </c>
      <c r="F84">
        <f t="shared" si="10"/>
        <v>-47.448451162388494</v>
      </c>
      <c r="G84">
        <f t="shared" si="11"/>
        <v>-342.72749316066609</v>
      </c>
      <c r="H84">
        <f>Main!N84</f>
        <v>0.458013</v>
      </c>
    </row>
    <row r="85" spans="1:8" x14ac:dyDescent="0.25">
      <c r="A85">
        <f>Main!$K$2</f>
        <v>0.02</v>
      </c>
      <c r="B85">
        <f>Main!S85</f>
        <v>119.22671807850766</v>
      </c>
      <c r="C85">
        <f>Main!T85</f>
        <v>128.09366699231541</v>
      </c>
      <c r="D85">
        <f t="shared" si="8"/>
        <v>97.507673495219422</v>
      </c>
      <c r="E85">
        <f t="shared" si="9"/>
        <v>68.359738672350545</v>
      </c>
      <c r="F85">
        <f t="shared" si="10"/>
        <v>-54.303001025601816</v>
      </c>
      <c r="G85">
        <f t="shared" si="11"/>
        <v>-333.60080613142884</v>
      </c>
      <c r="H85">
        <f>Main!N85</f>
        <v>0.45043699999999998</v>
      </c>
    </row>
    <row r="86" spans="1:8" x14ac:dyDescent="0.25">
      <c r="A86">
        <f>Main!$K$2</f>
        <v>0.02</v>
      </c>
      <c r="B86">
        <f>Main!S86</f>
        <v>120.46292860493651</v>
      </c>
      <c r="C86">
        <f>Main!T86</f>
        <v>128.67762339726985</v>
      </c>
      <c r="D86">
        <f t="shared" si="8"/>
        <v>98.874868268666432</v>
      </c>
      <c r="E86">
        <f t="shared" si="9"/>
        <v>67.273678651838509</v>
      </c>
      <c r="F86">
        <f t="shared" si="10"/>
        <v>-60.975017148230393</v>
      </c>
      <c r="G86">
        <f t="shared" si="11"/>
        <v>-305.10135757744195</v>
      </c>
      <c r="H86">
        <f>Main!N86</f>
        <v>0.441722</v>
      </c>
    </row>
    <row r="87" spans="1:8" x14ac:dyDescent="0.25">
      <c r="A87">
        <f>Main!$K$2</f>
        <v>0.02</v>
      </c>
      <c r="B87">
        <f>Main!S87</f>
        <v>121.68516028644567</v>
      </c>
      <c r="C87">
        <f>Main!T87</f>
        <v>129.24016126484469</v>
      </c>
      <c r="D87">
        <f t="shared" si="8"/>
        <v>100.2203418417032</v>
      </c>
      <c r="E87">
        <f t="shared" si="9"/>
        <v>66.054178308873901</v>
      </c>
      <c r="F87">
        <f t="shared" si="10"/>
        <v>-67.077044299779232</v>
      </c>
      <c r="G87">
        <f t="shared" si="11"/>
        <v>-288.60279409315126</v>
      </c>
      <c r="H87">
        <f>Main!N87</f>
        <v>0.43188799999999999</v>
      </c>
    </row>
    <row r="88" spans="1:8" x14ac:dyDescent="0.25">
      <c r="A88">
        <f>Main!$K$2</f>
        <v>0.02</v>
      </c>
      <c r="B88">
        <f>Main!S88</f>
        <v>122.89127510443363</v>
      </c>
      <c r="C88">
        <f>Main!T88</f>
        <v>129.7791870848701</v>
      </c>
      <c r="D88">
        <f t="shared" si="8"/>
        <v>101.54142540788068</v>
      </c>
      <c r="E88">
        <f t="shared" si="9"/>
        <v>64.712637422878316</v>
      </c>
      <c r="F88">
        <f t="shared" si="10"/>
        <v>-72.849100181642257</v>
      </c>
      <c r="G88">
        <f t="shared" si="11"/>
        <v>-263.98156357210212</v>
      </c>
      <c r="H88">
        <f>Main!N88</f>
        <v>0.42096</v>
      </c>
    </row>
    <row r="89" spans="1:8" x14ac:dyDescent="0.25">
      <c r="A89">
        <f>Main!$K$2</f>
        <v>0.02</v>
      </c>
      <c r="B89">
        <f>Main!S89</f>
        <v>124.07921566308602</v>
      </c>
      <c r="C89">
        <f>Main!T89</f>
        <v>130.29288680844274</v>
      </c>
      <c r="D89">
        <f t="shared" si="8"/>
        <v>102.83567815633825</v>
      </c>
      <c r="E89">
        <f t="shared" si="9"/>
        <v>63.255655419245471</v>
      </c>
      <c r="F89">
        <f t="shared" si="10"/>
        <v>-78.128731453084299</v>
      </c>
      <c r="G89">
        <f t="shared" si="11"/>
        <v>-245.23662944808677</v>
      </c>
      <c r="H89">
        <f>Main!N89</f>
        <v>0.40897800000000001</v>
      </c>
    </row>
    <row r="90" spans="1:8" x14ac:dyDescent="0.25">
      <c r="A90">
        <f>Main!$K$2</f>
        <v>0.02</v>
      </c>
      <c r="B90">
        <f>Main!S90</f>
        <v>125.24691503377697</v>
      </c>
      <c r="C90">
        <f>Main!T90</f>
        <v>130.77970233479257</v>
      </c>
      <c r="D90">
        <f t="shared" si="8"/>
        <v>104.10079126472316</v>
      </c>
      <c r="E90">
        <f t="shared" si="9"/>
        <v>61.693080790183785</v>
      </c>
      <c r="F90">
        <f t="shared" si="10"/>
        <v>-83.033464042046035</v>
      </c>
      <c r="G90">
        <f t="shared" si="11"/>
        <v>-221.11915219191758</v>
      </c>
      <c r="H90">
        <f>Main!N90</f>
        <v>0.39599099999999998</v>
      </c>
    </row>
    <row r="91" spans="1:8" x14ac:dyDescent="0.25">
      <c r="A91">
        <f>Main!$K$2</f>
        <v>0.02</v>
      </c>
      <c r="B91">
        <f>Main!S91</f>
        <v>126.3923547954064</v>
      </c>
      <c r="C91">
        <f>Main!T91</f>
        <v>131.23837677209204</v>
      </c>
      <c r="D91">
        <f t="shared" si="8"/>
        <v>105.33465288052683</v>
      </c>
      <c r="E91">
        <f t="shared" si="9"/>
        <v>60.032411509342865</v>
      </c>
      <c r="F91">
        <f t="shared" si="10"/>
        <v>-87.455847085884386</v>
      </c>
      <c r="G91">
        <f t="shared" si="11"/>
        <v>-196.37850258824585</v>
      </c>
      <c r="H91">
        <f>Main!N91</f>
        <v>0.38206099999999998</v>
      </c>
    </row>
    <row r="92" spans="1:8" x14ac:dyDescent="0.25">
      <c r="A92">
        <f>Main!$K$2</f>
        <v>0.02</v>
      </c>
      <c r="B92">
        <f>Main!S92</f>
        <v>127.51352628591164</v>
      </c>
      <c r="C92">
        <f>Main!T92</f>
        <v>131.66794709407566</v>
      </c>
      <c r="D92">
        <f t="shared" si="8"/>
        <v>106.53530111071369</v>
      </c>
      <c r="E92">
        <f t="shared" si="9"/>
        <v>58.283294567625177</v>
      </c>
      <c r="F92">
        <f t="shared" si="10"/>
        <v>-91.383417137649303</v>
      </c>
      <c r="G92">
        <f t="shared" si="11"/>
        <v>-179.88800694190843</v>
      </c>
      <c r="H92">
        <f>Main!N92</f>
        <v>0.36725999999999998</v>
      </c>
    </row>
    <row r="93" spans="1:8" x14ac:dyDescent="0.25">
      <c r="A93">
        <f>Main!$K$2</f>
        <v>0.02</v>
      </c>
      <c r="B93">
        <f>Main!S93</f>
        <v>128.60847710670419</v>
      </c>
      <c r="C93">
        <f>Main!T93</f>
        <v>132.06777164348247</v>
      </c>
      <c r="D93">
        <f t="shared" si="8"/>
        <v>107.70096700206619</v>
      </c>
      <c r="E93">
        <f t="shared" si="9"/>
        <v>56.455626224872191</v>
      </c>
      <c r="F93">
        <f t="shared" si="10"/>
        <v>-94.981177276487472</v>
      </c>
      <c r="G93">
        <f t="shared" si="11"/>
        <v>-160.89844210043225</v>
      </c>
      <c r="H93">
        <f>Main!N93</f>
        <v>0.35167300000000001</v>
      </c>
    </row>
    <row r="94" spans="1:8" x14ac:dyDescent="0.25">
      <c r="A94">
        <f>Main!$K$2</f>
        <v>0.02</v>
      </c>
      <c r="B94">
        <f>Main!S94</f>
        <v>129.67532699072351</v>
      </c>
      <c r="C94">
        <f>Main!T94</f>
        <v>132.43753699873491</v>
      </c>
      <c r="D94">
        <f t="shared" si="8"/>
        <v>108.83007952656364</v>
      </c>
      <c r="E94">
        <f t="shared" si="9"/>
        <v>54.556002679342441</v>
      </c>
      <c r="F94">
        <f t="shared" si="10"/>
        <v>-98.199146118496117</v>
      </c>
      <c r="G94">
        <f t="shared" si="11"/>
        <v>-140.28435743540513</v>
      </c>
      <c r="H94">
        <f>Main!N94</f>
        <v>0.33539799999999997</v>
      </c>
    </row>
    <row r="95" spans="1:8" x14ac:dyDescent="0.25">
      <c r="A95">
        <f>Main!$K$2</f>
        <v>0.02</v>
      </c>
      <c r="B95">
        <f>Main!S95</f>
        <v>130.71222149839775</v>
      </c>
      <c r="C95">
        <f>Main!T95</f>
        <v>132.77723208450206</v>
      </c>
      <c r="D95">
        <f t="shared" si="8"/>
        <v>109.92119958015049</v>
      </c>
      <c r="E95">
        <f t="shared" si="9"/>
        <v>52.592019756972519</v>
      </c>
      <c r="F95">
        <f t="shared" si="10"/>
        <v>-101.00483326720422</v>
      </c>
      <c r="G95">
        <f t="shared" si="11"/>
        <v>-131.04241447869924</v>
      </c>
      <c r="H95">
        <f>Main!N95</f>
        <v>0.31854199999999999</v>
      </c>
    </row>
    <row r="96" spans="1:8" x14ac:dyDescent="0.25">
      <c r="A96">
        <f>Main!$K$2</f>
        <v>0.02</v>
      </c>
      <c r="B96">
        <f>Main!S96</f>
        <v>131.71736760489767</v>
      </c>
      <c r="C96">
        <f>Main!T96</f>
        <v>133.08715065676768</v>
      </c>
      <c r="D96">
        <f t="shared" si="8"/>
        <v>110.97303997528994</v>
      </c>
      <c r="E96">
        <f t="shared" si="9"/>
        <v>50.571923091628435</v>
      </c>
      <c r="F96">
        <f t="shared" si="10"/>
        <v>-103.6256815567782</v>
      </c>
      <c r="G96">
        <f t="shared" si="11"/>
        <v>-121.79891045782654</v>
      </c>
      <c r="H96">
        <f>Main!N96</f>
        <v>0.30122199999999999</v>
      </c>
    </row>
    <row r="97" spans="1:8" x14ac:dyDescent="0.25">
      <c r="A97">
        <f>Main!$K$2</f>
        <v>0.02</v>
      </c>
      <c r="B97">
        <f>Main!S97</f>
        <v>132.68906462307939</v>
      </c>
      <c r="C97">
        <f>Main!T97</f>
        <v>133.36788659485006</v>
      </c>
      <c r="D97">
        <f t="shared" si="8"/>
        <v>111.9844784371225</v>
      </c>
      <c r="E97">
        <f t="shared" si="9"/>
        <v>48.49940946049287</v>
      </c>
      <c r="F97">
        <f t="shared" si="10"/>
        <v>-106.06165976593473</v>
      </c>
      <c r="G97">
        <f t="shared" si="11"/>
        <v>-110.05372932615387</v>
      </c>
      <c r="H97">
        <f>Main!N97</f>
        <v>0.28356599999999998</v>
      </c>
    </row>
    <row r="98" spans="1:8" x14ac:dyDescent="0.25">
      <c r="A98">
        <f>Main!$K$2</f>
        <v>0.02</v>
      </c>
      <c r="B98">
        <f>Main!S98</f>
        <v>133.62563838102662</v>
      </c>
      <c r="C98">
        <f>Main!T98</f>
        <v>133.62028842355031</v>
      </c>
      <c r="D98">
        <f t="shared" si="8"/>
        <v>112.95446662633236</v>
      </c>
      <c r="E98">
        <f t="shared" si="9"/>
        <v>46.378176265174176</v>
      </c>
      <c r="F98">
        <f t="shared" si="10"/>
        <v>-108.26273435245781</v>
      </c>
      <c r="G98">
        <f t="shared" si="11"/>
        <v>-114.42785685389367</v>
      </c>
      <c r="H98">
        <f>Main!N98</f>
        <v>0.26570700000000003</v>
      </c>
    </row>
    <row r="99" spans="1:8" x14ac:dyDescent="0.25">
      <c r="A99">
        <f>Main!$K$2</f>
        <v>0.02</v>
      </c>
      <c r="B99">
        <f>Main!S99</f>
        <v>134.52546065572642</v>
      </c>
      <c r="C99">
        <f>Main!T99</f>
        <v>133.84544163233826</v>
      </c>
      <c r="D99">
        <f t="shared" si="8"/>
        <v>113.88203015163585</v>
      </c>
      <c r="E99">
        <f t="shared" si="9"/>
        <v>44.21292157812502</v>
      </c>
      <c r="F99">
        <f t="shared" si="10"/>
        <v>-110.55129148953569</v>
      </c>
      <c r="G99">
        <f t="shared" si="11"/>
        <v>-96.174079430966231</v>
      </c>
      <c r="H99">
        <f>Main!N99</f>
        <v>0.247783</v>
      </c>
    </row>
    <row r="100" spans="1:8" x14ac:dyDescent="0.25">
      <c r="A100">
        <f>Main!$K$2</f>
        <v>0.02</v>
      </c>
      <c r="B100">
        <f>Main!S100</f>
        <v>135.38698705868856</v>
      </c>
      <c r="C100">
        <f>Main!T100</f>
        <v>134.04465315506849</v>
      </c>
      <c r="D100">
        <f t="shared" si="8"/>
        <v>114.76628858319835</v>
      </c>
      <c r="E100">
        <f t="shared" si="9"/>
        <v>42.001895748334306</v>
      </c>
      <c r="F100">
        <f t="shared" si="10"/>
        <v>-112.47477307815501</v>
      </c>
      <c r="G100">
        <f t="shared" si="11"/>
        <v>41.215396818117256</v>
      </c>
      <c r="H100">
        <f>Main!N100</f>
        <v>0.229938</v>
      </c>
    </row>
    <row r="101" spans="1:8" x14ac:dyDescent="0.25">
      <c r="A101">
        <f>Main!$K$2</f>
        <v>0.02</v>
      </c>
      <c r="B101">
        <f>Main!S101</f>
        <v>136.20865041198215</v>
      </c>
      <c r="C101">
        <f>Main!T101</f>
        <v>134.21939019303099</v>
      </c>
      <c r="D101">
        <f t="shared" si="8"/>
        <v>115.60632649816503</v>
      </c>
      <c r="E101">
        <f t="shared" si="9"/>
        <v>39.752400286771206</v>
      </c>
      <c r="F101">
        <f t="shared" si="10"/>
        <v>-111.65046514179267</v>
      </c>
      <c r="G101">
        <f t="shared" si="11"/>
        <v>149.85581576354434</v>
      </c>
      <c r="H101">
        <f>Main!N101</f>
        <v>0.212314</v>
      </c>
    </row>
    <row r="102" spans="1:8" x14ac:dyDescent="0.25">
      <c r="A102">
        <f>Main!$K$2</f>
        <v>0.02</v>
      </c>
      <c r="B102">
        <f>Main!S102</f>
        <v>136.98905285233931</v>
      </c>
      <c r="C102">
        <f>Main!T102</f>
        <v>134.37128937837596</v>
      </c>
      <c r="D102">
        <f t="shared" si="8"/>
        <v>116.40137450390046</v>
      </c>
      <c r="E102">
        <f t="shared" si="9"/>
        <v>37.519390983935352</v>
      </c>
      <c r="F102">
        <f t="shared" si="10"/>
        <v>-108.65334882652178</v>
      </c>
      <c r="G102">
        <f t="shared" si="11"/>
        <v>133.36327253377078</v>
      </c>
      <c r="H102">
        <f>Main!N102</f>
        <v>0.19505</v>
      </c>
    </row>
    <row r="103" spans="1:8" x14ac:dyDescent="0.25">
      <c r="A103">
        <f>Main!$K$2</f>
        <v>0.02</v>
      </c>
      <c r="B103">
        <f>Main!S103</f>
        <v>137.72792229612028</v>
      </c>
      <c r="C103">
        <f>Main!T103</f>
        <v>134.50226198989822</v>
      </c>
      <c r="D103">
        <f t="shared" si="8"/>
        <v>117.15176232357916</v>
      </c>
      <c r="E103">
        <f t="shared" si="9"/>
        <v>35.346324007404917</v>
      </c>
      <c r="F103">
        <f t="shared" si="10"/>
        <v>-105.98608337584636</v>
      </c>
      <c r="G103">
        <f t="shared" si="11"/>
        <v>119.7447662022455</v>
      </c>
      <c r="H103">
        <f>Main!N103</f>
        <v>0.178257</v>
      </c>
    </row>
    <row r="104" spans="1:8" x14ac:dyDescent="0.25">
      <c r="A104">
        <f>Main!$K$2</f>
        <v>0.02</v>
      </c>
      <c r="B104">
        <f>Main!S104</f>
        <v>138.42590745603806</v>
      </c>
      <c r="C104">
        <f>Main!T104</f>
        <v>134.61434126929069</v>
      </c>
      <c r="D104">
        <f t="shared" si="8"/>
        <v>117.85868880372726</v>
      </c>
      <c r="E104">
        <f t="shared" si="9"/>
        <v>33.22660233988799</v>
      </c>
      <c r="F104">
        <f t="shared" si="10"/>
        <v>-103.59118805180145</v>
      </c>
      <c r="G104">
        <f t="shared" si="11"/>
        <v>99.501836498205876</v>
      </c>
      <c r="H104">
        <f>Main!N104</f>
        <v>0.16201499999999999</v>
      </c>
    </row>
    <row r="105" spans="1:8" x14ac:dyDescent="0.25">
      <c r="A105">
        <f>Main!$K$2</f>
        <v>0.02</v>
      </c>
      <c r="B105">
        <f>Main!S105</f>
        <v>139.0835956856053</v>
      </c>
      <c r="C105">
        <f>Main!T105</f>
        <v>134.70946767945068</v>
      </c>
      <c r="D105">
        <f t="shared" si="8"/>
        <v>118.52322085052502</v>
      </c>
      <c r="E105">
        <f t="shared" si="9"/>
        <v>31.15477857885196</v>
      </c>
      <c r="F105">
        <f t="shared" si="10"/>
        <v>-101.60115132183734</v>
      </c>
      <c r="G105">
        <f t="shared" si="11"/>
        <v>91.881116761172166</v>
      </c>
      <c r="H105">
        <f>Main!N105</f>
        <v>0.146395</v>
      </c>
    </row>
    <row r="106" spans="1:8" x14ac:dyDescent="0.25">
      <c r="A106">
        <f>Main!$K$2</f>
        <v>0.02</v>
      </c>
      <c r="B106">
        <f>Main!S106</f>
        <v>139.70153186964637</v>
      </c>
      <c r="C106">
        <f>Main!T106</f>
        <v>134.78948620087965</v>
      </c>
      <c r="D106">
        <f t="shared" si="8"/>
        <v>119.14631642210206</v>
      </c>
      <c r="E106">
        <f t="shared" si="9"/>
        <v>29.122755552415214</v>
      </c>
      <c r="F106">
        <f t="shared" si="10"/>
        <v>-99.763528986613892</v>
      </c>
      <c r="G106">
        <f t="shared" si="11"/>
        <v>69.386540504368099</v>
      </c>
      <c r="H106">
        <f>Main!N106</f>
        <v>0.13146099999999999</v>
      </c>
    </row>
    <row r="107" spans="1:8" x14ac:dyDescent="0.25">
      <c r="A107">
        <f>Main!$K$2</f>
        <v>0.02</v>
      </c>
      <c r="B107">
        <f>Main!S107</f>
        <v>140.28016166669889</v>
      </c>
      <c r="C107">
        <f>Main!T107</f>
        <v>134.85613088820926</v>
      </c>
      <c r="D107">
        <f t="shared" si="8"/>
        <v>119.72877153315036</v>
      </c>
      <c r="E107">
        <f t="shared" si="9"/>
        <v>27.127484972682936</v>
      </c>
      <c r="F107">
        <f t="shared" si="10"/>
        <v>-98.37579817652653</v>
      </c>
      <c r="G107">
        <f t="shared" si="11"/>
        <v>65.638648031551838</v>
      </c>
      <c r="H107">
        <f>Main!N107</f>
        <v>0.117266</v>
      </c>
    </row>
    <row r="108" spans="1:8" x14ac:dyDescent="0.25">
      <c r="A108">
        <f>Main!$K$2</f>
        <v>0.02</v>
      </c>
      <c r="B108">
        <f>Main!S108</f>
        <v>140.81992593090627</v>
      </c>
      <c r="C108">
        <f>Main!T108</f>
        <v>134.91103731280538</v>
      </c>
      <c r="D108">
        <f t="shared" si="8"/>
        <v>120.27132123260402</v>
      </c>
      <c r="E108">
        <f t="shared" si="9"/>
        <v>25.159969009152405</v>
      </c>
      <c r="F108">
        <f t="shared" si="10"/>
        <v>-97.063025215895493</v>
      </c>
      <c r="G108">
        <f t="shared" si="11"/>
        <v>48.641401329874157</v>
      </c>
      <c r="H108">
        <f>Main!N108</f>
        <v>0.10385900000000001</v>
      </c>
    </row>
    <row r="109" spans="1:8" x14ac:dyDescent="0.25">
      <c r="A109">
        <f>Main!$K$2</f>
        <v>0.02</v>
      </c>
      <c r="B109">
        <f>Main!S109</f>
        <v>141.32113739209035</v>
      </c>
      <c r="C109">
        <f>Main!T109</f>
        <v>134.95572162094953</v>
      </c>
      <c r="D109">
        <f t="shared" si="8"/>
        <v>120.77452061278707</v>
      </c>
      <c r="E109">
        <f t="shared" si="9"/>
        <v>23.218708504834495</v>
      </c>
      <c r="F109">
        <f t="shared" si="10"/>
        <v>-96.09019718929801</v>
      </c>
      <c r="G109">
        <f t="shared" si="11"/>
        <v>37.767580144176804</v>
      </c>
      <c r="H109">
        <f>Main!N109</f>
        <v>9.1276999999999997E-2</v>
      </c>
    </row>
    <row r="110" spans="1:8" x14ac:dyDescent="0.25">
      <c r="A110">
        <f>Main!$K$2</f>
        <v>0.02</v>
      </c>
      <c r="B110">
        <f>Main!S110</f>
        <v>141.7841235828094</v>
      </c>
      <c r="C110">
        <f>Main!T110</f>
        <v>134.99159859206549</v>
      </c>
      <c r="D110">
        <f t="shared" si="8"/>
        <v>121.23889478288376</v>
      </c>
      <c r="E110">
        <f t="shared" si="9"/>
        <v>21.296904561048535</v>
      </c>
      <c r="F110">
        <f t="shared" si="10"/>
        <v>-95.334845586414474</v>
      </c>
      <c r="G110">
        <f t="shared" si="11"/>
        <v>35.392404932110821</v>
      </c>
      <c r="H110">
        <f>Main!N110</f>
        <v>7.9555000000000001E-2</v>
      </c>
    </row>
    <row r="111" spans="1:8" x14ac:dyDescent="0.25">
      <c r="A111">
        <f>Main!$K$2</f>
        <v>0.02</v>
      </c>
      <c r="B111">
        <f>Main!S111</f>
        <v>142.20911592620411</v>
      </c>
      <c r="C111">
        <f>Main!T111</f>
        <v>135.01996698308164</v>
      </c>
      <c r="D111">
        <f t="shared" si="8"/>
        <v>121.66483287410473</v>
      </c>
      <c r="E111">
        <f t="shared" si="9"/>
        <v>19.390207649320246</v>
      </c>
      <c r="F111">
        <f t="shared" si="10"/>
        <v>-94.626997487772258</v>
      </c>
      <c r="G111">
        <f t="shared" si="11"/>
        <v>40.392671468936214</v>
      </c>
      <c r="H111">
        <f>Main!N111</f>
        <v>6.8719000000000002E-2</v>
      </c>
    </row>
    <row r="112" spans="1:8" x14ac:dyDescent="0.25">
      <c r="A112">
        <f>Main!$K$2</f>
        <v>0.02</v>
      </c>
      <c r="B112">
        <f>Main!S112</f>
        <v>142.59629286550972</v>
      </c>
      <c r="C112">
        <f>Main!T112</f>
        <v>135.04201417663171</v>
      </c>
      <c r="D112">
        <f t="shared" si="8"/>
        <v>122.05263702709114</v>
      </c>
      <c r="E112">
        <f t="shared" si="9"/>
        <v>17.497667699564801</v>
      </c>
      <c r="F112">
        <f t="shared" si="10"/>
        <v>-93.819144058393533</v>
      </c>
      <c r="G112">
        <f t="shared" si="11"/>
        <v>174.14317134267776</v>
      </c>
      <c r="H112">
        <f>Main!N112</f>
        <v>5.8789000000000001E-2</v>
      </c>
    </row>
    <row r="113" spans="1:8" x14ac:dyDescent="0.25">
      <c r="A113">
        <f>Main!$K$2</f>
        <v>0.02</v>
      </c>
      <c r="B113">
        <f>Main!S113</f>
        <v>142.94584237558172</v>
      </c>
      <c r="C113">
        <f>Main!T113</f>
        <v>135.05882161481193</v>
      </c>
      <c r="D113">
        <f t="shared" si="8"/>
        <v>122.40259038108243</v>
      </c>
      <c r="E113">
        <f t="shared" si="9"/>
        <v>15.62128481839693</v>
      </c>
      <c r="F113">
        <f t="shared" si="10"/>
        <v>-90.336280631539978</v>
      </c>
      <c r="G113">
        <f t="shared" si="11"/>
        <v>284.64179381515464</v>
      </c>
      <c r="H113">
        <f>Main!N113</f>
        <v>4.9784000000000002E-2</v>
      </c>
    </row>
    <row r="114" spans="1:8" x14ac:dyDescent="0.25">
      <c r="A114">
        <f>Main!$K$2</f>
        <v>0.02</v>
      </c>
      <c r="B114">
        <f>Main!S114</f>
        <v>143.25801629654202</v>
      </c>
      <c r="C114">
        <f>Main!T114</f>
        <v>135.07136190281759</v>
      </c>
      <c r="D114">
        <f t="shared" si="8"/>
        <v>122.71501607745037</v>
      </c>
      <c r="E114">
        <f t="shared" si="9"/>
        <v>13.81455920576613</v>
      </c>
      <c r="F114">
        <f t="shared" si="10"/>
        <v>-84.643444755236885</v>
      </c>
      <c r="G114">
        <f t="shared" si="11"/>
        <v>283.01316042167457</v>
      </c>
      <c r="H114">
        <f>Main!N114</f>
        <v>4.1713E-2</v>
      </c>
    </row>
    <row r="115" spans="1:8" x14ac:dyDescent="0.25">
      <c r="A115">
        <f>Main!$K$2</f>
        <v>0.02</v>
      </c>
      <c r="B115">
        <f>Main!S115</f>
        <v>143.53415555352669</v>
      </c>
      <c r="C115">
        <f>Main!T115</f>
        <v>135.08052318939789</v>
      </c>
      <c r="D115">
        <f t="shared" si="8"/>
        <v>122.99130726156569</v>
      </c>
      <c r="E115">
        <f t="shared" si="9"/>
        <v>12.121690310661393</v>
      </c>
      <c r="F115">
        <f t="shared" si="10"/>
        <v>-78.983181546803394</v>
      </c>
      <c r="G115">
        <f t="shared" si="11"/>
        <v>282.63508464121401</v>
      </c>
      <c r="H115">
        <f>Main!N115</f>
        <v>3.4555000000000002E-2</v>
      </c>
    </row>
    <row r="116" spans="1:8" x14ac:dyDescent="0.25">
      <c r="A116">
        <f>Main!$K$2</f>
        <v>0.02</v>
      </c>
      <c r="B116">
        <f>Main!S116</f>
        <v>143.77650078382752</v>
      </c>
      <c r="C116">
        <f>Main!T116</f>
        <v>135.08707603194705</v>
      </c>
      <c r="D116">
        <f t="shared" si="8"/>
        <v>123.23374106777892</v>
      </c>
      <c r="E116">
        <f t="shared" si="9"/>
        <v>10.542026679725325</v>
      </c>
      <c r="F116">
        <f t="shared" si="10"/>
        <v>-73.330479853979114</v>
      </c>
      <c r="G116">
        <f t="shared" si="11"/>
        <v>275.38266145121781</v>
      </c>
      <c r="H116">
        <f>Main!N116</f>
        <v>2.8258999999999999E-2</v>
      </c>
    </row>
    <row r="117" spans="1:8" x14ac:dyDescent="0.25">
      <c r="A117">
        <f>Main!$K$2</f>
        <v>0.02</v>
      </c>
      <c r="B117">
        <f>Main!S117</f>
        <v>143.98729166693326</v>
      </c>
      <c r="C117">
        <f>Main!T117</f>
        <v>135.09165142328729</v>
      </c>
      <c r="D117">
        <f t="shared" si="8"/>
        <v>123.44458160137343</v>
      </c>
      <c r="E117">
        <f t="shared" si="9"/>
        <v>9.0754170826457425</v>
      </c>
      <c r="F117">
        <f t="shared" si="10"/>
        <v>-67.822826624954757</v>
      </c>
      <c r="G117">
        <f t="shared" si="11"/>
        <v>279.13053679995414</v>
      </c>
      <c r="H117">
        <f>Main!N117</f>
        <v>2.2773000000000002E-2</v>
      </c>
    </row>
    <row r="118" spans="1:8" x14ac:dyDescent="0.25">
      <c r="A118">
        <f>Main!$K$2</f>
        <v>0.02</v>
      </c>
      <c r="B118">
        <f>Main!S118</f>
        <v>144.16877340557716</v>
      </c>
      <c r="C118">
        <f>Main!T118</f>
        <v>135.09475893489315</v>
      </c>
      <c r="D118">
        <f t="shared" si="8"/>
        <v>123.62608994302634</v>
      </c>
      <c r="E118">
        <f t="shared" si="9"/>
        <v>7.7189605501466474</v>
      </c>
      <c r="F118">
        <f t="shared" si="10"/>
        <v>-62.240215888955674</v>
      </c>
      <c r="G118">
        <f t="shared" si="11"/>
        <v>273.50396488046158</v>
      </c>
      <c r="H118">
        <f>Main!N118</f>
        <v>1.8044999999999999E-2</v>
      </c>
    </row>
    <row r="119" spans="1:8" x14ac:dyDescent="0.25">
      <c r="A119">
        <f>Main!$K$2</f>
        <v>0.02</v>
      </c>
      <c r="B119">
        <f>Main!S119</f>
        <v>144.32313910287766</v>
      </c>
      <c r="C119">
        <f>Main!T119</f>
        <v>135.09680155253105</v>
      </c>
      <c r="D119">
        <f t="shared" si="8"/>
        <v>123.78046915402928</v>
      </c>
      <c r="E119">
        <f t="shared" si="9"/>
        <v>6.4741562323675339</v>
      </c>
      <c r="F119">
        <f t="shared" si="10"/>
        <v>-56.770136591346443</v>
      </c>
      <c r="G119">
        <f t="shared" si="11"/>
        <v>273.37770222857216</v>
      </c>
      <c r="H119">
        <f>Main!N119</f>
        <v>1.4019E-2</v>
      </c>
    </row>
    <row r="120" spans="1:8" x14ac:dyDescent="0.25">
      <c r="A120">
        <f>Main!$K$2</f>
        <v>0.02</v>
      </c>
      <c r="B120">
        <f>Main!S120</f>
        <v>144.45261577922525</v>
      </c>
      <c r="C120">
        <f>Main!T120</f>
        <v>135.09809377945405</v>
      </c>
      <c r="D120">
        <f t="shared" si="8"/>
        <v>123.90995227867663</v>
      </c>
      <c r="E120">
        <f t="shared" si="9"/>
        <v>5.338753500540605</v>
      </c>
      <c r="F120">
        <f t="shared" si="10"/>
        <v>-51.302582546775</v>
      </c>
      <c r="G120">
        <f t="shared" si="11"/>
        <v>275.25176462894763</v>
      </c>
      <c r="H120">
        <f>Main!N120</f>
        <v>1.0640999999999999E-2</v>
      </c>
    </row>
    <row r="121" spans="1:8" x14ac:dyDescent="0.25">
      <c r="A121">
        <f>Main!$K$2</f>
        <v>0.02</v>
      </c>
      <c r="B121">
        <f>Main!S121</f>
        <v>144.5593879976667</v>
      </c>
      <c r="C121">
        <f>Main!T121</f>
        <v>135.0988741286744</v>
      </c>
      <c r="D121">
        <f t="shared" si="8"/>
        <v>124.01672734868744</v>
      </c>
      <c r="E121">
        <f t="shared" si="9"/>
        <v>4.3127018496051051</v>
      </c>
      <c r="F121">
        <f t="shared" si="10"/>
        <v>-45.797547254196047</v>
      </c>
      <c r="G121">
        <f t="shared" si="11"/>
        <v>275.37610276695546</v>
      </c>
      <c r="H121">
        <f>Main!N121</f>
        <v>7.8539999999999999E-3</v>
      </c>
    </row>
    <row r="122" spans="1:8" x14ac:dyDescent="0.25">
      <c r="A122">
        <f>Main!$K$2</f>
        <v>0.02</v>
      </c>
      <c r="B122">
        <f>Main!S122</f>
        <v>144.64564088654384</v>
      </c>
      <c r="C122">
        <f>Main!T122</f>
        <v>135.09931916550835</v>
      </c>
      <c r="D122">
        <f t="shared" si="8"/>
        <v>124.10298138567954</v>
      </c>
      <c r="E122">
        <f t="shared" si="9"/>
        <v>3.3967509045211841</v>
      </c>
      <c r="F122">
        <f t="shared" si="10"/>
        <v>-40.290025198856938</v>
      </c>
      <c r="G122">
        <f t="shared" si="11"/>
        <v>269.8756509982303</v>
      </c>
      <c r="H122">
        <f>Main!N122</f>
        <v>5.6010000000000001E-3</v>
      </c>
    </row>
    <row r="123" spans="1:8" x14ac:dyDescent="0.25">
      <c r="A123">
        <f>Main!$K$2</f>
        <v>0.02</v>
      </c>
      <c r="B123">
        <f>Main!S123</f>
        <v>144.71357549370654</v>
      </c>
      <c r="C123">
        <f>Main!T123</f>
        <v>135.09955545472934</v>
      </c>
      <c r="D123">
        <f t="shared" si="8"/>
        <v>124.17091640376997</v>
      </c>
      <c r="E123">
        <f t="shared" si="9"/>
        <v>2.5909504005440454</v>
      </c>
      <c r="F123">
        <f t="shared" si="10"/>
        <v>-34.892512178892332</v>
      </c>
      <c r="G123">
        <f t="shared" si="11"/>
        <v>277.00034477540214</v>
      </c>
      <c r="H123">
        <f>Main!N123</f>
        <v>3.826E-3</v>
      </c>
    </row>
    <row r="124" spans="1:8" x14ac:dyDescent="0.25">
      <c r="A124">
        <f>Main!$K$2</f>
        <v>0.02</v>
      </c>
      <c r="B124">
        <f>Main!S124</f>
        <v>144.76539437539634</v>
      </c>
      <c r="C124">
        <f>Main!T124</f>
        <v>135.09966987347761</v>
      </c>
      <c r="D124">
        <f t="shared" si="8"/>
        <v>124.22273541178085</v>
      </c>
      <c r="E124">
        <f t="shared" si="9"/>
        <v>1.8931001569661987</v>
      </c>
      <c r="F124">
        <f t="shared" si="10"/>
        <v>-29.352505283384289</v>
      </c>
      <c r="G124">
        <f t="shared" si="11"/>
        <v>269.62516876594123</v>
      </c>
      <c r="H124">
        <f>Main!N124</f>
        <v>2.4729999999999999E-3</v>
      </c>
    </row>
    <row r="125" spans="1:8" x14ac:dyDescent="0.25">
      <c r="A125">
        <f>Main!$K$2</f>
        <v>0.02</v>
      </c>
      <c r="B125">
        <f>Main!S125</f>
        <v>144.80325634708853</v>
      </c>
      <c r="C125">
        <f>Main!T125</f>
        <v>135.09971867206531</v>
      </c>
      <c r="D125">
        <f t="shared" si="8"/>
        <v>124.26059741492017</v>
      </c>
      <c r="E125">
        <f t="shared" si="9"/>
        <v>1.3060500512985129</v>
      </c>
      <c r="F125">
        <f t="shared" si="10"/>
        <v>-23.960001908065465</v>
      </c>
      <c r="G125">
        <f t="shared" si="11"/>
        <v>277.50006807814032</v>
      </c>
      <c r="H125">
        <f>Main!N125</f>
        <v>1.4829999999999999E-3</v>
      </c>
    </row>
    <row r="126" spans="1:8" x14ac:dyDescent="0.25">
      <c r="A126">
        <f>Main!$K$2</f>
        <v>0.02</v>
      </c>
      <c r="B126">
        <f>Main!S126</f>
        <v>144.82937734229617</v>
      </c>
      <c r="C126">
        <f>Main!T126</f>
        <v>135.09973610655595</v>
      </c>
      <c r="D126">
        <f t="shared" si="8"/>
        <v>124.28671841594614</v>
      </c>
      <c r="E126">
        <f t="shared" si="9"/>
        <v>0.82685001313720363</v>
      </c>
      <c r="F126">
        <f t="shared" si="10"/>
        <v>-18.410000546502658</v>
      </c>
      <c r="G126">
        <f t="shared" si="11"/>
        <v>269.37502226331844</v>
      </c>
      <c r="H126">
        <f>Main!N126</f>
        <v>8.0099999999999995E-4</v>
      </c>
    </row>
    <row r="127" spans="1:8" x14ac:dyDescent="0.25">
      <c r="A127">
        <f>Main!$K$2</f>
        <v>0.02</v>
      </c>
      <c r="B127">
        <f>Main!S127</f>
        <v>144.84591434189684</v>
      </c>
      <c r="C127">
        <f>Main!T127</f>
        <v>135.09974078600453</v>
      </c>
      <c r="D127">
        <f t="shared" si="8"/>
        <v>124.30325541620888</v>
      </c>
      <c r="E127">
        <f t="shared" si="9"/>
        <v>0.45865000220715046</v>
      </c>
      <c r="F127">
        <f t="shared" si="10"/>
        <v>-13.02250010123629</v>
      </c>
      <c r="G127">
        <f t="shared" si="11"/>
        <v>275.04904288555565</v>
      </c>
      <c r="H127">
        <f>Main!N127</f>
        <v>3.68E-4</v>
      </c>
    </row>
    <row r="128" spans="1:8" x14ac:dyDescent="0.25">
      <c r="A128">
        <f>Main!$K$2</f>
        <v>0.02</v>
      </c>
      <c r="B128">
        <f>Main!S128</f>
        <v>144.85508734190992</v>
      </c>
      <c r="C128">
        <f>Main!T128</f>
        <v>135.09974154091401</v>
      </c>
      <c r="D128">
        <f t="shared" si="8"/>
        <v>124.31242841625303</v>
      </c>
      <c r="E128">
        <f t="shared" si="9"/>
        <v>0.19820000018242467</v>
      </c>
      <c r="F128">
        <f t="shared" si="10"/>
        <v>-7.5215192435251765</v>
      </c>
      <c r="G128">
        <f t="shared" si="11"/>
        <v>256.65192389645597</v>
      </c>
      <c r="H128">
        <f>Main!N128</f>
        <v>1.2899999999999999E-4</v>
      </c>
    </row>
    <row r="129" spans="1:8" x14ac:dyDescent="0.25">
      <c r="A129">
        <f>Main!$K$2</f>
        <v>0.02</v>
      </c>
      <c r="B129">
        <f>Main!S129</f>
        <v>144.85905134191353</v>
      </c>
      <c r="C129">
        <f>Main!T129</f>
        <v>135.09974155889404</v>
      </c>
      <c r="D129">
        <f t="shared" si="8"/>
        <v>124.31639241625668</v>
      </c>
      <c r="E129">
        <f t="shared" si="9"/>
        <v>4.7769615311921143E-2</v>
      </c>
      <c r="F129">
        <f t="shared" si="10"/>
        <v>-2.3884807655960572</v>
      </c>
      <c r="G129">
        <f t="shared" si="11"/>
        <v>119.42403827980286</v>
      </c>
      <c r="H129">
        <f>Main!N129</f>
        <v>2.5000000000000001E-5</v>
      </c>
    </row>
    <row r="130" spans="1:8" x14ac:dyDescent="0.25">
      <c r="A130">
        <f>Main!$K$2</f>
        <v>0.02</v>
      </c>
      <c r="B130">
        <f>Main!S130</f>
        <v>144.86000673421975</v>
      </c>
      <c r="C130">
        <f>Main!T130</f>
        <v>135.09974155379714</v>
      </c>
      <c r="D130">
        <f t="shared" si="8"/>
        <v>124.31734780856291</v>
      </c>
      <c r="E130">
        <f t="shared" si="9"/>
        <v>0</v>
      </c>
      <c r="F130">
        <f t="shared" si="10"/>
        <v>0</v>
      </c>
      <c r="G130">
        <f t="shared" si="11"/>
        <v>0</v>
      </c>
      <c r="H130">
        <f>Main!N130</f>
        <v>6.2831849999999996</v>
      </c>
    </row>
    <row r="131" spans="1:8" x14ac:dyDescent="0.25">
      <c r="A131">
        <f>Main!$K$2</f>
        <v>0.02</v>
      </c>
      <c r="B131">
        <f>Main!S131</f>
        <v>144.86000673421975</v>
      </c>
      <c r="C131">
        <f>Main!T131</f>
        <v>135.09974155379714</v>
      </c>
      <c r="D131">
        <f t="shared" si="8"/>
        <v>124.31734780856291</v>
      </c>
      <c r="E131">
        <f t="shared" si="9"/>
        <v>0</v>
      </c>
      <c r="F131">
        <f t="shared" si="10"/>
        <v>0</v>
      </c>
      <c r="G131">
        <f t="shared" si="11"/>
        <v>0</v>
      </c>
      <c r="H131">
        <f>Main!N131</f>
        <v>6.2831849999999996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31"/>
  <sheetViews>
    <sheetView workbookViewId="0">
      <pane ySplit="1" topLeftCell="A2" activePane="bottomLeft" state="frozen"/>
      <selection pane="bottomLeft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f>Main!$K$2</f>
        <v>0.02</v>
      </c>
      <c r="B2">
        <f>Main!V2</f>
        <v>26.001519607691204</v>
      </c>
      <c r="C2">
        <f>Main!W2</f>
        <v>134.99999992302642</v>
      </c>
      <c r="D2">
        <v>0</v>
      </c>
      <c r="E2">
        <f t="shared" ref="E2:E4" si="0" xml:space="preserve"> IF(ISBLANK(D3), 0, (D3-D2)/$A2 )</f>
        <v>7.6050000000006959E-2</v>
      </c>
      <c r="F2">
        <f xml:space="preserve"> (E3-E2)/$A2</f>
        <v>10.922500000008567</v>
      </c>
      <c r="G2">
        <f xml:space="preserve"> (F3-F2)/$A2</f>
        <v>369.12500000979281</v>
      </c>
      <c r="H2">
        <f>Main!N2</f>
        <v>6.2830839999999997</v>
      </c>
    </row>
    <row r="3" spans="1:8" x14ac:dyDescent="0.25">
      <c r="A3">
        <f>Main!$K$2</f>
        <v>0.02</v>
      </c>
      <c r="B3">
        <f>Main!V3</f>
        <v>26.003040607683399</v>
      </c>
      <c r="C3">
        <f>Main!W3</f>
        <v>134.99999976893818</v>
      </c>
      <c r="D3">
        <f>D2 + SQRT( (B3-B2)^2  + (C3-C2)^2 )</f>
        <v>1.5210000000001392E-3</v>
      </c>
      <c r="E3">
        <f t="shared" si="0"/>
        <v>0.29450000000017829</v>
      </c>
      <c r="F3">
        <f t="shared" ref="F3:G3" si="1" xml:space="preserve"> (E4-E3)/$A3</f>
        <v>18.305000000204423</v>
      </c>
      <c r="G3">
        <f t="shared" si="1"/>
        <v>372.75000003133664</v>
      </c>
      <c r="H3">
        <f>Main!N3</f>
        <v>6.2830839999999997</v>
      </c>
    </row>
    <row r="4" spans="1:8" x14ac:dyDescent="0.25">
      <c r="A4">
        <f>Main!$K$2</f>
        <v>0.02</v>
      </c>
      <c r="B4">
        <f>Main!V4</f>
        <v>26.008930607660549</v>
      </c>
      <c r="C4">
        <f>Main!W4</f>
        <v>134.9999992500764</v>
      </c>
      <c r="D4">
        <f t="shared" ref="D4" si="2">D3 + SQRT( (B4-B3)^2  + (C4-C3)^2 )</f>
        <v>7.4110000000037054E-3</v>
      </c>
      <c r="E4">
        <f t="shared" si="0"/>
        <v>0.66060000000426677</v>
      </c>
      <c r="F4">
        <f t="shared" ref="F4:G4" si="3" xml:space="preserve"> (E5-E4)/$A4</f>
        <v>25.760000000831155</v>
      </c>
      <c r="G4">
        <f t="shared" si="3"/>
        <v>362.79903839541242</v>
      </c>
      <c r="H4">
        <f>Main!N4</f>
        <v>6.2830969999999997</v>
      </c>
    </row>
    <row r="5" spans="1:8" x14ac:dyDescent="0.25">
      <c r="A5">
        <f>Main!$K$2</f>
        <v>0.02</v>
      </c>
      <c r="B5">
        <f>Main!V5</f>
        <v>26.02214260764012</v>
      </c>
      <c r="C5">
        <f>Main!W5</f>
        <v>134.99999851382597</v>
      </c>
      <c r="D5">
        <f t="shared" ref="D5:D68" si="4">D4 + SQRT( (B5-B4)^2  + (C5-C4)^2 )</f>
        <v>2.0623000000089042E-2</v>
      </c>
      <c r="E5">
        <f t="shared" ref="E5:E68" si="5" xml:space="preserve"> IF(ISBLANK(D6), 0, (D6-D5)/$A5 )</f>
        <v>1.1758000000208899</v>
      </c>
      <c r="F5">
        <f t="shared" ref="F5:F68" si="6" xml:space="preserve"> (E6-E5)/$A5</f>
        <v>33.015980768739404</v>
      </c>
      <c r="G5">
        <f t="shared" ref="G5:G68" si="7" xml:space="preserve"> (F6-F5)/$A5</f>
        <v>370.40192370032582</v>
      </c>
      <c r="H5">
        <f>Main!N5</f>
        <v>6.2831289999999997</v>
      </c>
    </row>
    <row r="6" spans="1:8" x14ac:dyDescent="0.25">
      <c r="A6">
        <f>Main!$K$2</f>
        <v>0.02</v>
      </c>
      <c r="B6">
        <f>Main!V6</f>
        <v>26.045658607640537</v>
      </c>
      <c r="C6">
        <f>Main!W6</f>
        <v>134.99999850577382</v>
      </c>
      <c r="D6">
        <f t="shared" si="4"/>
        <v>4.4139000000506842E-2</v>
      </c>
      <c r="E6">
        <f t="shared" si="5"/>
        <v>1.836119615395678</v>
      </c>
      <c r="F6">
        <f t="shared" si="6"/>
        <v>40.424019242745921</v>
      </c>
      <c r="G6">
        <f t="shared" si="7"/>
        <v>364.67403884092772</v>
      </c>
      <c r="H6">
        <f>Main!N6</f>
        <v>6.2831840000000003</v>
      </c>
    </row>
    <row r="7" spans="1:8" x14ac:dyDescent="0.25">
      <c r="A7">
        <f>Main!$K$2</f>
        <v>0.02</v>
      </c>
      <c r="B7">
        <f>Main!V7</f>
        <v>26.08238099980769</v>
      </c>
      <c r="C7">
        <f>Main!W7</f>
        <v>135.00000172106863</v>
      </c>
      <c r="D7">
        <f t="shared" si="4"/>
        <v>8.0861392308420404E-2</v>
      </c>
      <c r="E7">
        <f t="shared" si="5"/>
        <v>2.6446000002505965</v>
      </c>
      <c r="F7">
        <f t="shared" si="6"/>
        <v>47.717500019564476</v>
      </c>
      <c r="G7">
        <f t="shared" si="7"/>
        <v>369.00000097495712</v>
      </c>
      <c r="H7">
        <f>Main!N7</f>
        <v>8.6000000000000003E-5</v>
      </c>
    </row>
    <row r="8" spans="1:8" x14ac:dyDescent="0.25">
      <c r="A8">
        <f>Main!$K$2</f>
        <v>0.02</v>
      </c>
      <c r="B8">
        <f>Main!V8</f>
        <v>26.135272998610443</v>
      </c>
      <c r="C8">
        <f>Main!W8</f>
        <v>135.00001299846804</v>
      </c>
      <c r="D8">
        <f t="shared" si="4"/>
        <v>0.13375339231343233</v>
      </c>
      <c r="E8">
        <f t="shared" si="5"/>
        <v>3.598950000641886</v>
      </c>
      <c r="F8">
        <f t="shared" si="6"/>
        <v>55.097500039063618</v>
      </c>
      <c r="G8">
        <f t="shared" si="7"/>
        <v>361.62500191833294</v>
      </c>
      <c r="H8">
        <f>Main!N8</f>
        <v>2.1100000000000001E-4</v>
      </c>
    </row>
    <row r="9" spans="1:8" x14ac:dyDescent="0.25">
      <c r="A9">
        <f>Main!$K$2</f>
        <v>0.02</v>
      </c>
      <c r="B9">
        <f>Main!V9</f>
        <v>26.207251993287439</v>
      </c>
      <c r="C9">
        <f>Main!W9</f>
        <v>135.00004071375287</v>
      </c>
      <c r="D9">
        <f t="shared" si="4"/>
        <v>0.20573239232627005</v>
      </c>
      <c r="E9">
        <f t="shared" si="5"/>
        <v>4.7009000014231583</v>
      </c>
      <c r="F9">
        <f t="shared" si="6"/>
        <v>62.330000077430277</v>
      </c>
      <c r="G9">
        <f t="shared" si="7"/>
        <v>371.00000269570933</v>
      </c>
      <c r="H9">
        <f>Main!N9</f>
        <v>3.8200000000000002E-4</v>
      </c>
    </row>
    <row r="10" spans="1:8" x14ac:dyDescent="0.25">
      <c r="A10">
        <f>Main!$K$2</f>
        <v>0.02</v>
      </c>
      <c r="B10">
        <f>Main!V10</f>
        <v>26.301269975883049</v>
      </c>
      <c r="C10">
        <f>Main!W10</f>
        <v>135.00009796760685</v>
      </c>
      <c r="D10">
        <f t="shared" si="4"/>
        <v>0.29975039235473322</v>
      </c>
      <c r="E10">
        <f t="shared" si="5"/>
        <v>5.947500002971764</v>
      </c>
      <c r="F10">
        <f t="shared" si="6"/>
        <v>69.750000131344464</v>
      </c>
      <c r="G10">
        <f t="shared" si="7"/>
        <v>359.62500495913901</v>
      </c>
      <c r="H10">
        <f>Main!N10</f>
        <v>6.0499999999999996E-4</v>
      </c>
    </row>
    <row r="11" spans="1:8" x14ac:dyDescent="0.25">
      <c r="A11">
        <f>Main!$K$2</f>
        <v>0.02</v>
      </c>
      <c r="B11">
        <f>Main!V11</f>
        <v>26.420219928288603</v>
      </c>
      <c r="C11">
        <f>Main!W11</f>
        <v>135.00020444228016</v>
      </c>
      <c r="D11">
        <f t="shared" si="4"/>
        <v>0.41870039241416851</v>
      </c>
      <c r="E11">
        <f t="shared" si="5"/>
        <v>7.3425000055986533</v>
      </c>
      <c r="F11">
        <f t="shared" si="6"/>
        <v>76.942500230527244</v>
      </c>
      <c r="G11">
        <f t="shared" si="7"/>
        <v>367.25000680523294</v>
      </c>
      <c r="H11">
        <f>Main!N11</f>
        <v>8.8999999999999995E-4</v>
      </c>
    </row>
    <row r="12" spans="1:8" x14ac:dyDescent="0.25">
      <c r="A12">
        <f>Main!$K$2</f>
        <v>0.02</v>
      </c>
      <c r="B12">
        <f>Main!V12</f>
        <v>26.567069813980723</v>
      </c>
      <c r="C12">
        <f>Main!W12</f>
        <v>135.00038775921269</v>
      </c>
      <c r="D12">
        <f t="shared" si="4"/>
        <v>0.56555039252614159</v>
      </c>
      <c r="E12">
        <f t="shared" si="5"/>
        <v>8.8813500102091982</v>
      </c>
      <c r="F12">
        <f t="shared" si="6"/>
        <v>84.287500366631903</v>
      </c>
      <c r="G12">
        <f t="shared" si="7"/>
        <v>363.37501034745327</v>
      </c>
      <c r="H12">
        <f>Main!N12</f>
        <v>1.242E-3</v>
      </c>
    </row>
    <row r="13" spans="1:8" x14ac:dyDescent="0.25">
      <c r="A13">
        <f>Main!$K$2</f>
        <v>0.02</v>
      </c>
      <c r="B13">
        <f>Main!V13</f>
        <v>26.744696563575307</v>
      </c>
      <c r="C13">
        <f>Main!W13</f>
        <v>135.00068613816669</v>
      </c>
      <c r="D13">
        <f t="shared" si="4"/>
        <v>0.74317739273032557</v>
      </c>
      <c r="E13">
        <f t="shared" si="5"/>
        <v>10.567100017541836</v>
      </c>
      <c r="F13">
        <f t="shared" si="6"/>
        <v>91.555000573580969</v>
      </c>
      <c r="G13">
        <f t="shared" si="7"/>
        <v>361.75001521892011</v>
      </c>
      <c r="H13">
        <f>Main!N13</f>
        <v>1.6720000000000001E-3</v>
      </c>
    </row>
    <row r="14" spans="1:8" x14ac:dyDescent="0.25">
      <c r="A14">
        <f>Main!$K$2</f>
        <v>0.02</v>
      </c>
      <c r="B14">
        <f>Main!V14</f>
        <v>26.956038054145516</v>
      </c>
      <c r="C14">
        <f>Main!W14</f>
        <v>135.00115033193569</v>
      </c>
      <c r="D14">
        <f t="shared" si="4"/>
        <v>0.95451939308116229</v>
      </c>
      <c r="E14">
        <f t="shared" si="5"/>
        <v>12.398200029013456</v>
      </c>
      <c r="F14">
        <f t="shared" si="6"/>
        <v>98.790000877959372</v>
      </c>
      <c r="G14">
        <f t="shared" si="7"/>
        <v>357.6250227423472</v>
      </c>
      <c r="H14">
        <f>Main!N14</f>
        <v>2.1870000000000001E-3</v>
      </c>
    </row>
    <row r="15" spans="1:8" x14ac:dyDescent="0.25">
      <c r="A15">
        <f>Main!$K$2</f>
        <v>0.02</v>
      </c>
      <c r="B15">
        <f>Main!V15</f>
        <v>27.204001077689782</v>
      </c>
      <c r="C15">
        <f>Main!W15</f>
        <v>135.00184641997447</v>
      </c>
      <c r="D15">
        <f t="shared" si="4"/>
        <v>1.2024833936614314</v>
      </c>
      <c r="E15">
        <f t="shared" si="5"/>
        <v>14.374000046572643</v>
      </c>
      <c r="F15">
        <f t="shared" si="6"/>
        <v>105.94250133280632</v>
      </c>
      <c r="G15">
        <f t="shared" si="7"/>
        <v>363.50002937838042</v>
      </c>
      <c r="H15">
        <f>Main!N15</f>
        <v>2.7959999999999999E-3</v>
      </c>
    </row>
    <row r="16" spans="1:8" x14ac:dyDescent="0.25">
      <c r="A16">
        <f>Main!$K$2</f>
        <v>0.02</v>
      </c>
      <c r="B16">
        <f>Main!V16</f>
        <v>27.491479295336525</v>
      </c>
      <c r="C16">
        <f>Main!W16</f>
        <v>135.00285899797134</v>
      </c>
      <c r="D16">
        <f t="shared" si="4"/>
        <v>1.4899633945928843</v>
      </c>
      <c r="E16">
        <f t="shared" si="5"/>
        <v>16.49285007322877</v>
      </c>
      <c r="F16">
        <f t="shared" si="6"/>
        <v>113.21250192037392</v>
      </c>
      <c r="G16">
        <f t="shared" si="7"/>
        <v>356.00004362948778</v>
      </c>
      <c r="H16">
        <f>Main!N16</f>
        <v>3.509E-3</v>
      </c>
    </row>
    <row r="17" spans="1:8" x14ac:dyDescent="0.25">
      <c r="A17">
        <f>Main!$K$2</f>
        <v>0.02</v>
      </c>
      <c r="B17">
        <f>Main!V17</f>
        <v>27.821333170741614</v>
      </c>
      <c r="C17">
        <f>Main!W17</f>
        <v>135.00429506741435</v>
      </c>
      <c r="D17">
        <f t="shared" si="4"/>
        <v>1.8198203960574597</v>
      </c>
      <c r="E17">
        <f t="shared" si="5"/>
        <v>18.757100111636248</v>
      </c>
      <c r="F17">
        <f t="shared" si="6"/>
        <v>120.33250279296368</v>
      </c>
      <c r="G17">
        <f t="shared" si="7"/>
        <v>171.5000550136466</v>
      </c>
      <c r="H17">
        <f>Main!N17</f>
        <v>4.3379999999999998E-3</v>
      </c>
    </row>
    <row r="18" spans="1:8" x14ac:dyDescent="0.25">
      <c r="A18">
        <f>Main!$K$2</f>
        <v>0.02</v>
      </c>
      <c r="B18">
        <f>Main!V18</f>
        <v>28.196469883826762</v>
      </c>
      <c r="C18">
        <f>Main!W18</f>
        <v>135.00628713539749</v>
      </c>
      <c r="D18">
        <f t="shared" si="4"/>
        <v>2.1949623982901847</v>
      </c>
      <c r="E18">
        <f t="shared" si="5"/>
        <v>21.163750167495522</v>
      </c>
      <c r="F18">
        <f t="shared" si="6"/>
        <v>123.76250389323661</v>
      </c>
      <c r="G18">
        <f t="shared" si="7"/>
        <v>-11.49993611766007</v>
      </c>
      <c r="H18">
        <f>Main!N18</f>
        <v>5.2919999999999998E-3</v>
      </c>
    </row>
    <row r="19" spans="1:8" x14ac:dyDescent="0.25">
      <c r="A19">
        <f>Main!$K$2</f>
        <v>0.02</v>
      </c>
      <c r="B19">
        <f>Main!V19</f>
        <v>28.619736204633814</v>
      </c>
      <c r="C19">
        <f>Main!W19</f>
        <v>135.00899824796036</v>
      </c>
      <c r="D19">
        <f t="shared" si="4"/>
        <v>2.6182374016400951</v>
      </c>
      <c r="E19">
        <f t="shared" si="5"/>
        <v>23.639000245360254</v>
      </c>
      <c r="F19">
        <f t="shared" si="6"/>
        <v>123.53250517088341</v>
      </c>
      <c r="G19">
        <f t="shared" si="7"/>
        <v>-12.874919512952943</v>
      </c>
      <c r="H19">
        <f>Main!N19</f>
        <v>6.3839999999999999E-3</v>
      </c>
    </row>
    <row r="20" spans="1:8" x14ac:dyDescent="0.25">
      <c r="A20">
        <f>Main!$K$2</f>
        <v>0.02</v>
      </c>
      <c r="B20">
        <f>Main!V20</f>
        <v>29.092502381290053</v>
      </c>
      <c r="C20">
        <f>Main!W20</f>
        <v>135.0126142194616</v>
      </c>
      <c r="D20">
        <f t="shared" si="4"/>
        <v>3.0910174065473002</v>
      </c>
      <c r="E20">
        <f t="shared" si="5"/>
        <v>26.109650348777922</v>
      </c>
      <c r="F20">
        <f t="shared" si="6"/>
        <v>123.27500678062435</v>
      </c>
      <c r="G20">
        <f t="shared" si="7"/>
        <v>-15.249898712603738</v>
      </c>
      <c r="H20">
        <f>Main!N20</f>
        <v>7.6239999999999997E-3</v>
      </c>
    </row>
    <row r="21" spans="1:8" x14ac:dyDescent="0.25">
      <c r="A21">
        <f>Main!$K$2</f>
        <v>0.02</v>
      </c>
      <c r="B21">
        <f>Main!V21</f>
        <v>29.614674023280529</v>
      </c>
      <c r="C21">
        <f>Main!W21</f>
        <v>135.01733786584407</v>
      </c>
      <c r="D21">
        <f t="shared" si="4"/>
        <v>3.6132104135228587</v>
      </c>
      <c r="E21">
        <f t="shared" si="5"/>
        <v>28.575150484390409</v>
      </c>
      <c r="F21">
        <f t="shared" si="6"/>
        <v>122.97000880637228</v>
      </c>
      <c r="G21">
        <f t="shared" si="7"/>
        <v>-14.749876239444148</v>
      </c>
      <c r="H21">
        <f>Main!N21</f>
        <v>9.018E-3</v>
      </c>
    </row>
    <row r="22" spans="1:8" x14ac:dyDescent="0.25">
      <c r="A22">
        <f>Main!$K$2</f>
        <v>0.02</v>
      </c>
      <c r="B22">
        <f>Main!V22</f>
        <v>30.186144897555231</v>
      </c>
      <c r="C22">
        <f>Main!W22</f>
        <v>135.02339838875309</v>
      </c>
      <c r="D22">
        <f t="shared" si="4"/>
        <v>4.1847134232106669</v>
      </c>
      <c r="E22">
        <f t="shared" si="5"/>
        <v>31.034550660517855</v>
      </c>
      <c r="F22">
        <f t="shared" si="6"/>
        <v>122.67501128158339</v>
      </c>
      <c r="G22">
        <f t="shared" si="7"/>
        <v>-16.999846005569452</v>
      </c>
      <c r="H22">
        <f>Main!N22</f>
        <v>1.0573000000000001E-2</v>
      </c>
    </row>
    <row r="23" spans="1:8" x14ac:dyDescent="0.25">
      <c r="A23">
        <f>Main!$K$2</f>
        <v>0.02</v>
      </c>
      <c r="B23">
        <f>Main!V23</f>
        <v>30.806788707576331</v>
      </c>
      <c r="C23">
        <f>Main!W23</f>
        <v>135.03105312340509</v>
      </c>
      <c r="D23">
        <f t="shared" si="4"/>
        <v>4.805404436421024</v>
      </c>
      <c r="E23">
        <f t="shared" si="5"/>
        <v>33.488050886149523</v>
      </c>
      <c r="F23">
        <f t="shared" si="6"/>
        <v>122.33501436147201</v>
      </c>
      <c r="G23">
        <f t="shared" si="7"/>
        <v>-20.624803473747733</v>
      </c>
      <c r="H23">
        <f>Main!N23</f>
        <v>1.2297000000000001E-2</v>
      </c>
    </row>
    <row r="24" spans="1:8" x14ac:dyDescent="0.25">
      <c r="A24">
        <f>Main!$K$2</f>
        <v>0.02</v>
      </c>
      <c r="B24">
        <f>Main!V24</f>
        <v>31.476481834796488</v>
      </c>
      <c r="C24">
        <f>Main!W24</f>
        <v>135.04058917161296</v>
      </c>
      <c r="D24">
        <f t="shared" si="4"/>
        <v>5.4751654541440145</v>
      </c>
      <c r="E24">
        <f t="shared" si="5"/>
        <v>35.934751173378963</v>
      </c>
      <c r="F24">
        <f t="shared" si="6"/>
        <v>121.92251829199705</v>
      </c>
      <c r="G24">
        <f t="shared" si="7"/>
        <v>-16.749772597144386</v>
      </c>
      <c r="H24">
        <f>Main!N24</f>
        <v>1.4198000000000001E-2</v>
      </c>
    </row>
    <row r="25" spans="1:8" x14ac:dyDescent="0.25">
      <c r="A25">
        <f>Main!$K$2</f>
        <v>0.02</v>
      </c>
      <c r="B25">
        <f>Main!V25</f>
        <v>32.195081028272959</v>
      </c>
      <c r="C25">
        <f>Main!W25</f>
        <v>135.0523252651721</v>
      </c>
      <c r="D25">
        <f t="shared" si="4"/>
        <v>6.1938604776115938</v>
      </c>
      <c r="E25">
        <f t="shared" si="5"/>
        <v>38.373201539218904</v>
      </c>
      <c r="F25">
        <f t="shared" si="6"/>
        <v>121.58752284005416</v>
      </c>
      <c r="G25">
        <f t="shared" si="7"/>
        <v>-22.749707601619207</v>
      </c>
      <c r="H25">
        <f>Main!N25</f>
        <v>1.6285000000000001E-2</v>
      </c>
    </row>
    <row r="26" spans="1:8" x14ac:dyDescent="0.25">
      <c r="A26">
        <f>Main!$K$2</f>
        <v>0.02</v>
      </c>
      <c r="B26">
        <f>Main!V26</f>
        <v>32.962412021616458</v>
      </c>
      <c r="C26">
        <f>Main!W26</f>
        <v>135.06661460393508</v>
      </c>
      <c r="D26">
        <f t="shared" si="4"/>
        <v>6.9613245083959718</v>
      </c>
      <c r="E26">
        <f t="shared" si="5"/>
        <v>40.804951996019987</v>
      </c>
      <c r="F26">
        <f t="shared" si="6"/>
        <v>121.13252868802178</v>
      </c>
      <c r="G26">
        <f t="shared" si="7"/>
        <v>-20.374655269517206</v>
      </c>
      <c r="H26">
        <f>Main!N26</f>
        <v>1.8568999999999999E-2</v>
      </c>
    </row>
    <row r="27" spans="1:8" x14ac:dyDescent="0.25">
      <c r="A27">
        <f>Main!$K$2</f>
        <v>0.02</v>
      </c>
      <c r="B27">
        <f>Main!V27</f>
        <v>33.778329125308211</v>
      </c>
      <c r="C27">
        <f>Main!W27</f>
        <v>135.08384605373652</v>
      </c>
      <c r="D27">
        <f t="shared" si="4"/>
        <v>7.7774235483163716</v>
      </c>
      <c r="E27">
        <f t="shared" si="5"/>
        <v>43.227602569780423</v>
      </c>
      <c r="F27">
        <f t="shared" si="6"/>
        <v>120.72503558263143</v>
      </c>
      <c r="G27">
        <f t="shared" si="7"/>
        <v>-26.499559391357508</v>
      </c>
      <c r="H27">
        <f>Main!N27</f>
        <v>2.1059000000000001E-2</v>
      </c>
    </row>
    <row r="28" spans="1:8" x14ac:dyDescent="0.25">
      <c r="A28">
        <f>Main!$K$2</f>
        <v>0.02</v>
      </c>
      <c r="B28">
        <f>Main!V28</f>
        <v>34.642635699516489</v>
      </c>
      <c r="C28">
        <f>Main!W28</f>
        <v>135.10444691179401</v>
      </c>
      <c r="D28">
        <f t="shared" si="4"/>
        <v>8.64197559971198</v>
      </c>
      <c r="E28">
        <f t="shared" si="5"/>
        <v>45.642103281433052</v>
      </c>
      <c r="F28">
        <f t="shared" si="6"/>
        <v>120.19504439480428</v>
      </c>
      <c r="G28">
        <f t="shared" si="7"/>
        <v>-22.249492169574836</v>
      </c>
      <c r="H28">
        <f>Main!N28</f>
        <v>2.3767E-2</v>
      </c>
    </row>
    <row r="29" spans="1:8" x14ac:dyDescent="0.25">
      <c r="A29">
        <f>Main!$K$2</f>
        <v>0.02</v>
      </c>
      <c r="B29">
        <f>Main!V29</f>
        <v>35.555150579303046</v>
      </c>
      <c r="C29">
        <f>Main!W29</f>
        <v>135.12888522084617</v>
      </c>
      <c r="D29">
        <f t="shared" si="4"/>
        <v>9.5548176653406411</v>
      </c>
      <c r="E29">
        <f t="shared" si="5"/>
        <v>48.046004169329137</v>
      </c>
      <c r="F29">
        <f t="shared" si="6"/>
        <v>119.75005455141279</v>
      </c>
      <c r="G29">
        <f t="shared" si="7"/>
        <v>-207.1244384213955</v>
      </c>
      <c r="H29">
        <f>Main!N29</f>
        <v>2.6703999999999999E-2</v>
      </c>
    </row>
    <row r="30" spans="1:8" x14ac:dyDescent="0.25">
      <c r="A30">
        <f>Main!$K$2</f>
        <v>0.02</v>
      </c>
      <c r="B30">
        <f>Main!V30</f>
        <v>36.515639348975654</v>
      </c>
      <c r="C30">
        <f>Main!W30</f>
        <v>135.15767289161818</v>
      </c>
      <c r="D30">
        <f t="shared" si="4"/>
        <v>10.515737748727224</v>
      </c>
      <c r="E30">
        <f t="shared" si="5"/>
        <v>50.441005260357393</v>
      </c>
      <c r="F30">
        <f t="shared" si="6"/>
        <v>115.60756578298488</v>
      </c>
      <c r="G30">
        <f t="shared" si="7"/>
        <v>-387.87442732781227</v>
      </c>
      <c r="H30">
        <f>Main!N30</f>
        <v>2.9884000000000001E-2</v>
      </c>
    </row>
    <row r="31" spans="1:8" x14ac:dyDescent="0.25">
      <c r="A31">
        <f>Main!$K$2</f>
        <v>0.02</v>
      </c>
      <c r="B31">
        <f>Main!V31</f>
        <v>37.523896580391295</v>
      </c>
      <c r="C31">
        <f>Main!W31</f>
        <v>135.19136799464854</v>
      </c>
      <c r="D31">
        <f t="shared" si="4"/>
        <v>11.524557853934372</v>
      </c>
      <c r="E31">
        <f t="shared" si="5"/>
        <v>52.753156576017091</v>
      </c>
      <c r="F31">
        <f t="shared" si="6"/>
        <v>107.85007723642863</v>
      </c>
      <c r="G31">
        <f t="shared" si="7"/>
        <v>-384.12439853074073</v>
      </c>
      <c r="H31">
        <f>Main!N31</f>
        <v>3.3319000000000001E-2</v>
      </c>
    </row>
    <row r="32" spans="1:8" x14ac:dyDescent="0.25">
      <c r="A32">
        <f>Main!$K$2</f>
        <v>0.02</v>
      </c>
      <c r="B32">
        <f>Main!V32</f>
        <v>38.578233098017527</v>
      </c>
      <c r="C32">
        <f>Main!W32</f>
        <v>135.23051795114023</v>
      </c>
      <c r="D32">
        <f t="shared" si="4"/>
        <v>12.579620985454714</v>
      </c>
      <c r="E32">
        <f t="shared" si="5"/>
        <v>54.910158120745663</v>
      </c>
      <c r="F32">
        <f t="shared" si="6"/>
        <v>100.16758926581382</v>
      </c>
      <c r="G32">
        <f t="shared" si="7"/>
        <v>-387.62430387006219</v>
      </c>
      <c r="H32">
        <f>Main!N32</f>
        <v>3.7018000000000002E-2</v>
      </c>
    </row>
    <row r="33" spans="1:8" x14ac:dyDescent="0.25">
      <c r="A33">
        <f>Main!$K$2</f>
        <v>0.02</v>
      </c>
      <c r="B33">
        <f>Main!V33</f>
        <v>39.675509182690902</v>
      </c>
      <c r="C33">
        <f>Main!W33</f>
        <v>135.27563313641068</v>
      </c>
      <c r="D33">
        <f t="shared" si="4"/>
        <v>13.677824147869627</v>
      </c>
      <c r="E33">
        <f t="shared" si="5"/>
        <v>56.91350990606194</v>
      </c>
      <c r="F33">
        <f t="shared" si="6"/>
        <v>92.415103188412573</v>
      </c>
      <c r="G33">
        <f t="shared" si="7"/>
        <v>-378.62434556524602</v>
      </c>
      <c r="H33">
        <f>Main!N33</f>
        <v>4.0985000000000001E-2</v>
      </c>
    </row>
    <row r="34" spans="1:8" x14ac:dyDescent="0.25">
      <c r="A34">
        <f>Main!$K$2</f>
        <v>0.02</v>
      </c>
      <c r="B34">
        <f>Main!V34</f>
        <v>40.812609586586795</v>
      </c>
      <c r="C34">
        <f>Main!W34</f>
        <v>135.32722495156349</v>
      </c>
      <c r="D34">
        <f t="shared" si="4"/>
        <v>14.816094345990866</v>
      </c>
      <c r="E34">
        <f t="shared" si="5"/>
        <v>58.761811969830191</v>
      </c>
      <c r="F34">
        <f t="shared" si="6"/>
        <v>84.842616277107652</v>
      </c>
      <c r="G34">
        <f t="shared" si="7"/>
        <v>-383.99923359122567</v>
      </c>
      <c r="H34">
        <f>Main!N34</f>
        <v>4.5221999999999998E-2</v>
      </c>
    </row>
    <row r="35" spans="1:8" x14ac:dyDescent="0.25">
      <c r="A35">
        <f>Main!$K$2</f>
        <v>0.02</v>
      </c>
      <c r="B35">
        <f>Main!V35</f>
        <v>41.986385130811307</v>
      </c>
      <c r="C35">
        <f>Main!W35</f>
        <v>135.38580131344713</v>
      </c>
      <c r="D35">
        <f t="shared" si="4"/>
        <v>15.99133058538747</v>
      </c>
      <c r="E35">
        <f t="shared" si="5"/>
        <v>60.458664295372344</v>
      </c>
      <c r="F35">
        <f t="shared" si="6"/>
        <v>77.162631605283138</v>
      </c>
      <c r="G35">
        <f t="shared" si="7"/>
        <v>-376.62428597240449</v>
      </c>
      <c r="H35">
        <f>Main!N35</f>
        <v>4.9732999999999999E-2</v>
      </c>
    </row>
    <row r="36" spans="1:8" x14ac:dyDescent="0.25">
      <c r="A36">
        <f>Main!$K$2</f>
        <v>0.02</v>
      </c>
      <c r="B36">
        <f>Main!V36</f>
        <v>43.193752602419472</v>
      </c>
      <c r="C36">
        <f>Main!W36</f>
        <v>135.45186055848308</v>
      </c>
      <c r="D36">
        <f t="shared" si="4"/>
        <v>17.200503871294917</v>
      </c>
      <c r="E36">
        <f t="shared" si="5"/>
        <v>62.001916927478007</v>
      </c>
      <c r="F36">
        <f t="shared" si="6"/>
        <v>69.630145885835049</v>
      </c>
      <c r="G36">
        <f t="shared" si="7"/>
        <v>-376.49925887084379</v>
      </c>
      <c r="H36">
        <f>Main!N36</f>
        <v>5.4517000000000003E-2</v>
      </c>
    </row>
    <row r="37" spans="1:8" x14ac:dyDescent="0.25">
      <c r="A37">
        <f>Main!$K$2</f>
        <v>0.02</v>
      </c>
      <c r="B37">
        <f>Main!V37</f>
        <v>44.431579514164561</v>
      </c>
      <c r="C37">
        <f>Main!W37</f>
        <v>135.52588499790932</v>
      </c>
      <c r="D37">
        <f t="shared" si="4"/>
        <v>18.440542209844477</v>
      </c>
      <c r="E37">
        <f t="shared" si="5"/>
        <v>63.394519845194708</v>
      </c>
      <c r="F37">
        <f t="shared" si="6"/>
        <v>62.100160708418173</v>
      </c>
      <c r="G37">
        <f t="shared" si="7"/>
        <v>-376.62423289088309</v>
      </c>
      <c r="H37">
        <f>Main!N37</f>
        <v>5.9575999999999997E-2</v>
      </c>
    </row>
    <row r="38" spans="1:8" x14ac:dyDescent="0.25">
      <c r="A38">
        <f>Main!$K$2</f>
        <v>0.02</v>
      </c>
      <c r="B38">
        <f>Main!V38</f>
        <v>45.696786158530792</v>
      </c>
      <c r="C38">
        <f>Main!W38</f>
        <v>135.60833622963244</v>
      </c>
      <c r="D38">
        <f t="shared" si="4"/>
        <v>19.708432606748371</v>
      </c>
      <c r="E38">
        <f t="shared" si="5"/>
        <v>64.636523059363071</v>
      </c>
      <c r="F38">
        <f t="shared" si="6"/>
        <v>54.567676050600511</v>
      </c>
      <c r="G38">
        <f t="shared" si="7"/>
        <v>-370.99932132807822</v>
      </c>
      <c r="H38">
        <f>Main!N38</f>
        <v>6.4907999999999993E-2</v>
      </c>
    </row>
    <row r="39" spans="1:8" x14ac:dyDescent="0.25">
      <c r="A39">
        <f>Main!$K$2</f>
        <v>0.02</v>
      </c>
      <c r="B39">
        <f>Main!V39</f>
        <v>46.986287742014952</v>
      </c>
      <c r="C39">
        <f>Main!W39</f>
        <v>135.69964729946122</v>
      </c>
      <c r="D39">
        <f t="shared" si="4"/>
        <v>21.001163067935632</v>
      </c>
      <c r="E39">
        <f t="shared" si="5"/>
        <v>65.727876580375082</v>
      </c>
      <c r="F39">
        <f t="shared" si="6"/>
        <v>47.147689624038946</v>
      </c>
      <c r="G39">
        <f t="shared" si="7"/>
        <v>-365.24945101003681</v>
      </c>
      <c r="H39">
        <f>Main!N39</f>
        <v>7.0511000000000004E-2</v>
      </c>
    </row>
    <row r="40" spans="1:8" x14ac:dyDescent="0.25">
      <c r="A40">
        <f>Main!$K$2</f>
        <v>0.02</v>
      </c>
      <c r="B40">
        <f>Main!V40</f>
        <v>48.296992576054272</v>
      </c>
      <c r="C40">
        <f>Main!W40</f>
        <v>135.80021738413836</v>
      </c>
      <c r="D40">
        <f t="shared" si="4"/>
        <v>22.315720599543134</v>
      </c>
      <c r="E40">
        <f t="shared" si="5"/>
        <v>66.67083037285586</v>
      </c>
      <c r="F40">
        <f t="shared" si="6"/>
        <v>39.84270060383821</v>
      </c>
      <c r="G40">
        <f t="shared" si="7"/>
        <v>-368.99940172929746</v>
      </c>
      <c r="H40">
        <f>Main!N40</f>
        <v>7.6383000000000006E-2</v>
      </c>
    </row>
    <row r="41" spans="1:8" x14ac:dyDescent="0.25">
      <c r="A41">
        <f>Main!$K$2</f>
        <v>0.02</v>
      </c>
      <c r="B41">
        <f>Main!V41</f>
        <v>49.625848580410604</v>
      </c>
      <c r="C41">
        <f>Main!W41</f>
        <v>135.9104061709026</v>
      </c>
      <c r="D41">
        <f t="shared" si="4"/>
        <v>23.649137207000251</v>
      </c>
      <c r="E41">
        <f t="shared" si="5"/>
        <v>67.467684384932625</v>
      </c>
      <c r="F41">
        <f t="shared" si="6"/>
        <v>32.462712569252261</v>
      </c>
      <c r="G41">
        <f t="shared" si="7"/>
        <v>-363.62456792240039</v>
      </c>
      <c r="H41">
        <f>Main!N41</f>
        <v>8.2518999999999995E-2</v>
      </c>
    </row>
    <row r="42" spans="1:8" x14ac:dyDescent="0.25">
      <c r="A42">
        <f>Main!$K$2</f>
        <v>0.02</v>
      </c>
      <c r="B42">
        <f>Main!V42</f>
        <v>50.969845104361688</v>
      </c>
      <c r="C42">
        <f>Main!W42</f>
        <v>136.03052577010837</v>
      </c>
      <c r="D42">
        <f t="shared" si="4"/>
        <v>24.998490894698904</v>
      </c>
      <c r="E42">
        <f t="shared" si="5"/>
        <v>68.11693863631767</v>
      </c>
      <c r="F42">
        <f t="shared" si="6"/>
        <v>25.190221210804253</v>
      </c>
      <c r="G42">
        <f t="shared" si="7"/>
        <v>-355.8748287093394</v>
      </c>
      <c r="H42">
        <f>Main!N42</f>
        <v>8.8911000000000004E-2</v>
      </c>
    </row>
    <row r="43" spans="1:8" x14ac:dyDescent="0.25">
      <c r="A43">
        <f>Main!$K$2</f>
        <v>0.02</v>
      </c>
      <c r="B43">
        <f>Main!V43</f>
        <v>52.325937667701531</v>
      </c>
      <c r="C43">
        <f>Main!W43</f>
        <v>136.16083268215803</v>
      </c>
      <c r="D43">
        <f t="shared" si="4"/>
        <v>26.360829667425257</v>
      </c>
      <c r="E43">
        <f t="shared" si="5"/>
        <v>68.620743060533755</v>
      </c>
      <c r="F43">
        <f t="shared" si="6"/>
        <v>18.072724636617465</v>
      </c>
      <c r="G43">
        <f t="shared" si="7"/>
        <v>-361.49976388433203</v>
      </c>
      <c r="H43">
        <f>Main!N43</f>
        <v>9.5552999999999999E-2</v>
      </c>
    </row>
    <row r="44" spans="1:8" x14ac:dyDescent="0.25">
      <c r="A44">
        <f>Main!$K$2</f>
        <v>0.02</v>
      </c>
      <c r="B44">
        <f>Main!V44</f>
        <v>53.691121977100593</v>
      </c>
      <c r="C44">
        <f>Main!W44</f>
        <v>136.30152508651065</v>
      </c>
      <c r="D44">
        <f t="shared" si="4"/>
        <v>27.733244528635932</v>
      </c>
      <c r="E44">
        <f t="shared" si="5"/>
        <v>68.982197553266104</v>
      </c>
      <c r="F44">
        <f t="shared" si="6"/>
        <v>10.842729358930825</v>
      </c>
      <c r="G44">
        <f t="shared" si="7"/>
        <v>-348.50023753207893</v>
      </c>
      <c r="H44">
        <f>Main!N44</f>
        <v>0.102436</v>
      </c>
    </row>
    <row r="45" spans="1:8" x14ac:dyDescent="0.25">
      <c r="A45">
        <f>Main!$K$2</f>
        <v>0.02</v>
      </c>
      <c r="B45">
        <f>Main!V45</f>
        <v>55.062454449658766</v>
      </c>
      <c r="C45">
        <f>Main!W45</f>
        <v>136.45273580510766</v>
      </c>
      <c r="D45">
        <f t="shared" si="4"/>
        <v>29.112888479701255</v>
      </c>
      <c r="E45">
        <f t="shared" si="5"/>
        <v>69.199052140444721</v>
      </c>
      <c r="F45">
        <f t="shared" si="6"/>
        <v>3.8727246082892464</v>
      </c>
      <c r="G45">
        <f t="shared" si="7"/>
        <v>-354.12519180997748</v>
      </c>
      <c r="H45">
        <f>Main!N45</f>
        <v>0.10954700000000001</v>
      </c>
    </row>
    <row r="46" spans="1:8" x14ac:dyDescent="0.25">
      <c r="A46">
        <f>Main!$K$2</f>
        <v>0.02</v>
      </c>
      <c r="B46">
        <f>Main!V46</f>
        <v>56.43694662248442</v>
      </c>
      <c r="C46">
        <f>Main!W46</f>
        <v>136.61452206439876</v>
      </c>
      <c r="D46">
        <f t="shared" si="4"/>
        <v>30.496869522510149</v>
      </c>
      <c r="E46">
        <f t="shared" si="5"/>
        <v>69.276506632610506</v>
      </c>
      <c r="F46">
        <f t="shared" si="6"/>
        <v>-3.2097792279103032</v>
      </c>
      <c r="G46">
        <f t="shared" si="7"/>
        <v>-169.5001177046862</v>
      </c>
      <c r="H46">
        <f>Main!N46</f>
        <v>0.11687599999999999</v>
      </c>
    </row>
    <row r="47" spans="1:8" x14ac:dyDescent="0.25">
      <c r="A47">
        <f>Main!$K$2</f>
        <v>0.02</v>
      </c>
      <c r="B47">
        <f>Main!V47</f>
        <v>57.811715920724815</v>
      </c>
      <c r="C47">
        <f>Main!W47</f>
        <v>136.78686801039942</v>
      </c>
      <c r="D47">
        <f t="shared" si="4"/>
        <v>31.882399655162359</v>
      </c>
      <c r="E47">
        <f t="shared" si="5"/>
        <v>69.2123110480523</v>
      </c>
      <c r="F47">
        <f t="shared" si="6"/>
        <v>-6.5997815820040273</v>
      </c>
      <c r="G47">
        <f t="shared" si="7"/>
        <v>1.8754542834287236</v>
      </c>
      <c r="H47">
        <f>Main!N47</f>
        <v>0.124406</v>
      </c>
    </row>
    <row r="48" spans="1:8" x14ac:dyDescent="0.25">
      <c r="A48">
        <f>Main!$K$2</f>
        <v>0.02</v>
      </c>
      <c r="B48">
        <f>Main!V48</f>
        <v>59.183838758019277</v>
      </c>
      <c r="C48">
        <f>Main!W48</f>
        <v>136.96966986930661</v>
      </c>
      <c r="D48">
        <f t="shared" si="4"/>
        <v>33.266645876123405</v>
      </c>
      <c r="E48">
        <f t="shared" si="5"/>
        <v>69.080315416412219</v>
      </c>
      <c r="F48">
        <f t="shared" si="6"/>
        <v>-6.5622724963354528</v>
      </c>
      <c r="G48">
        <f t="shared" si="7"/>
        <v>5.6253193410071844</v>
      </c>
      <c r="H48">
        <f>Main!N48</f>
        <v>0.13212299999999999</v>
      </c>
    </row>
    <row r="49" spans="1:8" x14ac:dyDescent="0.25">
      <c r="A49">
        <f>Main!$K$2</f>
        <v>0.02</v>
      </c>
      <c r="B49">
        <f>Main!V49</f>
        <v>60.55185905387782</v>
      </c>
      <c r="C49">
        <f>Main!W49</f>
        <v>137.16294806603742</v>
      </c>
      <c r="D49">
        <f t="shared" si="4"/>
        <v>34.64825218445165</v>
      </c>
      <c r="E49">
        <f t="shared" si="5"/>
        <v>68.94906996648551</v>
      </c>
      <c r="F49">
        <f t="shared" si="6"/>
        <v>-6.4497661095153092</v>
      </c>
      <c r="G49">
        <f t="shared" si="7"/>
        <v>5.6253047731047445</v>
      </c>
      <c r="H49">
        <f>Main!N49</f>
        <v>0.140016</v>
      </c>
    </row>
    <row r="50" spans="1:8" x14ac:dyDescent="0.25">
      <c r="A50">
        <f>Main!$K$2</f>
        <v>0.02</v>
      </c>
      <c r="B50">
        <f>Main!V50</f>
        <v>61.915676195327748</v>
      </c>
      <c r="C50">
        <f>Main!W50</f>
        <v>137.36689047061449</v>
      </c>
      <c r="D50">
        <f t="shared" si="4"/>
        <v>36.02723358378136</v>
      </c>
      <c r="E50">
        <f t="shared" si="5"/>
        <v>68.820074644295204</v>
      </c>
      <c r="F50">
        <f t="shared" si="6"/>
        <v>-6.3372600140532143</v>
      </c>
      <c r="G50">
        <f t="shared" si="7"/>
        <v>3.7503650407444411</v>
      </c>
      <c r="H50">
        <f>Main!N50</f>
        <v>0.14808399999999999</v>
      </c>
    </row>
    <row r="51" spans="1:8" x14ac:dyDescent="0.25">
      <c r="A51">
        <f>Main!$K$2</f>
        <v>0.02</v>
      </c>
      <c r="B51">
        <f>Main!V51</f>
        <v>63.275214840024155</v>
      </c>
      <c r="C51">
        <f>Main!W51</f>
        <v>137.58168279635171</v>
      </c>
      <c r="D51">
        <f t="shared" si="4"/>
        <v>37.403635076667264</v>
      </c>
      <c r="E51">
        <f t="shared" si="5"/>
        <v>68.69332944401414</v>
      </c>
      <c r="F51">
        <f t="shared" si="6"/>
        <v>-6.2622527132383254</v>
      </c>
      <c r="G51">
        <f t="shared" si="7"/>
        <v>9.3751223646520998</v>
      </c>
      <c r="H51">
        <f>Main!N51</f>
        <v>0.15632399999999999</v>
      </c>
    </row>
    <row r="52" spans="1:8" x14ac:dyDescent="0.25">
      <c r="A52">
        <f>Main!$K$2</f>
        <v>0.02</v>
      </c>
      <c r="B52">
        <f>Main!V52</f>
        <v>64.630395194741524</v>
      </c>
      <c r="C52">
        <f>Main!W52</f>
        <v>137.80750487284035</v>
      </c>
      <c r="D52">
        <f t="shared" si="4"/>
        <v>38.777501665547547</v>
      </c>
      <c r="E52">
        <f t="shared" si="5"/>
        <v>68.568084389749373</v>
      </c>
      <c r="F52">
        <f t="shared" si="6"/>
        <v>-6.0747502659452834</v>
      </c>
      <c r="G52">
        <f t="shared" si="7"/>
        <v>3.7503324188392639</v>
      </c>
      <c r="H52">
        <f>Main!N52</f>
        <v>0.16473299999999999</v>
      </c>
    </row>
    <row r="53" spans="1:8" x14ac:dyDescent="0.25">
      <c r="A53">
        <f>Main!$K$2</f>
        <v>0.02</v>
      </c>
      <c r="B53">
        <f>Main!V53</f>
        <v>65.981118034687967</v>
      </c>
      <c r="C53">
        <f>Main!W53</f>
        <v>138.04452953062713</v>
      </c>
      <c r="D53">
        <f t="shared" si="4"/>
        <v>40.148863353342534</v>
      </c>
      <c r="E53">
        <f t="shared" si="5"/>
        <v>68.446589384430467</v>
      </c>
      <c r="F53">
        <f t="shared" si="6"/>
        <v>-5.9997436175684982</v>
      </c>
      <c r="G53">
        <f t="shared" si="7"/>
        <v>-19405.676612790579</v>
      </c>
      <c r="H53">
        <f>Main!N53</f>
        <v>0.17330899999999999</v>
      </c>
    </row>
    <row r="54" spans="1:8" x14ac:dyDescent="0.25">
      <c r="A54">
        <f>Main!$K$2</f>
        <v>0.02</v>
      </c>
      <c r="B54">
        <f>Main!V54</f>
        <v>67.327324650679927</v>
      </c>
      <c r="C54">
        <f>Main!W54</f>
        <v>138.29292837604274</v>
      </c>
      <c r="D54">
        <f t="shared" si="4"/>
        <v>41.517795141031144</v>
      </c>
      <c r="E54">
        <f t="shared" si="5"/>
        <v>68.326594512079097</v>
      </c>
      <c r="F54">
        <f t="shared" si="6"/>
        <v>-394.11327587338008</v>
      </c>
      <c r="G54">
        <f t="shared" si="7"/>
        <v>11308.229289157091</v>
      </c>
      <c r="H54">
        <f>Main!N54</f>
        <v>0.18204699999999999</v>
      </c>
    </row>
    <row r="55" spans="1:8" x14ac:dyDescent="0.25">
      <c r="A55">
        <f>Main!$K$2</f>
        <v>0.02</v>
      </c>
      <c r="B55">
        <f>Main!V55</f>
        <v>68.668907445100089</v>
      </c>
      <c r="C55">
        <f>Main!W55</f>
        <v>138.55286108418665</v>
      </c>
      <c r="D55">
        <f t="shared" si="4"/>
        <v>42.884327031272726</v>
      </c>
      <c r="E55">
        <f t="shared" si="5"/>
        <v>60.444328994611496</v>
      </c>
      <c r="F55">
        <f t="shared" si="6"/>
        <v>-167.94869009023827</v>
      </c>
      <c r="G55">
        <f t="shared" si="7"/>
        <v>10161.166323573667</v>
      </c>
      <c r="H55">
        <f>Main!N55</f>
        <v>0.190945</v>
      </c>
    </row>
    <row r="56" spans="1:8" x14ac:dyDescent="0.25">
      <c r="A56">
        <f>Main!$K$2</f>
        <v>0.02</v>
      </c>
      <c r="B56">
        <f>Main!V56</f>
        <v>69.850553454935337</v>
      </c>
      <c r="C56">
        <f>Main!W56</f>
        <v>138.80804625319919</v>
      </c>
      <c r="D56">
        <f t="shared" si="4"/>
        <v>44.093213611164956</v>
      </c>
      <c r="E56">
        <f t="shared" si="5"/>
        <v>57.08535519280673</v>
      </c>
      <c r="F56">
        <f t="shared" si="6"/>
        <v>35.274636381235069</v>
      </c>
      <c r="G56">
        <f t="shared" si="7"/>
        <v>112.52339848244475</v>
      </c>
      <c r="H56">
        <f>Main!N56</f>
        <v>0.21035400000000001</v>
      </c>
    </row>
    <row r="57" spans="1:8" x14ac:dyDescent="0.25">
      <c r="A57">
        <f>Main!$K$2</f>
        <v>0.02</v>
      </c>
      <c r="B57">
        <f>Main!V57</f>
        <v>70.960079705293495</v>
      </c>
      <c r="C57">
        <f>Main!W57</f>
        <v>139.07720533397065</v>
      </c>
      <c r="D57">
        <f t="shared" si="4"/>
        <v>45.23492071502109</v>
      </c>
      <c r="E57">
        <f t="shared" si="5"/>
        <v>57.790847920431432</v>
      </c>
      <c r="F57">
        <f t="shared" si="6"/>
        <v>37.525104350883964</v>
      </c>
      <c r="G57">
        <f t="shared" si="7"/>
        <v>97.534769123441833</v>
      </c>
      <c r="H57">
        <f>Main!N57</f>
        <v>0.23424300000000001</v>
      </c>
    </row>
    <row r="58" spans="1:8" x14ac:dyDescent="0.25">
      <c r="A58">
        <f>Main!$K$2</f>
        <v>0.02</v>
      </c>
      <c r="B58">
        <f>Main!V58</f>
        <v>72.076868767142372</v>
      </c>
      <c r="C58">
        <f>Main!W58</f>
        <v>139.37502244677594</v>
      </c>
      <c r="D58">
        <f t="shared" si="4"/>
        <v>46.390737673429719</v>
      </c>
      <c r="E58">
        <f t="shared" si="5"/>
        <v>58.541350007449111</v>
      </c>
      <c r="F58">
        <f t="shared" si="6"/>
        <v>39.475799733352801</v>
      </c>
      <c r="G58">
        <f t="shared" si="7"/>
        <v>73.170755030105283</v>
      </c>
      <c r="H58">
        <f>Main!N58</f>
        <v>0.257191</v>
      </c>
    </row>
    <row r="59" spans="1:8" x14ac:dyDescent="0.25">
      <c r="A59">
        <f>Main!$K$2</f>
        <v>0.02</v>
      </c>
      <c r="B59">
        <f>Main!V59</f>
        <v>73.201376250280831</v>
      </c>
      <c r="C59">
        <f>Main!W59</f>
        <v>139.7010880607917</v>
      </c>
      <c r="D59">
        <f t="shared" si="4"/>
        <v>47.561564673578701</v>
      </c>
      <c r="E59">
        <f t="shared" si="5"/>
        <v>59.330866002116167</v>
      </c>
      <c r="F59">
        <f t="shared" si="6"/>
        <v>40.939214833954907</v>
      </c>
      <c r="G59">
        <f t="shared" si="7"/>
        <v>60.050519212317965</v>
      </c>
      <c r="H59">
        <f>Main!N59</f>
        <v>0.279138</v>
      </c>
    </row>
    <row r="60" spans="1:8" x14ac:dyDescent="0.25">
      <c r="A60">
        <f>Main!$K$2</f>
        <v>0.02</v>
      </c>
      <c r="B60">
        <f>Main!V60</f>
        <v>74.334011882200713</v>
      </c>
      <c r="C60">
        <f>Main!W60</f>
        <v>140.0549202095994</v>
      </c>
      <c r="D60">
        <f t="shared" si="4"/>
        <v>48.748181993621024</v>
      </c>
      <c r="E60">
        <f t="shared" si="5"/>
        <v>60.149650298795265</v>
      </c>
      <c r="F60">
        <f t="shared" si="6"/>
        <v>42.140225218201266</v>
      </c>
      <c r="G60">
        <f t="shared" si="7"/>
        <v>41.304201959135867</v>
      </c>
      <c r="H60">
        <f>Main!N60</f>
        <v>0.30003200000000002</v>
      </c>
    </row>
    <row r="61" spans="1:8" x14ac:dyDescent="0.25">
      <c r="A61">
        <f>Main!$K$2</f>
        <v>0.02</v>
      </c>
      <c r="B61">
        <f>Main!V61</f>
        <v>75.475070227894832</v>
      </c>
      <c r="C61">
        <f>Main!W61</f>
        <v>140.43594255034697</v>
      </c>
      <c r="D61">
        <f t="shared" si="4"/>
        <v>49.95117499959693</v>
      </c>
      <c r="E61">
        <f t="shared" si="5"/>
        <v>60.992454803159291</v>
      </c>
      <c r="F61">
        <f t="shared" si="6"/>
        <v>42.966309257383983</v>
      </c>
      <c r="G61">
        <f t="shared" si="7"/>
        <v>31.928857382901299</v>
      </c>
      <c r="H61">
        <f>Main!N61</f>
        <v>0.31983400000000001</v>
      </c>
    </row>
    <row r="62" spans="1:8" x14ac:dyDescent="0.25">
      <c r="A62">
        <f>Main!$K$2</f>
        <v>0.02</v>
      </c>
      <c r="B62">
        <f>Main!V62</f>
        <v>76.624821183776376</v>
      </c>
      <c r="C62">
        <f>Main!W62</f>
        <v>140.84350181795801</v>
      </c>
      <c r="D62">
        <f t="shared" si="4"/>
        <v>51.171024095660115</v>
      </c>
      <c r="E62">
        <f t="shared" si="5"/>
        <v>61.85178098830697</v>
      </c>
      <c r="F62">
        <f t="shared" si="6"/>
        <v>43.604886405042009</v>
      </c>
      <c r="G62">
        <f t="shared" si="7"/>
        <v>18.802814157226067</v>
      </c>
      <c r="H62">
        <f>Main!N62</f>
        <v>0.33851199999999998</v>
      </c>
    </row>
    <row r="63" spans="1:8" x14ac:dyDescent="0.25">
      <c r="A63">
        <f>Main!$K$2</f>
        <v>0.02</v>
      </c>
      <c r="B63">
        <f>Main!V63</f>
        <v>77.783468213441623</v>
      </c>
      <c r="C63">
        <f>Main!W63</f>
        <v>141.27685408253973</v>
      </c>
      <c r="D63">
        <f t="shared" si="4"/>
        <v>52.408059715426255</v>
      </c>
      <c r="E63">
        <f t="shared" si="5"/>
        <v>62.72387871640781</v>
      </c>
      <c r="F63">
        <f t="shared" si="6"/>
        <v>43.980942688186531</v>
      </c>
      <c r="G63">
        <f t="shared" si="7"/>
        <v>5.6754267019343274</v>
      </c>
      <c r="H63">
        <f>Main!N63</f>
        <v>0.35604400000000003</v>
      </c>
    </row>
    <row r="64" spans="1:8" x14ac:dyDescent="0.25">
      <c r="A64">
        <f>Main!$K$2</f>
        <v>0.02</v>
      </c>
      <c r="B64">
        <f>Main!V64</f>
        <v>78.951221229634172</v>
      </c>
      <c r="C64">
        <f>Main!W64</f>
        <v>141.73518461574199</v>
      </c>
      <c r="D64">
        <f t="shared" si="4"/>
        <v>53.662537289754411</v>
      </c>
      <c r="E64">
        <f t="shared" si="5"/>
        <v>63.603497570171541</v>
      </c>
      <c r="F64">
        <f t="shared" si="6"/>
        <v>44.094451222225217</v>
      </c>
      <c r="G64">
        <f t="shared" si="7"/>
        <v>1.9210917887590995</v>
      </c>
      <c r="H64">
        <f>Main!N64</f>
        <v>0.37241299999999999</v>
      </c>
    </row>
    <row r="65" spans="1:8" x14ac:dyDescent="0.25">
      <c r="A65">
        <f>Main!$K$2</f>
        <v>0.02</v>
      </c>
      <c r="B65">
        <f>Main!V65</f>
        <v>80.128267547864453</v>
      </c>
      <c r="C65">
        <f>Main!W65</f>
        <v>142.21759929835858</v>
      </c>
      <c r="D65">
        <f t="shared" si="4"/>
        <v>54.934607241157842</v>
      </c>
      <c r="E65">
        <f t="shared" si="5"/>
        <v>64.485386594616045</v>
      </c>
      <c r="F65">
        <f t="shared" si="6"/>
        <v>44.132873058000399</v>
      </c>
      <c r="G65">
        <f t="shared" si="7"/>
        <v>-3.7082094941354171</v>
      </c>
      <c r="H65">
        <f>Main!N65</f>
        <v>0.38760899999999998</v>
      </c>
    </row>
    <row r="66" spans="1:8" x14ac:dyDescent="0.25">
      <c r="A66">
        <f>Main!$K$2</f>
        <v>0.02</v>
      </c>
      <c r="B66">
        <f>Main!V66</f>
        <v>81.314770256544747</v>
      </c>
      <c r="C66">
        <f>Main!W66</f>
        <v>142.72312610872294</v>
      </c>
      <c r="D66">
        <f t="shared" si="4"/>
        <v>56.224314973050163</v>
      </c>
      <c r="E66">
        <f t="shared" si="5"/>
        <v>65.368044055776053</v>
      </c>
      <c r="F66">
        <f t="shared" si="6"/>
        <v>44.058708868117691</v>
      </c>
      <c r="G66">
        <f t="shared" si="7"/>
        <v>-11.212556275452812</v>
      </c>
      <c r="H66">
        <f>Main!N66</f>
        <v>0.40162900000000001</v>
      </c>
    </row>
    <row r="67" spans="1:8" x14ac:dyDescent="0.25">
      <c r="A67">
        <f>Main!$K$2</f>
        <v>0.02</v>
      </c>
      <c r="B67">
        <f>Main!V67</f>
        <v>82.510936980258265</v>
      </c>
      <c r="C67">
        <f>Main!W67</f>
        <v>143.25074116020613</v>
      </c>
      <c r="D67">
        <f t="shared" si="4"/>
        <v>57.531675854165684</v>
      </c>
      <c r="E67">
        <f t="shared" si="5"/>
        <v>66.249218233138407</v>
      </c>
      <c r="F67">
        <f t="shared" si="6"/>
        <v>43.834457742608635</v>
      </c>
      <c r="G67">
        <f t="shared" si="7"/>
        <v>-13.092337244557939</v>
      </c>
      <c r="H67">
        <f>Main!N67</f>
        <v>0.41447200000000001</v>
      </c>
    </row>
    <row r="68" spans="1:8" x14ac:dyDescent="0.25">
      <c r="A68">
        <f>Main!$K$2</f>
        <v>0.02</v>
      </c>
      <c r="B68">
        <f>Main!V68</f>
        <v>83.717003048936704</v>
      </c>
      <c r="C68">
        <f>Main!W68</f>
        <v>143.79936507928306</v>
      </c>
      <c r="D68">
        <f t="shared" si="4"/>
        <v>58.856660218828452</v>
      </c>
      <c r="E68">
        <f t="shared" si="5"/>
        <v>67.12590738799058</v>
      </c>
      <c r="F68">
        <f t="shared" si="6"/>
        <v>43.572610997717476</v>
      </c>
      <c r="G68">
        <f t="shared" si="7"/>
        <v>-14.971891783233104</v>
      </c>
      <c r="H68">
        <f>Main!N68</f>
        <v>0.42614000000000002</v>
      </c>
    </row>
    <row r="69" spans="1:8" x14ac:dyDescent="0.25">
      <c r="A69">
        <f>Main!$K$2</f>
        <v>0.02</v>
      </c>
      <c r="B69">
        <f>Main!V69</f>
        <v>84.933213794308102</v>
      </c>
      <c r="C69">
        <f>Main!W69</f>
        <v>144.36785993405977</v>
      </c>
      <c r="D69">
        <f t="shared" ref="D69:D131" si="8">D68 + SQRT( (B69-B68)^2  + (C69-C68)^2 )</f>
        <v>60.199178366588264</v>
      </c>
      <c r="E69">
        <f t="shared" ref="E69:E131" si="9" xml:space="preserve"> IF(ISBLANK(D70), 0, (D70-D69)/$A69 )</f>
        <v>67.997359607944929</v>
      </c>
      <c r="F69">
        <f t="shared" ref="F69:F131" si="10" xml:space="preserve"> (E70-E69)/$A69</f>
        <v>43.273173162052814</v>
      </c>
      <c r="G69">
        <f t="shared" ref="G69:G131" si="11" xml:space="preserve"> (F70-F69)/$A69</f>
        <v>-14.976257887155953</v>
      </c>
      <c r="H69">
        <f>Main!N69</f>
        <v>0.436639</v>
      </c>
    </row>
    <row r="70" spans="1:8" x14ac:dyDescent="0.25">
      <c r="A70">
        <f>Main!$K$2</f>
        <v>0.02</v>
      </c>
      <c r="B70">
        <f>Main!V70</f>
        <v>86.159862530265556</v>
      </c>
      <c r="C70">
        <f>Main!W70</f>
        <v>144.9550475054838</v>
      </c>
      <c r="D70">
        <f t="shared" si="8"/>
        <v>61.559125558747162</v>
      </c>
      <c r="E70">
        <f t="shared" si="9"/>
        <v>68.862823071185986</v>
      </c>
      <c r="F70">
        <f t="shared" si="10"/>
        <v>42.973648004309695</v>
      </c>
      <c r="G70">
        <f t="shared" si="11"/>
        <v>-14.980314223755897</v>
      </c>
      <c r="H70">
        <f>Main!N70</f>
        <v>0.44597599999999998</v>
      </c>
    </row>
    <row r="71" spans="1:8" x14ac:dyDescent="0.25">
      <c r="A71">
        <f>Main!$K$2</f>
        <v>0.02</v>
      </c>
      <c r="B71">
        <f>Main!V71</f>
        <v>87.397286510535082</v>
      </c>
      <c r="C71">
        <f>Main!W71</f>
        <v>145.55971043107732</v>
      </c>
      <c r="D71">
        <f t="shared" si="8"/>
        <v>62.936382020170882</v>
      </c>
      <c r="E71">
        <f t="shared" si="9"/>
        <v>69.72229603127218</v>
      </c>
      <c r="F71">
        <f t="shared" si="10"/>
        <v>42.674041719834577</v>
      </c>
      <c r="G71">
        <f t="shared" si="11"/>
        <v>-11.234127237358393</v>
      </c>
      <c r="H71">
        <f>Main!N71</f>
        <v>0.45415899999999998</v>
      </c>
    </row>
    <row r="72" spans="1:8" x14ac:dyDescent="0.25">
      <c r="A72">
        <f>Main!$K$2</f>
        <v>0.02</v>
      </c>
      <c r="B72">
        <f>Main!V72</f>
        <v>88.645876647463695</v>
      </c>
      <c r="C72">
        <f>Main!W72</f>
        <v>146.18059858164352</v>
      </c>
      <c r="D72">
        <f t="shared" si="8"/>
        <v>64.330827940796325</v>
      </c>
      <c r="E72">
        <f t="shared" si="9"/>
        <v>70.575776865668871</v>
      </c>
      <c r="F72">
        <f t="shared" si="10"/>
        <v>42.449359175087409</v>
      </c>
      <c r="G72">
        <f t="shared" si="11"/>
        <v>-14.98754456186191</v>
      </c>
      <c r="H72">
        <f>Main!N72</f>
        <v>0.46119599999999999</v>
      </c>
    </row>
    <row r="73" spans="1:8" x14ac:dyDescent="0.25">
      <c r="A73">
        <f>Main!$K$2</f>
        <v>0.02</v>
      </c>
      <c r="B73">
        <f>Main!V73</f>
        <v>89.906073322925522</v>
      </c>
      <c r="C73">
        <f>Main!W73</f>
        <v>146.81642910248382</v>
      </c>
      <c r="D73">
        <f t="shared" si="8"/>
        <v>65.742343478109703</v>
      </c>
      <c r="E73">
        <f t="shared" si="9"/>
        <v>71.424764049170619</v>
      </c>
      <c r="F73">
        <f t="shared" si="10"/>
        <v>42.149608283850171</v>
      </c>
      <c r="G73">
        <f t="shared" si="11"/>
        <v>-7.4908350651270439</v>
      </c>
      <c r="H73">
        <f>Main!N73</f>
        <v>0.46709499999999998</v>
      </c>
    </row>
    <row r="74" spans="1:8" x14ac:dyDescent="0.25">
      <c r="A74">
        <f>Main!$K$2</f>
        <v>0.02</v>
      </c>
      <c r="B74">
        <f>Main!V74</f>
        <v>91.178390116761378</v>
      </c>
      <c r="C74">
        <f>Main!W74</f>
        <v>147.46589714936152</v>
      </c>
      <c r="D74">
        <f t="shared" si="8"/>
        <v>67.170838759093115</v>
      </c>
      <c r="E74">
        <f t="shared" si="9"/>
        <v>72.267756214847623</v>
      </c>
      <c r="F74">
        <f t="shared" si="10"/>
        <v>41.99979158254763</v>
      </c>
      <c r="G74">
        <f t="shared" si="11"/>
        <v>-9.3688137461356291</v>
      </c>
      <c r="H74">
        <f>Main!N74</f>
        <v>0.471862</v>
      </c>
    </row>
    <row r="75" spans="1:8" x14ac:dyDescent="0.25">
      <c r="A75">
        <f>Main!$K$2</f>
        <v>0.02</v>
      </c>
      <c r="B75">
        <f>Main!V75</f>
        <v>92.463354362488957</v>
      </c>
      <c r="C75">
        <f>Main!W75</f>
        <v>148.12765112368521</v>
      </c>
      <c r="D75">
        <f t="shared" si="8"/>
        <v>68.616193883390068</v>
      </c>
      <c r="E75">
        <f t="shared" si="9"/>
        <v>73.107752046498575</v>
      </c>
      <c r="F75">
        <f t="shared" si="10"/>
        <v>41.812415307624917</v>
      </c>
      <c r="G75">
        <f t="shared" si="11"/>
        <v>3.3608689165021133E-3</v>
      </c>
      <c r="H75">
        <f>Main!N75</f>
        <v>0.47550500000000001</v>
      </c>
    </row>
    <row r="76" spans="1:8" x14ac:dyDescent="0.25">
      <c r="A76">
        <f>Main!$K$2</f>
        <v>0.02</v>
      </c>
      <c r="B76">
        <f>Main!V76</f>
        <v>93.761585454474726</v>
      </c>
      <c r="C76">
        <f>Main!W76</f>
        <v>148.80032741694845</v>
      </c>
      <c r="D76">
        <f t="shared" si="8"/>
        <v>70.078348924320039</v>
      </c>
      <c r="E76">
        <f t="shared" si="9"/>
        <v>73.944000352651074</v>
      </c>
      <c r="F76">
        <f t="shared" si="10"/>
        <v>41.812482525003247</v>
      </c>
      <c r="G76">
        <f t="shared" si="11"/>
        <v>-3.7493053781645358</v>
      </c>
      <c r="H76">
        <f>Main!N76</f>
        <v>0.47802800000000001</v>
      </c>
    </row>
    <row r="77" spans="1:8" x14ac:dyDescent="0.25">
      <c r="A77">
        <f>Main!$K$2</f>
        <v>0.02</v>
      </c>
      <c r="B77">
        <f>Main!V77</f>
        <v>95.073722609515713</v>
      </c>
      <c r="C77">
        <f>Main!W77</f>
        <v>149.48251665874437</v>
      </c>
      <c r="D77">
        <f t="shared" si="8"/>
        <v>71.557228931373061</v>
      </c>
      <c r="E77">
        <f t="shared" si="9"/>
        <v>74.780250003151139</v>
      </c>
      <c r="F77">
        <f t="shared" si="10"/>
        <v>41.737496417439957</v>
      </c>
      <c r="G77">
        <f t="shared" si="11"/>
        <v>1.8731219668666199</v>
      </c>
      <c r="H77">
        <f>Main!N77</f>
        <v>0.47943599999999997</v>
      </c>
    </row>
    <row r="78" spans="1:8" x14ac:dyDescent="0.25">
      <c r="A78">
        <f>Main!$K$2</f>
        <v>0.02</v>
      </c>
      <c r="B78">
        <f>Main!V78</f>
        <v>96.40050346840458</v>
      </c>
      <c r="C78">
        <f>Main!W78</f>
        <v>150.1727969414554</v>
      </c>
      <c r="D78">
        <f t="shared" si="8"/>
        <v>73.052833931436084</v>
      </c>
      <c r="E78">
        <f t="shared" si="9"/>
        <v>75.614999931499938</v>
      </c>
      <c r="F78">
        <f t="shared" si="10"/>
        <v>41.774958856777289</v>
      </c>
      <c r="G78">
        <f t="shared" si="11"/>
        <v>7.4955990072567147</v>
      </c>
      <c r="H78">
        <f>Main!N78</f>
        <v>0.47972900000000002</v>
      </c>
    </row>
    <row r="79" spans="1:8" x14ac:dyDescent="0.25">
      <c r="A79">
        <f>Main!$K$2</f>
        <v>0.02</v>
      </c>
      <c r="B79">
        <f>Main!V79</f>
        <v>97.742664664929748</v>
      </c>
      <c r="C79">
        <f>Main!W79</f>
        <v>150.86968617827745</v>
      </c>
      <c r="D79">
        <f t="shared" si="8"/>
        <v>74.565133930066082</v>
      </c>
      <c r="E79">
        <f t="shared" si="9"/>
        <v>76.450499108635483</v>
      </c>
      <c r="F79">
        <f t="shared" si="10"/>
        <v>41.924870836922423</v>
      </c>
      <c r="G79">
        <f t="shared" si="11"/>
        <v>5.6181181449233009</v>
      </c>
      <c r="H79">
        <f>Main!N79</f>
        <v>0.47890899999999997</v>
      </c>
    </row>
    <row r="80" spans="1:8" x14ac:dyDescent="0.25">
      <c r="A80">
        <f>Main!$K$2</f>
        <v>0.02</v>
      </c>
      <c r="B80">
        <f>Main!V80</f>
        <v>99.101005515090733</v>
      </c>
      <c r="C80">
        <f>Main!W80</f>
        <v>151.57167026667813</v>
      </c>
      <c r="D80">
        <f t="shared" si="8"/>
        <v>76.094143912238792</v>
      </c>
      <c r="E80">
        <f t="shared" si="9"/>
        <v>77.288996525373932</v>
      </c>
      <c r="F80">
        <f t="shared" si="10"/>
        <v>42.037233199820889</v>
      </c>
      <c r="G80">
        <f t="shared" si="11"/>
        <v>14.990548757864985</v>
      </c>
      <c r="H80">
        <f>Main!N80</f>
        <v>0.47697499999999998</v>
      </c>
    </row>
    <row r="81" spans="1:8" x14ac:dyDescent="0.25">
      <c r="A81">
        <f>Main!$K$2</f>
        <v>0.02</v>
      </c>
      <c r="B81">
        <f>Main!V81</f>
        <v>100.47638505420977</v>
      </c>
      <c r="C81">
        <f>Main!W81</f>
        <v>152.27719611094778</v>
      </c>
      <c r="D81">
        <f t="shared" si="8"/>
        <v>77.639923842746271</v>
      </c>
      <c r="E81">
        <f t="shared" si="9"/>
        <v>78.12974118937035</v>
      </c>
      <c r="F81">
        <f t="shared" si="10"/>
        <v>42.337044174978189</v>
      </c>
      <c r="G81">
        <f t="shared" si="11"/>
        <v>7.4881137663851405</v>
      </c>
      <c r="H81">
        <f>Main!N81</f>
        <v>0.47392299999999998</v>
      </c>
    </row>
    <row r="82" spans="1:8" x14ac:dyDescent="0.25">
      <c r="A82">
        <f>Main!$K$2</f>
        <v>0.02</v>
      </c>
      <c r="B82">
        <f>Main!V82</f>
        <v>101.86966279765937</v>
      </c>
      <c r="C82">
        <f>Main!W82</f>
        <v>152.98464201908152</v>
      </c>
      <c r="D82">
        <f t="shared" si="8"/>
        <v>79.202518666533678</v>
      </c>
      <c r="E82">
        <f t="shared" si="9"/>
        <v>78.976482072869914</v>
      </c>
      <c r="F82">
        <f t="shared" si="10"/>
        <v>42.486806450305892</v>
      </c>
      <c r="G82">
        <f t="shared" si="11"/>
        <v>-8.3895333347072665</v>
      </c>
      <c r="H82">
        <f>Main!N82</f>
        <v>0.46975</v>
      </c>
    </row>
    <row r="83" spans="1:8" x14ac:dyDescent="0.25">
      <c r="A83">
        <f>Main!$K$2</f>
        <v>0.02</v>
      </c>
      <c r="B83">
        <f>Main!V83</f>
        <v>103.28177676849111</v>
      </c>
      <c r="C83">
        <f>Main!W83</f>
        <v>153.69234818807001</v>
      </c>
      <c r="D83">
        <f t="shared" si="8"/>
        <v>80.782048307991076</v>
      </c>
      <c r="E83">
        <f t="shared" si="9"/>
        <v>79.826218201876031</v>
      </c>
      <c r="F83">
        <f t="shared" si="10"/>
        <v>42.319015783611746</v>
      </c>
      <c r="G83">
        <f t="shared" si="11"/>
        <v>-217.26647862152504</v>
      </c>
      <c r="H83">
        <f>Main!N83</f>
        <v>0.46444800000000003</v>
      </c>
    </row>
    <row r="84" spans="1:8" x14ac:dyDescent="0.25">
      <c r="A84">
        <f>Main!$K$2</f>
        <v>0.02</v>
      </c>
      <c r="B84">
        <f>Main!V84</f>
        <v>104.7136145711368</v>
      </c>
      <c r="C84">
        <f>Main!W84</f>
        <v>154.39855676340747</v>
      </c>
      <c r="D84">
        <f t="shared" si="8"/>
        <v>82.378572672028596</v>
      </c>
      <c r="E84">
        <f t="shared" si="9"/>
        <v>80.672598517548266</v>
      </c>
      <c r="F84">
        <f t="shared" si="10"/>
        <v>37.973686211181246</v>
      </c>
      <c r="G84">
        <f t="shared" si="11"/>
        <v>-417.76706586382772</v>
      </c>
      <c r="H84">
        <f>Main!N84</f>
        <v>0.458013</v>
      </c>
    </row>
    <row r="85" spans="1:8" x14ac:dyDescent="0.25">
      <c r="A85">
        <f>Main!$K$2</f>
        <v>0.02</v>
      </c>
      <c r="B85">
        <f>Main!V85</f>
        <v>106.16594844000862</v>
      </c>
      <c r="C85">
        <f>Main!W85</f>
        <v>155.10137508556281</v>
      </c>
      <c r="D85">
        <f t="shared" si="8"/>
        <v>83.992024642379562</v>
      </c>
      <c r="E85">
        <f t="shared" si="9"/>
        <v>81.432072241771891</v>
      </c>
      <c r="F85">
        <f t="shared" si="10"/>
        <v>29.618344893904691</v>
      </c>
      <c r="G85">
        <f t="shared" si="11"/>
        <v>-427.3925088291719</v>
      </c>
      <c r="H85">
        <f>Main!N85</f>
        <v>0.45043699999999998</v>
      </c>
    </row>
    <row r="86" spans="1:8" x14ac:dyDescent="0.25">
      <c r="A86">
        <f>Main!$K$2</f>
        <v>0.02</v>
      </c>
      <c r="B86">
        <f>Main!V86</f>
        <v>107.63802415060141</v>
      </c>
      <c r="C86">
        <f>Main!W86</f>
        <v>155.79812902930362</v>
      </c>
      <c r="D86">
        <f t="shared" si="8"/>
        <v>85.620666087215</v>
      </c>
      <c r="E86">
        <f t="shared" si="9"/>
        <v>82.024439139649985</v>
      </c>
      <c r="F86">
        <f t="shared" si="10"/>
        <v>21.070494717321253</v>
      </c>
      <c r="G86">
        <f t="shared" si="11"/>
        <v>-455.14107272737192</v>
      </c>
      <c r="H86">
        <f>Main!N86</f>
        <v>0.441722</v>
      </c>
    </row>
    <row r="87" spans="1:8" x14ac:dyDescent="0.25">
      <c r="A87">
        <f>Main!$K$2</f>
        <v>0.02</v>
      </c>
      <c r="B87">
        <f>Main!V87</f>
        <v>109.12757471340194</v>
      </c>
      <c r="C87">
        <f>Main!W87</f>
        <v>156.48547360615737</v>
      </c>
      <c r="D87">
        <f t="shared" si="8"/>
        <v>87.261154870007999</v>
      </c>
      <c r="E87">
        <f t="shared" si="9"/>
        <v>82.44584903399641</v>
      </c>
      <c r="F87">
        <f t="shared" si="10"/>
        <v>11.967673262773815</v>
      </c>
      <c r="G87">
        <f t="shared" si="11"/>
        <v>-472.388973305371</v>
      </c>
      <c r="H87">
        <f>Main!N87</f>
        <v>0.43188799999999999</v>
      </c>
    </row>
    <row r="88" spans="1:8" x14ac:dyDescent="0.25">
      <c r="A88">
        <f>Main!$K$2</f>
        <v>0.02</v>
      </c>
      <c r="B88">
        <f>Main!V88</f>
        <v>110.63217019208481</v>
      </c>
      <c r="C88">
        <f>Main!W88</f>
        <v>157.16009917245447</v>
      </c>
      <c r="D88">
        <f t="shared" si="8"/>
        <v>88.910071850687928</v>
      </c>
      <c r="E88">
        <f t="shared" si="9"/>
        <v>82.685202499251886</v>
      </c>
      <c r="F88">
        <f t="shared" si="10"/>
        <v>2.5198937966663948</v>
      </c>
      <c r="G88">
        <f t="shared" si="11"/>
        <v>-496.51018131591229</v>
      </c>
      <c r="H88">
        <f>Main!N88</f>
        <v>0.42096</v>
      </c>
    </row>
    <row r="89" spans="1:8" x14ac:dyDescent="0.25">
      <c r="A89">
        <f>Main!$K$2</f>
        <v>0.02</v>
      </c>
      <c r="B89">
        <f>Main!V89</f>
        <v>112.14906098820137</v>
      </c>
      <c r="C89">
        <f>Main!W89</f>
        <v>157.81871848404029</v>
      </c>
      <c r="D89">
        <f t="shared" si="8"/>
        <v>90.563775900672965</v>
      </c>
      <c r="E89">
        <f t="shared" si="9"/>
        <v>82.735600375185214</v>
      </c>
      <c r="F89">
        <f t="shared" si="10"/>
        <v>-7.410309829651851</v>
      </c>
      <c r="G89">
        <f t="shared" si="11"/>
        <v>-515.25562648713219</v>
      </c>
      <c r="H89">
        <f>Main!N89</f>
        <v>0.40897800000000001</v>
      </c>
    </row>
    <row r="90" spans="1:8" x14ac:dyDescent="0.25">
      <c r="A90">
        <f>Main!$K$2</f>
        <v>0.02</v>
      </c>
      <c r="B90">
        <f>Main!V90</f>
        <v>113.67523435485431</v>
      </c>
      <c r="C90">
        <f>Main!W90</f>
        <v>158.45814532324565</v>
      </c>
      <c r="D90">
        <f t="shared" si="8"/>
        <v>92.21848790817667</v>
      </c>
      <c r="E90">
        <f t="shared" si="9"/>
        <v>82.587394178592177</v>
      </c>
      <c r="F90">
        <f t="shared" si="10"/>
        <v>-17.715422359394495</v>
      </c>
      <c r="G90">
        <f t="shared" si="11"/>
        <v>-539.87456088400165</v>
      </c>
      <c r="H90">
        <f>Main!N90</f>
        <v>0.39599099999999998</v>
      </c>
    </row>
    <row r="91" spans="1:8" x14ac:dyDescent="0.25">
      <c r="A91">
        <f>Main!$K$2</f>
        <v>0.02</v>
      </c>
      <c r="B91">
        <f>Main!V91</f>
        <v>115.20734505274108</v>
      </c>
      <c r="C91">
        <f>Main!W91</f>
        <v>159.0753226723966</v>
      </c>
      <c r="D91">
        <f t="shared" si="8"/>
        <v>93.870235791748513</v>
      </c>
      <c r="E91">
        <f t="shared" si="9"/>
        <v>82.233085731404287</v>
      </c>
      <c r="F91">
        <f t="shared" si="10"/>
        <v>-28.512913577074528</v>
      </c>
      <c r="G91">
        <f t="shared" si="11"/>
        <v>-563.86759515625329</v>
      </c>
      <c r="H91">
        <f>Main!N91</f>
        <v>0.38206099999999998</v>
      </c>
    </row>
    <row r="92" spans="1:8" x14ac:dyDescent="0.25">
      <c r="A92">
        <f>Main!$K$2</f>
        <v>0.02</v>
      </c>
      <c r="B92">
        <f>Main!V92</f>
        <v>116.74174126181271</v>
      </c>
      <c r="C92">
        <f>Main!W92</f>
        <v>159.66738722052457</v>
      </c>
      <c r="D92">
        <f t="shared" si="8"/>
        <v>95.514897506376599</v>
      </c>
      <c r="E92">
        <f t="shared" si="9"/>
        <v>81.662827459862797</v>
      </c>
      <c r="F92">
        <f t="shared" si="10"/>
        <v>-39.790265480199594</v>
      </c>
      <c r="G92">
        <f t="shared" si="11"/>
        <v>-581.1109791942215</v>
      </c>
      <c r="H92">
        <f>Main!N92</f>
        <v>0.36725999999999998</v>
      </c>
    </row>
    <row r="93" spans="1:8" x14ac:dyDescent="0.25">
      <c r="A93">
        <f>Main!$K$2</f>
        <v>0.02</v>
      </c>
      <c r="B93">
        <f>Main!V93</f>
        <v>118.27441018477231</v>
      </c>
      <c r="C93">
        <f>Main!W93</f>
        <v>160.23170355742221</v>
      </c>
      <c r="D93">
        <f t="shared" si="8"/>
        <v>97.148154055573855</v>
      </c>
      <c r="E93">
        <f t="shared" si="9"/>
        <v>80.867022150258805</v>
      </c>
      <c r="F93">
        <f t="shared" si="10"/>
        <v>-51.412485064084024</v>
      </c>
      <c r="G93">
        <f t="shared" si="11"/>
        <v>-599.60418186477682</v>
      </c>
      <c r="H93">
        <f>Main!N93</f>
        <v>0.35167300000000001</v>
      </c>
    </row>
    <row r="94" spans="1:8" x14ac:dyDescent="0.25">
      <c r="A94">
        <f>Main!$K$2</f>
        <v>0.02</v>
      </c>
      <c r="B94">
        <f>Main!V94</f>
        <v>119.80097641688238</v>
      </c>
      <c r="C94">
        <f>Main!W94</f>
        <v>160.76591853995399</v>
      </c>
      <c r="D94">
        <f t="shared" si="8"/>
        <v>98.765494498579031</v>
      </c>
      <c r="E94">
        <f t="shared" si="9"/>
        <v>79.838772448977124</v>
      </c>
      <c r="F94">
        <f t="shared" si="10"/>
        <v>-63.40456870137956</v>
      </c>
      <c r="G94">
        <f t="shared" si="11"/>
        <v>-620.22254225091444</v>
      </c>
      <c r="H94">
        <f>Main!N94</f>
        <v>0.33539799999999997</v>
      </c>
    </row>
    <row r="95" spans="1:8" x14ac:dyDescent="0.25">
      <c r="A95">
        <f>Main!$K$2</f>
        <v>0.02</v>
      </c>
      <c r="B95">
        <f>Main!V95</f>
        <v>121.31675425280328</v>
      </c>
      <c r="C95">
        <f>Main!W95</f>
        <v>161.26802349571003</v>
      </c>
      <c r="D95">
        <f t="shared" si="8"/>
        <v>100.36226994755857</v>
      </c>
      <c r="E95">
        <f t="shared" si="9"/>
        <v>78.570681074949533</v>
      </c>
      <c r="F95">
        <f t="shared" si="10"/>
        <v>-75.809019546397849</v>
      </c>
      <c r="G95">
        <f t="shared" si="11"/>
        <v>-629.71821133750439</v>
      </c>
      <c r="H95">
        <f>Main!N95</f>
        <v>0.31854199999999999</v>
      </c>
    </row>
    <row r="96" spans="1:8" x14ac:dyDescent="0.25">
      <c r="A96">
        <f>Main!$K$2</f>
        <v>0.02</v>
      </c>
      <c r="B96">
        <f>Main!V96</f>
        <v>122.81674539751573</v>
      </c>
      <c r="C96">
        <f>Main!W96</f>
        <v>161.73639016362824</v>
      </c>
      <c r="D96">
        <f t="shared" si="8"/>
        <v>101.93368356905756</v>
      </c>
      <c r="E96">
        <f t="shared" si="9"/>
        <v>77.054500684021576</v>
      </c>
      <c r="F96">
        <f t="shared" si="10"/>
        <v>-88.403383773147937</v>
      </c>
      <c r="G96">
        <f t="shared" si="11"/>
        <v>-639.21518430021251</v>
      </c>
      <c r="H96">
        <f>Main!N96</f>
        <v>0.30122199999999999</v>
      </c>
    </row>
    <row r="97" spans="1:8" x14ac:dyDescent="0.25">
      <c r="A97">
        <f>Main!$K$2</f>
        <v>0.02</v>
      </c>
      <c r="B97">
        <f>Main!V97</f>
        <v>124.29563438676428</v>
      </c>
      <c r="C97">
        <f>Main!W97</f>
        <v>162.16980196289654</v>
      </c>
      <c r="D97">
        <f t="shared" si="8"/>
        <v>103.474773582738</v>
      </c>
      <c r="E97">
        <f t="shared" si="9"/>
        <v>75.286433008558618</v>
      </c>
      <c r="F97">
        <f t="shared" si="10"/>
        <v>-101.18768745915219</v>
      </c>
      <c r="G97">
        <f t="shared" si="11"/>
        <v>-649.9634472074689</v>
      </c>
      <c r="H97">
        <f>Main!N97</f>
        <v>0.28356599999999998</v>
      </c>
    </row>
    <row r="98" spans="1:8" x14ac:dyDescent="0.25">
      <c r="A98">
        <f>Main!$K$2</f>
        <v>0.02</v>
      </c>
      <c r="B98">
        <f>Main!V98</f>
        <v>125.74789269002869</v>
      </c>
      <c r="C98">
        <f>Main!W98</f>
        <v>162.56750111886802</v>
      </c>
      <c r="D98">
        <f t="shared" si="8"/>
        <v>104.98050224290917</v>
      </c>
      <c r="E98">
        <f t="shared" si="9"/>
        <v>73.262679259375574</v>
      </c>
      <c r="F98">
        <f t="shared" si="10"/>
        <v>-114.18695640330156</v>
      </c>
      <c r="G98">
        <f t="shared" si="11"/>
        <v>-646.84035237583259</v>
      </c>
      <c r="H98">
        <f>Main!N98</f>
        <v>0.26570700000000003</v>
      </c>
    </row>
    <row r="99" spans="1:8" x14ac:dyDescent="0.25">
      <c r="A99">
        <f>Main!$K$2</f>
        <v>0.02</v>
      </c>
      <c r="B99">
        <f>Main!V99</f>
        <v>127.16780243064845</v>
      </c>
      <c r="C99">
        <f>Main!W99</f>
        <v>162.92919767317559</v>
      </c>
      <c r="D99">
        <f t="shared" si="8"/>
        <v>106.44575582809668</v>
      </c>
      <c r="E99">
        <f t="shared" si="9"/>
        <v>70.978940131309542</v>
      </c>
      <c r="F99">
        <f t="shared" si="10"/>
        <v>-127.12376345081822</v>
      </c>
      <c r="G99">
        <f t="shared" si="11"/>
        <v>-617.34406651758889</v>
      </c>
      <c r="H99">
        <f>Main!N99</f>
        <v>0.247783</v>
      </c>
    </row>
    <row r="100" spans="1:8" x14ac:dyDescent="0.25">
      <c r="A100">
        <f>Main!$K$2</f>
        <v>0.02</v>
      </c>
      <c r="B100">
        <f>Main!V100</f>
        <v>128.54947238527163</v>
      </c>
      <c r="C100">
        <f>Main!W100</f>
        <v>163.25506898728162</v>
      </c>
      <c r="D100">
        <f t="shared" si="8"/>
        <v>107.86533463072287</v>
      </c>
      <c r="E100">
        <f t="shared" si="9"/>
        <v>68.436464862293178</v>
      </c>
      <c r="F100">
        <f t="shared" si="10"/>
        <v>-139.47064478116999</v>
      </c>
      <c r="G100">
        <f t="shared" si="11"/>
        <v>-374.97964734711786</v>
      </c>
      <c r="H100">
        <f>Main!N100</f>
        <v>0.229938</v>
      </c>
    </row>
    <row r="101" spans="1:8" x14ac:dyDescent="0.25">
      <c r="A101">
        <f>Main!$K$2</f>
        <v>0.02</v>
      </c>
      <c r="B101">
        <f>Main!V101</f>
        <v>129.88697531436134</v>
      </c>
      <c r="C101">
        <f>Main!W101</f>
        <v>163.54576780705148</v>
      </c>
      <c r="D101">
        <f t="shared" si="8"/>
        <v>109.23406392796873</v>
      </c>
      <c r="E101">
        <f t="shared" si="9"/>
        <v>65.647051966669778</v>
      </c>
      <c r="F101">
        <f t="shared" si="10"/>
        <v>-146.97023772811235</v>
      </c>
      <c r="G101">
        <f t="shared" si="11"/>
        <v>-150.11521934837901</v>
      </c>
      <c r="H101">
        <f>Main!N101</f>
        <v>0.212314</v>
      </c>
    </row>
    <row r="102" spans="1:8" x14ac:dyDescent="0.25">
      <c r="A102">
        <f>Main!$K$2</f>
        <v>0.02</v>
      </c>
      <c r="B102">
        <f>Main!V102</f>
        <v>131.17458523922917</v>
      </c>
      <c r="C102">
        <f>Main!W102</f>
        <v>163.80242877827166</v>
      </c>
      <c r="D102">
        <f t="shared" si="8"/>
        <v>110.54700496730213</v>
      </c>
      <c r="E102">
        <f t="shared" si="9"/>
        <v>62.707647212107531</v>
      </c>
      <c r="F102">
        <f t="shared" si="10"/>
        <v>-149.97254211507993</v>
      </c>
      <c r="G102">
        <f t="shared" si="11"/>
        <v>-132.87006602524798</v>
      </c>
      <c r="H102">
        <f>Main!N102</f>
        <v>0.19505</v>
      </c>
    </row>
    <row r="103" spans="1:8" x14ac:dyDescent="0.25">
      <c r="A103">
        <f>Main!$K$2</f>
        <v>0.02</v>
      </c>
      <c r="B103">
        <f>Main!V103</f>
        <v>132.40848841249979</v>
      </c>
      <c r="C103">
        <f>Main!W103</f>
        <v>164.02688939072732</v>
      </c>
      <c r="D103">
        <f t="shared" si="8"/>
        <v>111.80115791154428</v>
      </c>
      <c r="E103">
        <f t="shared" si="9"/>
        <v>59.708196369805933</v>
      </c>
      <c r="F103">
        <f t="shared" si="10"/>
        <v>-152.62994343558489</v>
      </c>
      <c r="G103">
        <f t="shared" si="11"/>
        <v>-120.24914281028032</v>
      </c>
      <c r="H103">
        <f>Main!N103</f>
        <v>0.178257</v>
      </c>
    </row>
    <row r="104" spans="1:8" x14ac:dyDescent="0.25">
      <c r="A104">
        <f>Main!$K$2</f>
        <v>0.02</v>
      </c>
      <c r="B104">
        <f>Main!V104</f>
        <v>133.58669311172807</v>
      </c>
      <c r="C104">
        <f>Main!W104</f>
        <v>164.22146886603375</v>
      </c>
      <c r="D104">
        <f t="shared" si="8"/>
        <v>112.9953218389404</v>
      </c>
      <c r="E104">
        <f t="shared" si="9"/>
        <v>56.655597501094235</v>
      </c>
      <c r="F104">
        <f t="shared" si="10"/>
        <v>-155.0349262917905</v>
      </c>
      <c r="G104">
        <f t="shared" si="11"/>
        <v>-99.253385959841012</v>
      </c>
      <c r="H104">
        <f>Main!N104</f>
        <v>0.16201499999999999</v>
      </c>
    </row>
    <row r="105" spans="1:8" x14ac:dyDescent="0.25">
      <c r="A105">
        <f>Main!$K$2</f>
        <v>0.02</v>
      </c>
      <c r="B105">
        <f>Main!V105</f>
        <v>134.70741620334735</v>
      </c>
      <c r="C105">
        <f>Main!W105</f>
        <v>164.38856896535665</v>
      </c>
      <c r="D105">
        <f t="shared" si="8"/>
        <v>114.12843378896228</v>
      </c>
      <c r="E105">
        <f t="shared" si="9"/>
        <v>53.554898975258425</v>
      </c>
      <c r="F105">
        <f t="shared" si="10"/>
        <v>-157.01999401098732</v>
      </c>
      <c r="G105">
        <f t="shared" si="11"/>
        <v>-91.880890121132097</v>
      </c>
      <c r="H105">
        <f>Main!N105</f>
        <v>0.146395</v>
      </c>
    </row>
    <row r="106" spans="1:8" x14ac:dyDescent="0.25">
      <c r="A106">
        <f>Main!$K$2</f>
        <v>0.02</v>
      </c>
      <c r="B106">
        <f>Main!V106</f>
        <v>135.76905159931636</v>
      </c>
      <c r="C106">
        <f>Main!W106</f>
        <v>164.53062940223401</v>
      </c>
      <c r="D106">
        <f t="shared" si="8"/>
        <v>115.19953176846745</v>
      </c>
      <c r="E106">
        <f t="shared" si="9"/>
        <v>50.414499095038678</v>
      </c>
      <c r="F106">
        <f t="shared" si="10"/>
        <v>-158.85761181340996</v>
      </c>
      <c r="G106">
        <f t="shared" si="11"/>
        <v>-69.383950453527632</v>
      </c>
      <c r="H106">
        <f>Main!N106</f>
        <v>0.13146099999999999</v>
      </c>
    </row>
    <row r="107" spans="1:8" x14ac:dyDescent="0.25">
      <c r="A107">
        <f>Main!$K$2</f>
        <v>0.02</v>
      </c>
      <c r="B107">
        <f>Main!V107</f>
        <v>136.77023893318372</v>
      </c>
      <c r="C107">
        <f>Main!W107</f>
        <v>164.65009743186963</v>
      </c>
      <c r="D107">
        <f t="shared" si="8"/>
        <v>116.20782175036823</v>
      </c>
      <c r="E107">
        <f t="shared" si="9"/>
        <v>47.237346858770479</v>
      </c>
      <c r="F107">
        <f t="shared" si="10"/>
        <v>-160.24529082248051</v>
      </c>
      <c r="G107">
        <f t="shared" si="11"/>
        <v>-65.635055513268981</v>
      </c>
      <c r="H107">
        <f>Main!N107</f>
        <v>0.117266</v>
      </c>
    </row>
    <row r="108" spans="1:8" x14ac:dyDescent="0.25">
      <c r="A108">
        <f>Main!$K$2</f>
        <v>0.02</v>
      </c>
      <c r="B108">
        <f>Main!V108</f>
        <v>137.70975438577307</v>
      </c>
      <c r="C108">
        <f>Main!W108</f>
        <v>164.74938232320841</v>
      </c>
      <c r="D108">
        <f t="shared" si="8"/>
        <v>117.15256868754363</v>
      </c>
      <c r="E108">
        <f t="shared" si="9"/>
        <v>44.032441042320869</v>
      </c>
      <c r="F108">
        <f t="shared" si="10"/>
        <v>-161.55799193274589</v>
      </c>
      <c r="G108">
        <f t="shared" si="11"/>
        <v>-48.886480712440061</v>
      </c>
      <c r="H108">
        <f>Main!N108</f>
        <v>0.10385900000000001</v>
      </c>
    </row>
    <row r="109" spans="1:8" x14ac:dyDescent="0.25">
      <c r="A109">
        <f>Main!$K$2</f>
        <v>0.02</v>
      </c>
      <c r="B109">
        <f>Main!V109</f>
        <v>138.58662817583144</v>
      </c>
      <c r="C109">
        <f>Main!W109</f>
        <v>164.83083600309368</v>
      </c>
      <c r="D109">
        <f t="shared" si="8"/>
        <v>118.03321750839005</v>
      </c>
      <c r="E109">
        <f t="shared" si="9"/>
        <v>40.801281203665951</v>
      </c>
      <c r="F109">
        <f t="shared" si="10"/>
        <v>-162.53572154699469</v>
      </c>
      <c r="G109">
        <f t="shared" si="11"/>
        <v>-37.261986989278739</v>
      </c>
      <c r="H109">
        <f>Main!N109</f>
        <v>9.1276999999999997E-2</v>
      </c>
    </row>
    <row r="110" spans="1:8" x14ac:dyDescent="0.25">
      <c r="A110">
        <f>Main!$K$2</f>
        <v>0.02</v>
      </c>
      <c r="B110">
        <f>Main!V110</f>
        <v>139.39999030345075</v>
      </c>
      <c r="C110">
        <f>Main!W110</f>
        <v>164.89671368139852</v>
      </c>
      <c r="D110">
        <f t="shared" si="8"/>
        <v>118.84924313246337</v>
      </c>
      <c r="E110">
        <f t="shared" si="9"/>
        <v>37.550566772726057</v>
      </c>
      <c r="F110">
        <f t="shared" si="10"/>
        <v>-163.28096128678027</v>
      </c>
      <c r="G110">
        <f t="shared" si="11"/>
        <v>-35.886715091137944</v>
      </c>
      <c r="H110">
        <f>Main!N110</f>
        <v>7.9555000000000001E-2</v>
      </c>
    </row>
    <row r="111" spans="1:8" x14ac:dyDescent="0.25">
      <c r="A111">
        <f>Main!$K$2</f>
        <v>0.02</v>
      </c>
      <c r="B111">
        <f>Main!V111</f>
        <v>140.14916810213526</v>
      </c>
      <c r="C111">
        <f>Main!W111</f>
        <v>164.94916033943713</v>
      </c>
      <c r="D111">
        <f t="shared" si="8"/>
        <v>119.60025446791789</v>
      </c>
      <c r="E111">
        <f t="shared" si="9"/>
        <v>34.284947546990452</v>
      </c>
      <c r="F111">
        <f t="shared" si="10"/>
        <v>-163.99869558860303</v>
      </c>
      <c r="G111">
        <f t="shared" si="11"/>
        <v>6.6132947438291012</v>
      </c>
      <c r="H111">
        <f>Main!N111</f>
        <v>6.8719000000000002E-2</v>
      </c>
    </row>
    <row r="112" spans="1:8" x14ac:dyDescent="0.25">
      <c r="A112">
        <f>Main!$K$2</f>
        <v>0.02</v>
      </c>
      <c r="B112">
        <f>Main!V112</f>
        <v>140.83363860695539</v>
      </c>
      <c r="C112">
        <f>Main!W112</f>
        <v>164.99018690828262</v>
      </c>
      <c r="D112">
        <f t="shared" si="8"/>
        <v>120.2859534188577</v>
      </c>
      <c r="E112">
        <f t="shared" si="9"/>
        <v>31.004973635218391</v>
      </c>
      <c r="F112">
        <f t="shared" si="10"/>
        <v>-163.86642969372645</v>
      </c>
      <c r="G112">
        <f t="shared" si="11"/>
        <v>252.86306663296898</v>
      </c>
      <c r="H112">
        <f>Main!N112</f>
        <v>5.8789000000000001E-2</v>
      </c>
    </row>
    <row r="113" spans="1:8" x14ac:dyDescent="0.25">
      <c r="A113">
        <f>Main!$K$2</f>
        <v>0.02</v>
      </c>
      <c r="B113">
        <f>Main!V113</f>
        <v>141.45293923407581</v>
      </c>
      <c r="C113">
        <f>Main!W113</f>
        <v>165.0216525927099</v>
      </c>
      <c r="D113">
        <f t="shared" si="8"/>
        <v>120.90605289156207</v>
      </c>
      <c r="E113">
        <f t="shared" si="9"/>
        <v>27.727645041343862</v>
      </c>
      <c r="F113">
        <f t="shared" si="10"/>
        <v>-158.80916836106707</v>
      </c>
      <c r="G113">
        <f t="shared" si="11"/>
        <v>475.86404952149053</v>
      </c>
      <c r="H113">
        <f>Main!N113</f>
        <v>4.9784000000000002E-2</v>
      </c>
    </row>
    <row r="114" spans="1:8" x14ac:dyDescent="0.25">
      <c r="A114">
        <f>Main!$K$2</f>
        <v>0.02</v>
      </c>
      <c r="B114">
        <f>Main!V114</f>
        <v>142.00698916272594</v>
      </c>
      <c r="C114">
        <f>Main!W114</f>
        <v>165.04526607145161</v>
      </c>
      <c r="D114">
        <f t="shared" si="8"/>
        <v>121.46060579238895</v>
      </c>
      <c r="E114">
        <f t="shared" si="9"/>
        <v>24.551461674122521</v>
      </c>
      <c r="F114">
        <f t="shared" si="10"/>
        <v>-149.29188737063726</v>
      </c>
      <c r="G114">
        <f t="shared" si="11"/>
        <v>477.99143783322506</v>
      </c>
      <c r="H114">
        <f>Main!N114</f>
        <v>4.1713E-2</v>
      </c>
    </row>
    <row r="115" spans="1:8" x14ac:dyDescent="0.25">
      <c r="A115">
        <f>Main!$K$2</f>
        <v>0.02</v>
      </c>
      <c r="B115">
        <f>Main!V115</f>
        <v>142.49771184285785</v>
      </c>
      <c r="C115">
        <f>Main!W115</f>
        <v>165.06261425114033</v>
      </c>
      <c r="D115">
        <f t="shared" si="8"/>
        <v>121.9516350258714</v>
      </c>
      <c r="E115">
        <f t="shared" si="9"/>
        <v>21.565623926709776</v>
      </c>
      <c r="F115">
        <f t="shared" si="10"/>
        <v>-139.73205861397275</v>
      </c>
      <c r="G115">
        <f t="shared" si="11"/>
        <v>477.61844966309752</v>
      </c>
      <c r="H115">
        <f>Main!N115</f>
        <v>3.4555000000000002E-2</v>
      </c>
    </row>
    <row r="116" spans="1:8" x14ac:dyDescent="0.25">
      <c r="A116">
        <f>Main!$K$2</f>
        <v>0.02</v>
      </c>
      <c r="B116">
        <f>Main!V116</f>
        <v>142.9288436134232</v>
      </c>
      <c r="C116">
        <f>Main!W116</f>
        <v>165.07509826285553</v>
      </c>
      <c r="D116">
        <f t="shared" si="8"/>
        <v>122.38294750440559</v>
      </c>
      <c r="E116">
        <f t="shared" si="9"/>
        <v>18.770982754430321</v>
      </c>
      <c r="F116">
        <f t="shared" si="10"/>
        <v>-130.1796896207108</v>
      </c>
      <c r="G116">
        <f t="shared" si="11"/>
        <v>485.37004017568108</v>
      </c>
      <c r="H116">
        <f>Main!N116</f>
        <v>2.8258999999999999E-2</v>
      </c>
    </row>
    <row r="117" spans="1:8" x14ac:dyDescent="0.25">
      <c r="A117">
        <f>Main!$K$2</f>
        <v>0.02</v>
      </c>
      <c r="B117">
        <f>Main!V117</f>
        <v>143.30416071687605</v>
      </c>
      <c r="C117">
        <f>Main!W117</f>
        <v>165.0838726165413</v>
      </c>
      <c r="D117">
        <f t="shared" si="8"/>
        <v>122.7583671594942</v>
      </c>
      <c r="E117">
        <f t="shared" si="9"/>
        <v>16.167388962016105</v>
      </c>
      <c r="F117">
        <f t="shared" si="10"/>
        <v>-120.47228881719718</v>
      </c>
      <c r="G117">
        <f t="shared" si="11"/>
        <v>481.6214142504549</v>
      </c>
      <c r="H117">
        <f>Main!N117</f>
        <v>2.2773000000000002E-2</v>
      </c>
    </row>
    <row r="118" spans="1:8" x14ac:dyDescent="0.25">
      <c r="A118">
        <f>Main!$K$2</f>
        <v>0.02</v>
      </c>
      <c r="B118">
        <f>Main!V118</f>
        <v>143.62745278434602</v>
      </c>
      <c r="C118">
        <f>Main!W118</f>
        <v>165.08987473705383</v>
      </c>
      <c r="D118">
        <f t="shared" si="8"/>
        <v>123.08171493873452</v>
      </c>
      <c r="E118">
        <f t="shared" si="9"/>
        <v>13.757943185672161</v>
      </c>
      <c r="F118">
        <f t="shared" si="10"/>
        <v>-110.83986053218808</v>
      </c>
      <c r="G118">
        <f t="shared" si="11"/>
        <v>487.24743822781136</v>
      </c>
      <c r="H118">
        <f>Main!N118</f>
        <v>1.8044999999999999E-2</v>
      </c>
    </row>
    <row r="119" spans="1:8" x14ac:dyDescent="0.25">
      <c r="A119">
        <f>Main!$K$2</f>
        <v>0.02</v>
      </c>
      <c r="B119">
        <f>Main!V119</f>
        <v>143.90258287867815</v>
      </c>
      <c r="C119">
        <f>Main!W119</f>
        <v>165.09385361539697</v>
      </c>
      <c r="D119">
        <f t="shared" si="8"/>
        <v>123.35687380244796</v>
      </c>
      <c r="E119">
        <f t="shared" si="9"/>
        <v>11.5411459750284</v>
      </c>
      <c r="F119">
        <f t="shared" si="10"/>
        <v>-101.09491176763186</v>
      </c>
      <c r="G119">
        <f t="shared" si="11"/>
        <v>487.12325416389035</v>
      </c>
      <c r="H119">
        <f>Main!N119</f>
        <v>1.4019E-2</v>
      </c>
    </row>
    <row r="120" spans="1:8" x14ac:dyDescent="0.25">
      <c r="A120">
        <f>Main!$K$2</f>
        <v>0.02</v>
      </c>
      <c r="B120">
        <f>Main!V120</f>
        <v>144.13339180364017</v>
      </c>
      <c r="C120">
        <f>Main!W120</f>
        <v>165.09639533226553</v>
      </c>
      <c r="D120">
        <f t="shared" si="8"/>
        <v>123.58769672194853</v>
      </c>
      <c r="E120">
        <f t="shared" si="9"/>
        <v>9.5192477396757624</v>
      </c>
      <c r="F120">
        <f t="shared" si="10"/>
        <v>-91.352446684354049</v>
      </c>
      <c r="G120">
        <f t="shared" si="11"/>
        <v>485.24885960432584</v>
      </c>
      <c r="H120">
        <f>Main!N120</f>
        <v>1.0640999999999999E-2</v>
      </c>
    </row>
    <row r="121" spans="1:8" x14ac:dyDescent="0.25">
      <c r="A121">
        <f>Main!$K$2</f>
        <v>0.02</v>
      </c>
      <c r="B121">
        <f>Main!V121</f>
        <v>144.32377042004157</v>
      </c>
      <c r="C121">
        <f>Main!W121</f>
        <v>165.09794885369072</v>
      </c>
      <c r="D121">
        <f t="shared" si="8"/>
        <v>123.77808167674205</v>
      </c>
      <c r="E121">
        <f t="shared" si="9"/>
        <v>7.6921988059886814</v>
      </c>
      <c r="F121">
        <f t="shared" si="10"/>
        <v>-81.647469492267533</v>
      </c>
      <c r="G121">
        <f t="shared" si="11"/>
        <v>485.37428774331204</v>
      </c>
      <c r="H121">
        <f>Main!N121</f>
        <v>7.8539999999999999E-3</v>
      </c>
    </row>
    <row r="122" spans="1:8" x14ac:dyDescent="0.25">
      <c r="A122">
        <f>Main!$K$2</f>
        <v>0.02</v>
      </c>
      <c r="B122">
        <f>Main!V122</f>
        <v>144.47761176509295</v>
      </c>
      <c r="C122">
        <f>Main!W122</f>
        <v>165.09884859872352</v>
      </c>
      <c r="D122">
        <f t="shared" si="8"/>
        <v>123.93192565286182</v>
      </c>
      <c r="E122">
        <f t="shared" si="9"/>
        <v>6.0592494161433308</v>
      </c>
      <c r="F122">
        <f t="shared" si="10"/>
        <v>-71.939983737401292</v>
      </c>
      <c r="G122">
        <f t="shared" si="11"/>
        <v>491.12458014732852</v>
      </c>
      <c r="H122">
        <f>Main!N122</f>
        <v>5.6010000000000001E-3</v>
      </c>
    </row>
    <row r="123" spans="1:8" x14ac:dyDescent="0.25">
      <c r="A123">
        <f>Main!$K$2</f>
        <v>0.02</v>
      </c>
      <c r="B123">
        <f>Main!V123</f>
        <v>144.59879577373655</v>
      </c>
      <c r="C123">
        <f>Main!W123</f>
        <v>165.09933588085721</v>
      </c>
      <c r="D123">
        <f t="shared" si="8"/>
        <v>124.05311064118469</v>
      </c>
      <c r="E123">
        <f t="shared" si="9"/>
        <v>4.620449741395305</v>
      </c>
      <c r="F123">
        <f t="shared" si="10"/>
        <v>-62.117492134454722</v>
      </c>
      <c r="G123">
        <f t="shared" si="11"/>
        <v>483.2497771598554</v>
      </c>
      <c r="H123">
        <f>Main!N123</f>
        <v>3.826E-3</v>
      </c>
    </row>
    <row r="124" spans="1:8" x14ac:dyDescent="0.25">
      <c r="A124">
        <f>Main!$K$2</f>
        <v>0.02</v>
      </c>
      <c r="B124">
        <f>Main!V124</f>
        <v>144.69120445101731</v>
      </c>
      <c r="C124">
        <f>Main!W124</f>
        <v>165.09957813758936</v>
      </c>
      <c r="D124">
        <f t="shared" si="8"/>
        <v>124.14551963601259</v>
      </c>
      <c r="E124">
        <f t="shared" si="9"/>
        <v>3.3780998987062105</v>
      </c>
      <c r="F124">
        <f t="shared" si="10"/>
        <v>-52.452496591257614</v>
      </c>
      <c r="G124">
        <f t="shared" si="11"/>
        <v>490.87489117205507</v>
      </c>
      <c r="H124">
        <f>Main!N124</f>
        <v>2.4729999999999999E-3</v>
      </c>
    </row>
    <row r="125" spans="1:8" x14ac:dyDescent="0.25">
      <c r="A125">
        <f>Main!$K$2</f>
        <v>0.02</v>
      </c>
      <c r="B125">
        <f>Main!V125</f>
        <v>144.75876636339623</v>
      </c>
      <c r="C125">
        <f>Main!W125</f>
        <v>165.09968568273638</v>
      </c>
      <c r="D125">
        <f t="shared" si="8"/>
        <v>124.21308163398672</v>
      </c>
      <c r="E125">
        <f t="shared" si="9"/>
        <v>2.3290499668810583</v>
      </c>
      <c r="F125">
        <f t="shared" si="10"/>
        <v>-42.634998767816512</v>
      </c>
      <c r="G125">
        <f t="shared" si="11"/>
        <v>483.74995601818682</v>
      </c>
      <c r="H125">
        <f>Main!N125</f>
        <v>1.4829999999999999E-3</v>
      </c>
    </row>
    <row r="126" spans="1:8" x14ac:dyDescent="0.25">
      <c r="A126">
        <f>Main!$K$2</f>
        <v>0.02</v>
      </c>
      <c r="B126">
        <f>Main!V126</f>
        <v>144.80534734486579</v>
      </c>
      <c r="C126">
        <f>Main!W126</f>
        <v>165.09972648254148</v>
      </c>
      <c r="D126">
        <f t="shared" si="8"/>
        <v>124.25966263332434</v>
      </c>
      <c r="E126">
        <f t="shared" si="9"/>
        <v>1.476349991524728</v>
      </c>
      <c r="F126">
        <f t="shared" si="10"/>
        <v>-32.959999647452776</v>
      </c>
      <c r="G126">
        <f t="shared" si="11"/>
        <v>490.62498563934298</v>
      </c>
      <c r="H126">
        <f>Main!N126</f>
        <v>8.0099999999999995E-4</v>
      </c>
    </row>
    <row r="127" spans="1:8" x14ac:dyDescent="0.25">
      <c r="A127">
        <f>Main!$K$2</f>
        <v>0.02</v>
      </c>
      <c r="B127">
        <f>Main!V127</f>
        <v>144.83487434214601</v>
      </c>
      <c r="C127">
        <f>Main!W127</f>
        <v>165.09973875464453</v>
      </c>
      <c r="D127">
        <f t="shared" si="8"/>
        <v>124.28918963315483</v>
      </c>
      <c r="E127">
        <f t="shared" si="9"/>
        <v>0.8171499985756725</v>
      </c>
      <c r="F127">
        <f t="shared" si="10"/>
        <v>-23.147499934665916</v>
      </c>
      <c r="G127">
        <f t="shared" si="11"/>
        <v>486.20095874518654</v>
      </c>
      <c r="H127">
        <f>Main!N127</f>
        <v>3.68E-4</v>
      </c>
    </row>
    <row r="128" spans="1:8" x14ac:dyDescent="0.25">
      <c r="A128">
        <f>Main!$K$2</f>
        <v>0.02</v>
      </c>
      <c r="B128">
        <f>Main!V128</f>
        <v>144.85121734192066</v>
      </c>
      <c r="C128">
        <f>Main!W128</f>
        <v>165.09974129129904</v>
      </c>
      <c r="D128">
        <f t="shared" si="8"/>
        <v>124.30553263312635</v>
      </c>
      <c r="E128">
        <f t="shared" si="9"/>
        <v>0.35419999988235418</v>
      </c>
      <c r="F128">
        <f t="shared" si="10"/>
        <v>-13.423480759762185</v>
      </c>
      <c r="G128">
        <f t="shared" si="11"/>
        <v>456.84807627033308</v>
      </c>
      <c r="H128">
        <f>Main!N128</f>
        <v>1.2899999999999999E-4</v>
      </c>
    </row>
    <row r="129" spans="1:8" x14ac:dyDescent="0.25">
      <c r="A129">
        <f>Main!$K$2</f>
        <v>0.02</v>
      </c>
      <c r="B129">
        <f>Main!V129</f>
        <v>144.8583013419136</v>
      </c>
      <c r="C129">
        <f>Main!W129</f>
        <v>165.09974154951902</v>
      </c>
      <c r="D129">
        <f t="shared" si="8"/>
        <v>124.31261663312399</v>
      </c>
      <c r="E129">
        <f t="shared" si="9"/>
        <v>8.5730384687110472E-2</v>
      </c>
      <c r="F129">
        <f t="shared" si="10"/>
        <v>-4.2865192343555236</v>
      </c>
      <c r="G129">
        <f t="shared" si="11"/>
        <v>214.32596171777618</v>
      </c>
      <c r="H129">
        <f>Main!N129</f>
        <v>2.5000000000000001E-5</v>
      </c>
    </row>
    <row r="130" spans="1:8" x14ac:dyDescent="0.25">
      <c r="A130">
        <f>Main!$K$2</f>
        <v>0.02</v>
      </c>
      <c r="B130">
        <f>Main!V130</f>
        <v>144.86001594960734</v>
      </c>
      <c r="C130">
        <f>Main!W130</f>
        <v>165.09974155379572</v>
      </c>
      <c r="D130">
        <f t="shared" si="8"/>
        <v>124.31433124081774</v>
      </c>
      <c r="E130">
        <f t="shared" si="9"/>
        <v>0</v>
      </c>
      <c r="F130">
        <f t="shared" si="10"/>
        <v>0</v>
      </c>
      <c r="G130">
        <f t="shared" si="11"/>
        <v>0</v>
      </c>
      <c r="H130">
        <f>Main!N130</f>
        <v>6.2831849999999996</v>
      </c>
    </row>
    <row r="131" spans="1:8" x14ac:dyDescent="0.25">
      <c r="A131">
        <f>Main!$K$2</f>
        <v>0.02</v>
      </c>
      <c r="B131">
        <f>Main!V131</f>
        <v>144.86001594960734</v>
      </c>
      <c r="C131">
        <f>Main!W131</f>
        <v>165.09974155379572</v>
      </c>
      <c r="D131">
        <f t="shared" si="8"/>
        <v>124.31433124081774</v>
      </c>
      <c r="E131">
        <f t="shared" si="9"/>
        <v>0</v>
      </c>
      <c r="F131">
        <f t="shared" si="10"/>
        <v>0</v>
      </c>
      <c r="G131">
        <f t="shared" si="11"/>
        <v>0</v>
      </c>
      <c r="H131">
        <f>Main!N131</f>
        <v>6.2831849999999996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Center</vt:lpstr>
      <vt:lpstr>Left</vt:lpstr>
      <vt:lpstr>Right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Team294</dc:creator>
  <cp:lastModifiedBy>Team294</cp:lastModifiedBy>
  <dcterms:created xsi:type="dcterms:W3CDTF">2019-04-10T04:52:15Z</dcterms:created>
  <dcterms:modified xsi:type="dcterms:W3CDTF">2019-04-18T18:38:18Z</dcterms:modified>
</cp:coreProperties>
</file>