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Team294\Desktop\Pathweaver examples\"/>
    </mc:Choice>
  </mc:AlternateContent>
  <bookViews>
    <workbookView xWindow="0" yWindow="0" windowWidth="14490" windowHeight="12360"/>
  </bookViews>
  <sheets>
    <sheet name="Main" sheetId="1" r:id="rId1"/>
    <sheet name="Center" sheetId="2" r:id="rId2"/>
    <sheet name="Left" sheetId="3" r:id="rId3"/>
    <sheet name="Right" sheetId="4" r:id="rId4"/>
  </sheets>
  <calcPr calcId="152511"/>
</workbook>
</file>

<file path=xl/calcChain.xml><?xml version="1.0" encoding="utf-8"?>
<calcChain xmlns="http://schemas.openxmlformats.org/spreadsheetml/2006/main">
  <c r="E3" i="4" l="1"/>
  <c r="E4" i="4"/>
  <c r="E5" i="4"/>
  <c r="F5" i="4"/>
  <c r="E6" i="4"/>
  <c r="E7" i="4"/>
  <c r="F6" i="4" s="1"/>
  <c r="E8" i="4"/>
  <c r="E9" i="4"/>
  <c r="F9" i="4"/>
  <c r="E10" i="4"/>
  <c r="E11" i="4"/>
  <c r="F10" i="4" s="1"/>
  <c r="E12" i="4"/>
  <c r="E13" i="4"/>
  <c r="F13" i="4"/>
  <c r="E14" i="4"/>
  <c r="E15" i="4"/>
  <c r="F14" i="4" s="1"/>
  <c r="E16" i="4"/>
  <c r="E17" i="4"/>
  <c r="F17" i="4"/>
  <c r="E18" i="4"/>
  <c r="E19" i="4"/>
  <c r="F18" i="4" s="1"/>
  <c r="E20" i="4"/>
  <c r="E21" i="4"/>
  <c r="F21" i="4"/>
  <c r="E22" i="4"/>
  <c r="E23" i="4"/>
  <c r="F22" i="4" s="1"/>
  <c r="E24" i="4"/>
  <c r="E25" i="4"/>
  <c r="F25" i="4"/>
  <c r="E26" i="4"/>
  <c r="E27" i="4"/>
  <c r="F26" i="4" s="1"/>
  <c r="E28" i="4"/>
  <c r="E29" i="4"/>
  <c r="F29" i="4"/>
  <c r="E30" i="4"/>
  <c r="G30" i="4"/>
  <c r="E31" i="4"/>
  <c r="F30" i="4" s="1"/>
  <c r="E32" i="4"/>
  <c r="F31" i="4" s="1"/>
  <c r="E33" i="4"/>
  <c r="F33" i="4"/>
  <c r="E34" i="4"/>
  <c r="E35" i="4"/>
  <c r="F34" i="4" s="1"/>
  <c r="E36" i="4"/>
  <c r="F35" i="4" s="1"/>
  <c r="G34" i="4" s="1"/>
  <c r="E37" i="4"/>
  <c r="F37" i="4"/>
  <c r="E38" i="4"/>
  <c r="G38" i="4"/>
  <c r="E39" i="4"/>
  <c r="F38" i="4" s="1"/>
  <c r="E40" i="4"/>
  <c r="F39" i="4" s="1"/>
  <c r="E41" i="4"/>
  <c r="F41" i="4"/>
  <c r="E42" i="4"/>
  <c r="E43" i="4"/>
  <c r="F42" i="4" s="1"/>
  <c r="E44" i="4"/>
  <c r="F43" i="4" s="1"/>
  <c r="G42" i="4" s="1"/>
  <c r="E45" i="4"/>
  <c r="F45" i="4"/>
  <c r="E46" i="4"/>
  <c r="G46" i="4"/>
  <c r="E47" i="4"/>
  <c r="F46" i="4" s="1"/>
  <c r="E48" i="4"/>
  <c r="F47" i="4" s="1"/>
  <c r="E49" i="4"/>
  <c r="F49" i="4"/>
  <c r="E50" i="4"/>
  <c r="E51" i="4"/>
  <c r="F50" i="4" s="1"/>
  <c r="E52" i="4"/>
  <c r="F51" i="4" s="1"/>
  <c r="G50" i="4" s="1"/>
  <c r="E53" i="4"/>
  <c r="F53" i="4"/>
  <c r="E54" i="4"/>
  <c r="G54" i="4"/>
  <c r="E55" i="4"/>
  <c r="F54" i="4" s="1"/>
  <c r="E56" i="4"/>
  <c r="F55" i="4" s="1"/>
  <c r="E57" i="4"/>
  <c r="F57" i="4"/>
  <c r="E58" i="4"/>
  <c r="F58" i="4" s="1"/>
  <c r="E59" i="4"/>
  <c r="E60" i="4"/>
  <c r="F59" i="4" s="1"/>
  <c r="G58" i="4" s="1"/>
  <c r="E61" i="4"/>
  <c r="F61" i="4"/>
  <c r="E62" i="4"/>
  <c r="F62" i="4" s="1"/>
  <c r="G62" i="4"/>
  <c r="E63" i="4"/>
  <c r="E64" i="4"/>
  <c r="F63" i="4" s="1"/>
  <c r="E65" i="4"/>
  <c r="F65" i="4"/>
  <c r="E66" i="4"/>
  <c r="E67" i="4"/>
  <c r="F66" i="4" s="1"/>
  <c r="E68" i="4"/>
  <c r="F67" i="4" s="1"/>
  <c r="G66" i="4" s="1"/>
  <c r="E69" i="4"/>
  <c r="F69" i="4"/>
  <c r="E70" i="4"/>
  <c r="F70" i="4"/>
  <c r="G69" i="4" s="1"/>
  <c r="E71" i="4"/>
  <c r="E72" i="4"/>
  <c r="F71" i="4" s="1"/>
  <c r="G70" i="4" s="1"/>
  <c r="E73" i="4"/>
  <c r="F72" i="4" s="1"/>
  <c r="G71" i="4" s="1"/>
  <c r="F73" i="4"/>
  <c r="E74" i="4"/>
  <c r="F74" i="4"/>
  <c r="G73" i="4" s="1"/>
  <c r="G74" i="4"/>
  <c r="E75" i="4"/>
  <c r="E76" i="4"/>
  <c r="F75" i="4" s="1"/>
  <c r="E77" i="4"/>
  <c r="F77" i="4"/>
  <c r="E78" i="4"/>
  <c r="F78" i="4"/>
  <c r="G78" i="4"/>
  <c r="E79" i="4"/>
  <c r="E80" i="4"/>
  <c r="F79" i="4" s="1"/>
  <c r="E81" i="4"/>
  <c r="F80" i="4" s="1"/>
  <c r="G79" i="4" s="1"/>
  <c r="F81" i="4"/>
  <c r="E82" i="4"/>
  <c r="F82" i="4"/>
  <c r="E83" i="4"/>
  <c r="E84" i="4"/>
  <c r="F83" i="4" s="1"/>
  <c r="G82" i="4" s="1"/>
  <c r="E85" i="4"/>
  <c r="F85" i="4"/>
  <c r="E86" i="4"/>
  <c r="F86" i="4"/>
  <c r="G85" i="4" s="1"/>
  <c r="E87" i="4"/>
  <c r="E88" i="4"/>
  <c r="F87" i="4" s="1"/>
  <c r="G86" i="4" s="1"/>
  <c r="E89" i="4"/>
  <c r="F88" i="4" s="1"/>
  <c r="G87" i="4" s="1"/>
  <c r="F89" i="4"/>
  <c r="E90" i="4"/>
  <c r="F90" i="4"/>
  <c r="G89" i="4" s="1"/>
  <c r="G90" i="4"/>
  <c r="E91" i="4"/>
  <c r="E92" i="4"/>
  <c r="F91" i="4" s="1"/>
  <c r="E93" i="4"/>
  <c r="F93" i="4"/>
  <c r="E94" i="4"/>
  <c r="F94" i="4"/>
  <c r="G94" i="4"/>
  <c r="E95" i="4"/>
  <c r="E96" i="4"/>
  <c r="F95" i="4" s="1"/>
  <c r="E97" i="4"/>
  <c r="F96" i="4" s="1"/>
  <c r="G95" i="4" s="1"/>
  <c r="F97" i="4"/>
  <c r="E98" i="4"/>
  <c r="F98" i="4"/>
  <c r="E99" i="4"/>
  <c r="E100" i="4"/>
  <c r="F99" i="4" s="1"/>
  <c r="G98" i="4" s="1"/>
  <c r="E101" i="4"/>
  <c r="F101" i="4"/>
  <c r="E102" i="4"/>
  <c r="F102" i="4"/>
  <c r="G101" i="4" s="1"/>
  <c r="E103" i="4"/>
  <c r="E104" i="4"/>
  <c r="F103" i="4" s="1"/>
  <c r="G102" i="4" s="1"/>
  <c r="E105" i="4"/>
  <c r="F104" i="4" s="1"/>
  <c r="G103" i="4" s="1"/>
  <c r="F105" i="4"/>
  <c r="E106" i="4"/>
  <c r="F106" i="4"/>
  <c r="G105" i="4" s="1"/>
  <c r="G106" i="4"/>
  <c r="E107" i="4"/>
  <c r="E108" i="4"/>
  <c r="F107" i="4" s="1"/>
  <c r="E109" i="4"/>
  <c r="F109" i="4"/>
  <c r="E110" i="4"/>
  <c r="F110" i="4"/>
  <c r="G110" i="4"/>
  <c r="E111" i="4"/>
  <c r="E112" i="4"/>
  <c r="F111" i="4" s="1"/>
  <c r="E113" i="4"/>
  <c r="F112" i="4" s="1"/>
  <c r="G111" i="4" s="1"/>
  <c r="F113" i="4"/>
  <c r="E114" i="4"/>
  <c r="F114" i="4"/>
  <c r="E115" i="4"/>
  <c r="E116" i="4"/>
  <c r="F115" i="4" s="1"/>
  <c r="G114" i="4" s="1"/>
  <c r="E117" i="4"/>
  <c r="F117" i="4"/>
  <c r="E118" i="4"/>
  <c r="F118" i="4"/>
  <c r="G117" i="4" s="1"/>
  <c r="E119" i="4"/>
  <c r="E120" i="4"/>
  <c r="F119" i="4" s="1"/>
  <c r="G118" i="4" s="1"/>
  <c r="E121" i="4"/>
  <c r="F120" i="4" s="1"/>
  <c r="G119" i="4" s="1"/>
  <c r="F121" i="4"/>
  <c r="E122" i="4"/>
  <c r="F122" i="4"/>
  <c r="G121" i="4" s="1"/>
  <c r="G122" i="4"/>
  <c r="E123" i="4"/>
  <c r="E124" i="4"/>
  <c r="F123" i="4" s="1"/>
  <c r="E125" i="4"/>
  <c r="F125" i="4"/>
  <c r="E126" i="4"/>
  <c r="F126" i="4"/>
  <c r="G126" i="4"/>
  <c r="E127" i="4"/>
  <c r="E128" i="4"/>
  <c r="F127" i="4" s="1"/>
  <c r="E129" i="4"/>
  <c r="F128" i="4" s="1"/>
  <c r="G127" i="4" s="1"/>
  <c r="F129" i="4"/>
  <c r="E130" i="4"/>
  <c r="F130" i="4"/>
  <c r="E131" i="4"/>
  <c r="E132" i="4"/>
  <c r="F131" i="4" s="1"/>
  <c r="G130" i="4" s="1"/>
  <c r="E133" i="4"/>
  <c r="F133" i="4"/>
  <c r="E134" i="4"/>
  <c r="F134" i="4"/>
  <c r="G133" i="4" s="1"/>
  <c r="E135" i="4"/>
  <c r="E136" i="4"/>
  <c r="F135" i="4" s="1"/>
  <c r="G134" i="4" s="1"/>
  <c r="E137" i="4"/>
  <c r="F136" i="4" s="1"/>
  <c r="G135" i="4" s="1"/>
  <c r="F137" i="4"/>
  <c r="E138" i="4"/>
  <c r="F138" i="4"/>
  <c r="G137" i="4" s="1"/>
  <c r="G138" i="4"/>
  <c r="E139" i="4"/>
  <c r="E140" i="4"/>
  <c r="F139" i="4" s="1"/>
  <c r="E141" i="4"/>
  <c r="F141" i="4"/>
  <c r="E142" i="4"/>
  <c r="F142" i="4"/>
  <c r="G142" i="4"/>
  <c r="E143" i="4"/>
  <c r="E144" i="4"/>
  <c r="F143" i="4" s="1"/>
  <c r="E145" i="4"/>
  <c r="F144" i="4" s="1"/>
  <c r="G143" i="4" s="1"/>
  <c r="F145" i="4"/>
  <c r="E146" i="4"/>
  <c r="F146" i="4"/>
  <c r="E147" i="4"/>
  <c r="E148" i="4"/>
  <c r="F147" i="4" s="1"/>
  <c r="G146" i="4" s="1"/>
  <c r="E149" i="4"/>
  <c r="F149" i="4"/>
  <c r="E150" i="4"/>
  <c r="F150" i="4"/>
  <c r="G149" i="4" s="1"/>
  <c r="E151" i="4"/>
  <c r="E152" i="4"/>
  <c r="F151" i="4" s="1"/>
  <c r="G150" i="4" s="1"/>
  <c r="E153" i="4"/>
  <c r="F152" i="4" s="1"/>
  <c r="G151" i="4" s="1"/>
  <c r="F153" i="4"/>
  <c r="E154" i="4"/>
  <c r="F154" i="4"/>
  <c r="G153" i="4" s="1"/>
  <c r="G154" i="4"/>
  <c r="E155" i="4"/>
  <c r="E156" i="4"/>
  <c r="F155" i="4" s="1"/>
  <c r="E157" i="4"/>
  <c r="F157" i="4"/>
  <c r="E158" i="4"/>
  <c r="F158" i="4"/>
  <c r="G158" i="4"/>
  <c r="E159" i="4"/>
  <c r="E160" i="4"/>
  <c r="F159" i="4" s="1"/>
  <c r="E161" i="4"/>
  <c r="F160" i="4" s="1"/>
  <c r="G159" i="4" s="1"/>
  <c r="F161" i="4"/>
  <c r="E162" i="4"/>
  <c r="F162" i="4"/>
  <c r="G162" i="4"/>
  <c r="E163" i="4"/>
  <c r="G163" i="4"/>
  <c r="E164" i="4"/>
  <c r="F163" i="4" s="1"/>
  <c r="E165" i="4"/>
  <c r="F164" i="4" s="1"/>
  <c r="E166" i="4"/>
  <c r="F166" i="4"/>
  <c r="G166" i="4"/>
  <c r="E167" i="4"/>
  <c r="G167" i="4"/>
  <c r="E168" i="4"/>
  <c r="F167" i="4" s="1"/>
  <c r="E169" i="4"/>
  <c r="F168" i="4" s="1"/>
  <c r="E170" i="4"/>
  <c r="F170" i="4"/>
  <c r="E171" i="4"/>
  <c r="E172" i="4"/>
  <c r="E2" i="4"/>
  <c r="F2" i="4" s="1"/>
  <c r="E171" i="3"/>
  <c r="E170" i="3"/>
  <c r="E169" i="3"/>
  <c r="E168" i="3"/>
  <c r="F167" i="3" s="1"/>
  <c r="G166" i="3" s="1"/>
  <c r="E167" i="3"/>
  <c r="E166" i="3"/>
  <c r="E165" i="3"/>
  <c r="E164" i="3"/>
  <c r="F163" i="3" s="1"/>
  <c r="G162" i="3" s="1"/>
  <c r="E163" i="3"/>
  <c r="E162" i="3"/>
  <c r="E161" i="3"/>
  <c r="E160" i="3"/>
  <c r="F159" i="3" s="1"/>
  <c r="G158" i="3" s="1"/>
  <c r="E159" i="3"/>
  <c r="E158" i="3"/>
  <c r="E157" i="3"/>
  <c r="E156" i="3"/>
  <c r="F155" i="3" s="1"/>
  <c r="G154" i="3" s="1"/>
  <c r="E155" i="3"/>
  <c r="E154" i="3"/>
  <c r="E153" i="3"/>
  <c r="E152" i="3"/>
  <c r="F151" i="3" s="1"/>
  <c r="G150" i="3" s="1"/>
  <c r="E151" i="3"/>
  <c r="E150" i="3"/>
  <c r="E149" i="3"/>
  <c r="E148" i="3"/>
  <c r="F147" i="3" s="1"/>
  <c r="G146" i="3" s="1"/>
  <c r="E147" i="3"/>
  <c r="E146" i="3"/>
  <c r="E145" i="3"/>
  <c r="E144" i="3"/>
  <c r="F143" i="3" s="1"/>
  <c r="G142" i="3" s="1"/>
  <c r="E143" i="3"/>
  <c r="E142" i="3"/>
  <c r="E141" i="3"/>
  <c r="E140" i="3"/>
  <c r="F139" i="3" s="1"/>
  <c r="G138" i="3" s="1"/>
  <c r="E139" i="3"/>
  <c r="E138" i="3"/>
  <c r="E137" i="3"/>
  <c r="E136" i="3"/>
  <c r="F135" i="3" s="1"/>
  <c r="G134" i="3" s="1"/>
  <c r="E135" i="3"/>
  <c r="E134" i="3"/>
  <c r="E133" i="3"/>
  <c r="E132" i="3"/>
  <c r="F131" i="3" s="1"/>
  <c r="G130" i="3" s="1"/>
  <c r="E131" i="3"/>
  <c r="E130" i="3"/>
  <c r="E129" i="3"/>
  <c r="E128" i="3"/>
  <c r="F127" i="3" s="1"/>
  <c r="G126" i="3" s="1"/>
  <c r="E127" i="3"/>
  <c r="E126" i="3"/>
  <c r="E125" i="3"/>
  <c r="E124" i="3"/>
  <c r="F123" i="3" s="1"/>
  <c r="G122" i="3" s="1"/>
  <c r="E123" i="3"/>
  <c r="E122" i="3"/>
  <c r="E121" i="3"/>
  <c r="E120" i="3"/>
  <c r="F119" i="3" s="1"/>
  <c r="G118" i="3" s="1"/>
  <c r="E119" i="3"/>
  <c r="E118" i="3"/>
  <c r="E117" i="3"/>
  <c r="E116" i="3"/>
  <c r="F115" i="3" s="1"/>
  <c r="G114" i="3" s="1"/>
  <c r="E115" i="3"/>
  <c r="E114" i="3"/>
  <c r="E113" i="3"/>
  <c r="E112" i="3"/>
  <c r="F111" i="3" s="1"/>
  <c r="G110" i="3" s="1"/>
  <c r="E111" i="3"/>
  <c r="E110" i="3"/>
  <c r="E109" i="3"/>
  <c r="E108" i="3"/>
  <c r="F107" i="3" s="1"/>
  <c r="G106" i="3" s="1"/>
  <c r="E107" i="3"/>
  <c r="E106" i="3"/>
  <c r="E105" i="3"/>
  <c r="E104" i="3"/>
  <c r="F103" i="3" s="1"/>
  <c r="G102" i="3" s="1"/>
  <c r="E103" i="3"/>
  <c r="E102" i="3"/>
  <c r="E101" i="3"/>
  <c r="E100" i="3"/>
  <c r="F99" i="3" s="1"/>
  <c r="G98" i="3" s="1"/>
  <c r="E99" i="3"/>
  <c r="E98" i="3"/>
  <c r="E97" i="3"/>
  <c r="E96" i="3"/>
  <c r="F95" i="3" s="1"/>
  <c r="G94" i="3" s="1"/>
  <c r="E95" i="3"/>
  <c r="E94" i="3"/>
  <c r="E93" i="3"/>
  <c r="E92" i="3"/>
  <c r="F91" i="3" s="1"/>
  <c r="G90" i="3" s="1"/>
  <c r="E91" i="3"/>
  <c r="E90" i="3"/>
  <c r="E89" i="3"/>
  <c r="E88" i="3"/>
  <c r="F87" i="3" s="1"/>
  <c r="G86" i="3" s="1"/>
  <c r="E87" i="3"/>
  <c r="E86" i="3"/>
  <c r="E85" i="3"/>
  <c r="E84" i="3"/>
  <c r="F83" i="3" s="1"/>
  <c r="G82" i="3" s="1"/>
  <c r="E83" i="3"/>
  <c r="E82" i="3"/>
  <c r="E81" i="3"/>
  <c r="E80" i="3"/>
  <c r="F79" i="3" s="1"/>
  <c r="G78" i="3" s="1"/>
  <c r="E79" i="3"/>
  <c r="E78" i="3"/>
  <c r="E77" i="3"/>
  <c r="E76" i="3"/>
  <c r="F75" i="3" s="1"/>
  <c r="G74" i="3" s="1"/>
  <c r="E75" i="3"/>
  <c r="E74" i="3"/>
  <c r="E73" i="3"/>
  <c r="E72" i="3"/>
  <c r="F71" i="3" s="1"/>
  <c r="G70" i="3" s="1"/>
  <c r="E71" i="3"/>
  <c r="E70" i="3"/>
  <c r="E69" i="3"/>
  <c r="E68" i="3"/>
  <c r="F67" i="3" s="1"/>
  <c r="G66" i="3" s="1"/>
  <c r="E67" i="3"/>
  <c r="E66" i="3"/>
  <c r="E65" i="3"/>
  <c r="E64" i="3"/>
  <c r="F63" i="3" s="1"/>
  <c r="G62" i="3" s="1"/>
  <c r="E63" i="3"/>
  <c r="E62" i="3"/>
  <c r="E61" i="3"/>
  <c r="E60" i="3"/>
  <c r="F59" i="3" s="1"/>
  <c r="G58" i="3" s="1"/>
  <c r="E59" i="3"/>
  <c r="E58" i="3"/>
  <c r="E57" i="3"/>
  <c r="E56" i="3"/>
  <c r="F55" i="3" s="1"/>
  <c r="G54" i="3" s="1"/>
  <c r="E55" i="3"/>
  <c r="E54" i="3"/>
  <c r="E53" i="3"/>
  <c r="E52" i="3"/>
  <c r="F51" i="3" s="1"/>
  <c r="G50" i="3" s="1"/>
  <c r="E51" i="3"/>
  <c r="E50" i="3"/>
  <c r="E49" i="3"/>
  <c r="E48" i="3"/>
  <c r="F47" i="3" s="1"/>
  <c r="G46" i="3" s="1"/>
  <c r="E47" i="3"/>
  <c r="E46" i="3"/>
  <c r="E45" i="3"/>
  <c r="E44" i="3"/>
  <c r="F43" i="3" s="1"/>
  <c r="G42" i="3" s="1"/>
  <c r="E43" i="3"/>
  <c r="E42" i="3"/>
  <c r="E41" i="3"/>
  <c r="E40" i="3"/>
  <c r="F39" i="3" s="1"/>
  <c r="G38" i="3" s="1"/>
  <c r="E39" i="3"/>
  <c r="E38" i="3"/>
  <c r="E37" i="3"/>
  <c r="E36" i="3"/>
  <c r="F35" i="3" s="1"/>
  <c r="G34" i="3" s="1"/>
  <c r="E35" i="3"/>
  <c r="E34" i="3"/>
  <c r="E33" i="3"/>
  <c r="E32" i="3"/>
  <c r="F31" i="3" s="1"/>
  <c r="G30" i="3" s="1"/>
  <c r="E31" i="3"/>
  <c r="E30" i="3"/>
  <c r="E29" i="3"/>
  <c r="E28" i="3"/>
  <c r="F27" i="3" s="1"/>
  <c r="G26" i="3" s="1"/>
  <c r="E27" i="3"/>
  <c r="E26" i="3"/>
  <c r="E25" i="3"/>
  <c r="E24" i="3"/>
  <c r="F23" i="3" s="1"/>
  <c r="G22" i="3" s="1"/>
  <c r="E23" i="3"/>
  <c r="E22" i="3"/>
  <c r="E21" i="3"/>
  <c r="E20" i="3"/>
  <c r="F19" i="3" s="1"/>
  <c r="G18" i="3" s="1"/>
  <c r="E19" i="3"/>
  <c r="E18" i="3"/>
  <c r="E17" i="3"/>
  <c r="E16" i="3"/>
  <c r="F15" i="3" s="1"/>
  <c r="G14" i="3" s="1"/>
  <c r="E15" i="3"/>
  <c r="E14" i="3"/>
  <c r="E13" i="3"/>
  <c r="E12" i="3"/>
  <c r="F11" i="3" s="1"/>
  <c r="G10" i="3" s="1"/>
  <c r="E11" i="3"/>
  <c r="E10" i="3"/>
  <c r="E9" i="3"/>
  <c r="E8" i="3"/>
  <c r="F7" i="3" s="1"/>
  <c r="E7" i="3"/>
  <c r="F6" i="3" s="1"/>
  <c r="E6" i="3"/>
  <c r="E5" i="3"/>
  <c r="E4" i="3"/>
  <c r="F3" i="3" s="1"/>
  <c r="E3" i="3"/>
  <c r="E2" i="3"/>
  <c r="E172" i="3"/>
  <c r="A172" i="3"/>
  <c r="B172" i="3"/>
  <c r="C172" i="3"/>
  <c r="D172" i="3"/>
  <c r="F172" i="3" s="1"/>
  <c r="G172" i="3" s="1"/>
  <c r="H172" i="3"/>
  <c r="H171" i="3"/>
  <c r="C171" i="3"/>
  <c r="B171" i="3"/>
  <c r="A171" i="3"/>
  <c r="F10" i="3"/>
  <c r="F14" i="3"/>
  <c r="F18" i="3"/>
  <c r="F22" i="3"/>
  <c r="F26" i="3"/>
  <c r="F30" i="3"/>
  <c r="F34" i="3"/>
  <c r="F38" i="3"/>
  <c r="F42" i="3"/>
  <c r="F46" i="3"/>
  <c r="F50" i="3"/>
  <c r="F54" i="3"/>
  <c r="F58" i="3"/>
  <c r="F62" i="3"/>
  <c r="F66" i="3"/>
  <c r="F70" i="3"/>
  <c r="F74" i="3"/>
  <c r="F78" i="3"/>
  <c r="F82" i="3"/>
  <c r="F86" i="3"/>
  <c r="F90" i="3"/>
  <c r="F94" i="3"/>
  <c r="F98" i="3"/>
  <c r="F102" i="3"/>
  <c r="F106" i="3"/>
  <c r="F110" i="3"/>
  <c r="F114" i="3"/>
  <c r="F118" i="3"/>
  <c r="F122" i="3"/>
  <c r="F126" i="3"/>
  <c r="F130" i="3"/>
  <c r="F134" i="3"/>
  <c r="F138" i="3"/>
  <c r="F142" i="3"/>
  <c r="F146" i="3"/>
  <c r="F150" i="3"/>
  <c r="F154" i="3"/>
  <c r="F158" i="3"/>
  <c r="F162" i="3"/>
  <c r="F166" i="3"/>
  <c r="F2" i="3"/>
  <c r="G157" i="4" l="1"/>
  <c r="G141" i="4"/>
  <c r="G125" i="4"/>
  <c r="G109" i="4"/>
  <c r="G100" i="4"/>
  <c r="G93" i="4"/>
  <c r="G77" i="4"/>
  <c r="F24" i="4"/>
  <c r="G23" i="4" s="1"/>
  <c r="F23" i="4"/>
  <c r="G22" i="4" s="1"/>
  <c r="G20" i="4"/>
  <c r="F16" i="4"/>
  <c r="G15" i="4" s="1"/>
  <c r="F15" i="4"/>
  <c r="G14" i="4" s="1"/>
  <c r="F8" i="4"/>
  <c r="G7" i="4" s="1"/>
  <c r="F7" i="4"/>
  <c r="G6" i="4" s="1"/>
  <c r="F172" i="4"/>
  <c r="F171" i="4"/>
  <c r="G170" i="4" s="1"/>
  <c r="G161" i="4"/>
  <c r="G152" i="4"/>
  <c r="F148" i="4"/>
  <c r="G147" i="4" s="1"/>
  <c r="G145" i="4"/>
  <c r="G136" i="4"/>
  <c r="F132" i="4"/>
  <c r="G131" i="4" s="1"/>
  <c r="G129" i="4"/>
  <c r="G120" i="4"/>
  <c r="F116" i="4"/>
  <c r="G115" i="4" s="1"/>
  <c r="G113" i="4"/>
  <c r="G104" i="4"/>
  <c r="F100" i="4"/>
  <c r="G99" i="4" s="1"/>
  <c r="G97" i="4"/>
  <c r="G88" i="4"/>
  <c r="F84" i="4"/>
  <c r="G83" i="4" s="1"/>
  <c r="G81" i="4"/>
  <c r="G72" i="4"/>
  <c r="F68" i="4"/>
  <c r="G67" i="4" s="1"/>
  <c r="F60" i="4"/>
  <c r="G59" i="4" s="1"/>
  <c r="G57" i="4"/>
  <c r="G53" i="4"/>
  <c r="F52" i="4"/>
  <c r="G51" i="4" s="1"/>
  <c r="G45" i="4"/>
  <c r="F44" i="4"/>
  <c r="G43" i="4" s="1"/>
  <c r="G37" i="4"/>
  <c r="F36" i="4"/>
  <c r="G35" i="4" s="1"/>
  <c r="G29" i="4"/>
  <c r="G21" i="4"/>
  <c r="G13" i="4"/>
  <c r="G5" i="4"/>
  <c r="F28" i="4"/>
  <c r="G27" i="4" s="1"/>
  <c r="F27" i="4"/>
  <c r="G26" i="4" s="1"/>
  <c r="G24" i="4"/>
  <c r="F20" i="4"/>
  <c r="F19" i="4"/>
  <c r="G18" i="4" s="1"/>
  <c r="G16" i="4"/>
  <c r="F12" i="4"/>
  <c r="G11" i="4" s="1"/>
  <c r="F11" i="4"/>
  <c r="G10" i="4" s="1"/>
  <c r="G8" i="4"/>
  <c r="F4" i="4"/>
  <c r="G3" i="4" s="1"/>
  <c r="F3" i="4"/>
  <c r="F169" i="4"/>
  <c r="G168" i="4" s="1"/>
  <c r="F165" i="4"/>
  <c r="G164" i="4" s="1"/>
  <c r="G160" i="4"/>
  <c r="F156" i="4"/>
  <c r="G155" i="4" s="1"/>
  <c r="G144" i="4"/>
  <c r="F140" i="4"/>
  <c r="G139" i="4" s="1"/>
  <c r="G128" i="4"/>
  <c r="F124" i="4"/>
  <c r="G123" i="4" s="1"/>
  <c r="G112" i="4"/>
  <c r="F108" i="4"/>
  <c r="G107" i="4" s="1"/>
  <c r="G96" i="4"/>
  <c r="F92" i="4"/>
  <c r="G91" i="4" s="1"/>
  <c r="G80" i="4"/>
  <c r="F76" i="4"/>
  <c r="G75" i="4" s="1"/>
  <c r="G65" i="4"/>
  <c r="F64" i="4"/>
  <c r="G63" i="4" s="1"/>
  <c r="G61" i="4"/>
  <c r="F56" i="4"/>
  <c r="G55" i="4" s="1"/>
  <c r="G49" i="4"/>
  <c r="F48" i="4"/>
  <c r="G47" i="4" s="1"/>
  <c r="G41" i="4"/>
  <c r="F40" i="4"/>
  <c r="G39" i="4" s="1"/>
  <c r="G33" i="4"/>
  <c r="F32" i="4"/>
  <c r="G31" i="4" s="1"/>
  <c r="G25" i="4"/>
  <c r="G17" i="4"/>
  <c r="G9" i="4"/>
  <c r="G6" i="3"/>
  <c r="G2" i="3"/>
  <c r="F164" i="3"/>
  <c r="G163" i="3" s="1"/>
  <c r="F160" i="3"/>
  <c r="G159" i="3" s="1"/>
  <c r="F156" i="3"/>
  <c r="G155" i="3" s="1"/>
  <c r="F152" i="3"/>
  <c r="G151" i="3" s="1"/>
  <c r="F148" i="3"/>
  <c r="G147" i="3" s="1"/>
  <c r="F144" i="3"/>
  <c r="G143" i="3" s="1"/>
  <c r="F140" i="3"/>
  <c r="G139" i="3" s="1"/>
  <c r="F136" i="3"/>
  <c r="G135" i="3" s="1"/>
  <c r="F132" i="3"/>
  <c r="G131" i="3" s="1"/>
  <c r="F128" i="3"/>
  <c r="G127" i="3" s="1"/>
  <c r="F124" i="3"/>
  <c r="G123" i="3" s="1"/>
  <c r="F120" i="3"/>
  <c r="G119" i="3" s="1"/>
  <c r="F116" i="3"/>
  <c r="G115" i="3" s="1"/>
  <c r="F112" i="3"/>
  <c r="G111" i="3" s="1"/>
  <c r="F108" i="3"/>
  <c r="G107" i="3" s="1"/>
  <c r="F104" i="3"/>
  <c r="G103" i="3" s="1"/>
  <c r="F100" i="3"/>
  <c r="G99" i="3" s="1"/>
  <c r="F96" i="3"/>
  <c r="G95" i="3" s="1"/>
  <c r="F92" i="3"/>
  <c r="G91" i="3" s="1"/>
  <c r="F88" i="3"/>
  <c r="G87" i="3" s="1"/>
  <c r="F84" i="3"/>
  <c r="G83" i="3" s="1"/>
  <c r="F80" i="3"/>
  <c r="G79" i="3" s="1"/>
  <c r="F76" i="3"/>
  <c r="G75" i="3" s="1"/>
  <c r="F72" i="3"/>
  <c r="G71" i="3" s="1"/>
  <c r="F68" i="3"/>
  <c r="G67" i="3" s="1"/>
  <c r="F64" i="3"/>
  <c r="G63" i="3" s="1"/>
  <c r="F60" i="3"/>
  <c r="G59" i="3" s="1"/>
  <c r="F56" i="3"/>
  <c r="G55" i="3" s="1"/>
  <c r="F52" i="3"/>
  <c r="G51" i="3" s="1"/>
  <c r="F48" i="3"/>
  <c r="G47" i="3" s="1"/>
  <c r="F44" i="3"/>
  <c r="G43" i="3" s="1"/>
  <c r="F40" i="3"/>
  <c r="G39" i="3" s="1"/>
  <c r="F36" i="3"/>
  <c r="G35" i="3" s="1"/>
  <c r="F32" i="3"/>
  <c r="G31" i="3" s="1"/>
  <c r="F28" i="3"/>
  <c r="G27" i="3" s="1"/>
  <c r="F24" i="3"/>
  <c r="G23" i="3" s="1"/>
  <c r="F20" i="3"/>
  <c r="G19" i="3" s="1"/>
  <c r="F16" i="3"/>
  <c r="G15" i="3" s="1"/>
  <c r="F12" i="3"/>
  <c r="G11" i="3" s="1"/>
  <c r="F8" i="3"/>
  <c r="G7" i="3" s="1"/>
  <c r="F4" i="3"/>
  <c r="G3" i="3" s="1"/>
  <c r="G149" i="3"/>
  <c r="G5" i="3"/>
  <c r="G125" i="3"/>
  <c r="G77" i="3"/>
  <c r="G81" i="3"/>
  <c r="F165" i="3"/>
  <c r="G164" i="3" s="1"/>
  <c r="F161" i="3"/>
  <c r="F157" i="3"/>
  <c r="G156" i="3" s="1"/>
  <c r="F153" i="3"/>
  <c r="G152" i="3" s="1"/>
  <c r="F149" i="3"/>
  <c r="G148" i="3" s="1"/>
  <c r="F145" i="3"/>
  <c r="F141" i="3"/>
  <c r="G140" i="3" s="1"/>
  <c r="F137" i="3"/>
  <c r="G136" i="3" s="1"/>
  <c r="F133" i="3"/>
  <c r="G132" i="3" s="1"/>
  <c r="F129" i="3"/>
  <c r="G129" i="3" s="1"/>
  <c r="F125" i="3"/>
  <c r="G124" i="3" s="1"/>
  <c r="F121" i="3"/>
  <c r="G120" i="3" s="1"/>
  <c r="F117" i="3"/>
  <c r="G116" i="3" s="1"/>
  <c r="F113" i="3"/>
  <c r="F109" i="3"/>
  <c r="G108" i="3" s="1"/>
  <c r="F105" i="3"/>
  <c r="G104" i="3" s="1"/>
  <c r="F101" i="3"/>
  <c r="G100" i="3" s="1"/>
  <c r="F97" i="3"/>
  <c r="F93" i="3"/>
  <c r="G92" i="3" s="1"/>
  <c r="F89" i="3"/>
  <c r="G88" i="3" s="1"/>
  <c r="F85" i="3"/>
  <c r="G84" i="3" s="1"/>
  <c r="F81" i="3"/>
  <c r="F77" i="3"/>
  <c r="G76" i="3" s="1"/>
  <c r="F73" i="3"/>
  <c r="G72" i="3" s="1"/>
  <c r="F69" i="3"/>
  <c r="G68" i="3" s="1"/>
  <c r="F65" i="3"/>
  <c r="F61" i="3"/>
  <c r="G60" i="3" s="1"/>
  <c r="F57" i="3"/>
  <c r="G56" i="3" s="1"/>
  <c r="F53" i="3"/>
  <c r="G52" i="3" s="1"/>
  <c r="F49" i="3"/>
  <c r="F45" i="3"/>
  <c r="G44" i="3" s="1"/>
  <c r="F41" i="3"/>
  <c r="G40" i="3" s="1"/>
  <c r="F37" i="3"/>
  <c r="G36" i="3" s="1"/>
  <c r="F33" i="3"/>
  <c r="F29" i="3"/>
  <c r="G28" i="3" s="1"/>
  <c r="F25" i="3"/>
  <c r="G24" i="3" s="1"/>
  <c r="F21" i="3"/>
  <c r="G20" i="3" s="1"/>
  <c r="F17" i="3"/>
  <c r="F13" i="3"/>
  <c r="G12" i="3" s="1"/>
  <c r="F9" i="3"/>
  <c r="G8" i="3" s="1"/>
  <c r="F5" i="3"/>
  <c r="G4" i="3" s="1"/>
  <c r="K2" i="1"/>
  <c r="A112" i="3" s="1"/>
  <c r="N4" i="1"/>
  <c r="H4" i="4" s="1"/>
  <c r="N5" i="1"/>
  <c r="H5" i="4" s="1"/>
  <c r="N6" i="1"/>
  <c r="H6" i="4" s="1"/>
  <c r="N7" i="1"/>
  <c r="H7" i="4" s="1"/>
  <c r="N8" i="1"/>
  <c r="H8" i="4" s="1"/>
  <c r="N9" i="1"/>
  <c r="H9" i="4" s="1"/>
  <c r="N10" i="1"/>
  <c r="H10" i="4" s="1"/>
  <c r="N11" i="1"/>
  <c r="H11" i="4" s="1"/>
  <c r="N12" i="1"/>
  <c r="H12" i="4" s="1"/>
  <c r="N13" i="1"/>
  <c r="H13" i="4" s="1"/>
  <c r="N14" i="1"/>
  <c r="H14" i="4" s="1"/>
  <c r="N15" i="1"/>
  <c r="H15" i="4" s="1"/>
  <c r="N16" i="1"/>
  <c r="H16" i="4" s="1"/>
  <c r="N17" i="1"/>
  <c r="H17" i="4" s="1"/>
  <c r="N18" i="1"/>
  <c r="H18" i="4" s="1"/>
  <c r="N19" i="1"/>
  <c r="H19" i="4" s="1"/>
  <c r="N20" i="1"/>
  <c r="H20" i="4" s="1"/>
  <c r="N21" i="1"/>
  <c r="H21" i="4" s="1"/>
  <c r="N22" i="1"/>
  <c r="H22" i="4" s="1"/>
  <c r="N23" i="1"/>
  <c r="H23" i="4" s="1"/>
  <c r="N24" i="1"/>
  <c r="H24" i="4" s="1"/>
  <c r="N25" i="1"/>
  <c r="H25" i="4" s="1"/>
  <c r="N26" i="1"/>
  <c r="H26" i="4" s="1"/>
  <c r="N27" i="1"/>
  <c r="H27" i="4" s="1"/>
  <c r="N28" i="1"/>
  <c r="H28" i="4" s="1"/>
  <c r="N29" i="1"/>
  <c r="H29" i="4" s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H110" i="4" s="1"/>
  <c r="N111" i="1"/>
  <c r="H111" i="4" s="1"/>
  <c r="N112" i="1"/>
  <c r="H112" i="4" s="1"/>
  <c r="N113" i="1"/>
  <c r="H113" i="4" s="1"/>
  <c r="N114" i="1"/>
  <c r="H114" i="4" s="1"/>
  <c r="N115" i="1"/>
  <c r="H115" i="4" s="1"/>
  <c r="N116" i="1"/>
  <c r="H116" i="4" s="1"/>
  <c r="N117" i="1"/>
  <c r="H117" i="4" s="1"/>
  <c r="N118" i="1"/>
  <c r="H118" i="4" s="1"/>
  <c r="N119" i="1"/>
  <c r="H119" i="4" s="1"/>
  <c r="N120" i="1"/>
  <c r="H120" i="4" s="1"/>
  <c r="N121" i="1"/>
  <c r="H121" i="4" s="1"/>
  <c r="N122" i="1"/>
  <c r="H122" i="4" s="1"/>
  <c r="N123" i="1"/>
  <c r="H123" i="4" s="1"/>
  <c r="N124" i="1"/>
  <c r="H124" i="4" s="1"/>
  <c r="N125" i="1"/>
  <c r="H125" i="4" s="1"/>
  <c r="N126" i="1"/>
  <c r="H126" i="4" s="1"/>
  <c r="N127" i="1"/>
  <c r="H127" i="4" s="1"/>
  <c r="N128" i="1"/>
  <c r="H128" i="4" s="1"/>
  <c r="N129" i="1"/>
  <c r="H129" i="4" s="1"/>
  <c r="N130" i="1"/>
  <c r="H130" i="4" s="1"/>
  <c r="N131" i="1"/>
  <c r="H131" i="4" s="1"/>
  <c r="N132" i="1"/>
  <c r="H132" i="4" s="1"/>
  <c r="N133" i="1"/>
  <c r="H133" i="4" s="1"/>
  <c r="N134" i="1"/>
  <c r="H134" i="4" s="1"/>
  <c r="N135" i="1"/>
  <c r="H135" i="4" s="1"/>
  <c r="N136" i="1"/>
  <c r="H136" i="4" s="1"/>
  <c r="N137" i="1"/>
  <c r="H137" i="4" s="1"/>
  <c r="N138" i="1"/>
  <c r="H138" i="4" s="1"/>
  <c r="N139" i="1"/>
  <c r="H139" i="4" s="1"/>
  <c r="N140" i="1"/>
  <c r="H140" i="4" s="1"/>
  <c r="N141" i="1"/>
  <c r="H141" i="4" s="1"/>
  <c r="N142" i="1"/>
  <c r="H142" i="4" s="1"/>
  <c r="N143" i="1"/>
  <c r="H143" i="4" s="1"/>
  <c r="N144" i="1"/>
  <c r="H144" i="4" s="1"/>
  <c r="N145" i="1"/>
  <c r="H145" i="4" s="1"/>
  <c r="N146" i="1"/>
  <c r="H146" i="4" s="1"/>
  <c r="N147" i="1"/>
  <c r="H147" i="4" s="1"/>
  <c r="N148" i="1"/>
  <c r="H148" i="4" s="1"/>
  <c r="N149" i="1"/>
  <c r="H149" i="4" s="1"/>
  <c r="N150" i="1"/>
  <c r="H150" i="4" s="1"/>
  <c r="N151" i="1"/>
  <c r="H151" i="4" s="1"/>
  <c r="N152" i="1"/>
  <c r="H152" i="4" s="1"/>
  <c r="N153" i="1"/>
  <c r="H153" i="4" s="1"/>
  <c r="N154" i="1"/>
  <c r="H154" i="4" s="1"/>
  <c r="N155" i="1"/>
  <c r="H155" i="4" s="1"/>
  <c r="N156" i="1"/>
  <c r="H156" i="4" s="1"/>
  <c r="N157" i="1"/>
  <c r="H157" i="4" s="1"/>
  <c r="N158" i="1"/>
  <c r="H158" i="4" s="1"/>
  <c r="N159" i="1"/>
  <c r="H159" i="4" s="1"/>
  <c r="N160" i="1"/>
  <c r="H160" i="4" s="1"/>
  <c r="N161" i="1"/>
  <c r="H161" i="4" s="1"/>
  <c r="N162" i="1"/>
  <c r="H162" i="4" s="1"/>
  <c r="N163" i="1"/>
  <c r="H163" i="4" s="1"/>
  <c r="N164" i="1"/>
  <c r="H164" i="4" s="1"/>
  <c r="N165" i="1"/>
  <c r="H165" i="4" s="1"/>
  <c r="N166" i="1"/>
  <c r="H166" i="4" s="1"/>
  <c r="N167" i="1"/>
  <c r="H167" i="4" s="1"/>
  <c r="N168" i="1"/>
  <c r="H168" i="4" s="1"/>
  <c r="N169" i="1"/>
  <c r="H169" i="4" s="1"/>
  <c r="N170" i="1"/>
  <c r="H170" i="4" s="1"/>
  <c r="N171" i="1"/>
  <c r="H171" i="4" s="1"/>
  <c r="N172" i="1"/>
  <c r="H172" i="4" s="1"/>
  <c r="L132" i="1"/>
  <c r="M132" i="1"/>
  <c r="L133" i="1"/>
  <c r="M133" i="1"/>
  <c r="L134" i="1"/>
  <c r="M134" i="1"/>
  <c r="L135" i="1"/>
  <c r="M135" i="1"/>
  <c r="L136" i="1"/>
  <c r="M136" i="1"/>
  <c r="L137" i="1"/>
  <c r="M137" i="1"/>
  <c r="L138" i="1"/>
  <c r="M138" i="1"/>
  <c r="L139" i="1"/>
  <c r="M139" i="1"/>
  <c r="L140" i="1"/>
  <c r="M140" i="1"/>
  <c r="L141" i="1"/>
  <c r="M141" i="1"/>
  <c r="L142" i="1"/>
  <c r="M142" i="1"/>
  <c r="L143" i="1"/>
  <c r="M143" i="1"/>
  <c r="L144" i="1"/>
  <c r="M144" i="1"/>
  <c r="L145" i="1"/>
  <c r="M145" i="1"/>
  <c r="L146" i="1"/>
  <c r="M146" i="1"/>
  <c r="L147" i="1"/>
  <c r="M147" i="1"/>
  <c r="L148" i="1"/>
  <c r="M148" i="1"/>
  <c r="L149" i="1"/>
  <c r="M149" i="1"/>
  <c r="L150" i="1"/>
  <c r="M150" i="1"/>
  <c r="L151" i="1"/>
  <c r="M151" i="1"/>
  <c r="L152" i="1"/>
  <c r="M152" i="1"/>
  <c r="L153" i="1"/>
  <c r="M153" i="1"/>
  <c r="L154" i="1"/>
  <c r="M154" i="1"/>
  <c r="L155" i="1"/>
  <c r="M155" i="1"/>
  <c r="L156" i="1"/>
  <c r="M156" i="1"/>
  <c r="L157" i="1"/>
  <c r="M157" i="1"/>
  <c r="L158" i="1"/>
  <c r="M158" i="1"/>
  <c r="L159" i="1"/>
  <c r="M159" i="1"/>
  <c r="L160" i="1"/>
  <c r="M160" i="1"/>
  <c r="L161" i="1"/>
  <c r="M161" i="1"/>
  <c r="L162" i="1"/>
  <c r="M162" i="1"/>
  <c r="L163" i="1"/>
  <c r="M163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4" i="1"/>
  <c r="M4" i="1"/>
  <c r="L5" i="1"/>
  <c r="M5" i="1"/>
  <c r="L6" i="1"/>
  <c r="M6" i="1"/>
  <c r="L7" i="1"/>
  <c r="M7" i="1"/>
  <c r="L8" i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L40" i="1"/>
  <c r="M40" i="1"/>
  <c r="L41" i="1"/>
  <c r="M41" i="1"/>
  <c r="L42" i="1"/>
  <c r="M42" i="1"/>
  <c r="L43" i="1"/>
  <c r="M43" i="1"/>
  <c r="L44" i="1"/>
  <c r="M44" i="1"/>
  <c r="L45" i="1"/>
  <c r="M45" i="1"/>
  <c r="L46" i="1"/>
  <c r="M46" i="1"/>
  <c r="L47" i="1"/>
  <c r="M47" i="1"/>
  <c r="L48" i="1"/>
  <c r="M48" i="1"/>
  <c r="L49" i="1"/>
  <c r="M49" i="1"/>
  <c r="L50" i="1"/>
  <c r="M50" i="1"/>
  <c r="L51" i="1"/>
  <c r="M51" i="1"/>
  <c r="L52" i="1"/>
  <c r="M52" i="1"/>
  <c r="L53" i="1"/>
  <c r="M53" i="1"/>
  <c r="L54" i="1"/>
  <c r="M54" i="1"/>
  <c r="L55" i="1"/>
  <c r="M55" i="1"/>
  <c r="L56" i="1"/>
  <c r="M56" i="1"/>
  <c r="L57" i="1"/>
  <c r="M57" i="1"/>
  <c r="L58" i="1"/>
  <c r="M58" i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L67" i="1"/>
  <c r="M67" i="1"/>
  <c r="L68" i="1"/>
  <c r="M68" i="1"/>
  <c r="L69" i="1"/>
  <c r="M69" i="1"/>
  <c r="L70" i="1"/>
  <c r="M70" i="1"/>
  <c r="L71" i="1"/>
  <c r="M71" i="1"/>
  <c r="L72" i="1"/>
  <c r="M72" i="1"/>
  <c r="L73" i="1"/>
  <c r="M73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L125" i="1"/>
  <c r="M125" i="1"/>
  <c r="L126" i="1"/>
  <c r="M126" i="1"/>
  <c r="L127" i="1"/>
  <c r="M127" i="1"/>
  <c r="L128" i="1"/>
  <c r="M128" i="1"/>
  <c r="L129" i="1"/>
  <c r="M129" i="1"/>
  <c r="L130" i="1"/>
  <c r="M130" i="1"/>
  <c r="L131" i="1"/>
  <c r="M131" i="1"/>
  <c r="M3" i="1"/>
  <c r="M2" i="1" s="1"/>
  <c r="Q2" i="1" s="1"/>
  <c r="L3" i="1"/>
  <c r="L2" i="1" s="1"/>
  <c r="P2" i="1" s="1"/>
  <c r="P3" i="1" s="1"/>
  <c r="P4" i="1" s="1"/>
  <c r="N2" i="1"/>
  <c r="N3" i="1"/>
  <c r="H3" i="3" s="1"/>
  <c r="G108" i="4" l="1"/>
  <c r="G68" i="4"/>
  <c r="G19" i="4"/>
  <c r="G32" i="4"/>
  <c r="G64" i="4"/>
  <c r="G124" i="4"/>
  <c r="G171" i="4"/>
  <c r="G172" i="4"/>
  <c r="G12" i="4"/>
  <c r="G44" i="4"/>
  <c r="G40" i="4"/>
  <c r="G76" i="4"/>
  <c r="G140" i="4"/>
  <c r="G165" i="4"/>
  <c r="G4" i="4"/>
  <c r="G52" i="4"/>
  <c r="G84" i="4"/>
  <c r="G116" i="4"/>
  <c r="G148" i="4"/>
  <c r="G56" i="4"/>
  <c r="G36" i="4"/>
  <c r="G132" i="4"/>
  <c r="G48" i="4"/>
  <c r="G92" i="4"/>
  <c r="G156" i="4"/>
  <c r="G169" i="4"/>
  <c r="G28" i="4"/>
  <c r="G60" i="4"/>
  <c r="G21" i="3"/>
  <c r="G16" i="3"/>
  <c r="G32" i="3"/>
  <c r="G48" i="3"/>
  <c r="G64" i="3"/>
  <c r="G80" i="3"/>
  <c r="G96" i="3"/>
  <c r="G112" i="3"/>
  <c r="G128" i="3"/>
  <c r="G144" i="3"/>
  <c r="G160" i="3"/>
  <c r="G53" i="3"/>
  <c r="G101" i="3"/>
  <c r="G41" i="3"/>
  <c r="G33" i="3"/>
  <c r="G89" i="3"/>
  <c r="G141" i="3"/>
  <c r="G65" i="3"/>
  <c r="G93" i="3"/>
  <c r="G137" i="3"/>
  <c r="G9" i="3"/>
  <c r="G25" i="3"/>
  <c r="G57" i="3"/>
  <c r="G113" i="3"/>
  <c r="G153" i="3"/>
  <c r="G45" i="3"/>
  <c r="G105" i="3"/>
  <c r="G69" i="3"/>
  <c r="G117" i="3"/>
  <c r="G157" i="3"/>
  <c r="G13" i="3"/>
  <c r="G29" i="3"/>
  <c r="G85" i="3"/>
  <c r="G133" i="3"/>
  <c r="G165" i="3"/>
  <c r="G61" i="3"/>
  <c r="G109" i="3"/>
  <c r="G37" i="3"/>
  <c r="G73" i="3"/>
  <c r="G121" i="3"/>
  <c r="G161" i="3"/>
  <c r="G17" i="3"/>
  <c r="G49" i="3"/>
  <c r="G97" i="3"/>
  <c r="G145" i="3"/>
  <c r="H104" i="4"/>
  <c r="H104" i="3"/>
  <c r="H88" i="4"/>
  <c r="H88" i="3"/>
  <c r="H68" i="4"/>
  <c r="H68" i="3"/>
  <c r="H48" i="4"/>
  <c r="H48" i="3"/>
  <c r="W2" i="1"/>
  <c r="C2" i="4" s="1"/>
  <c r="H2" i="4"/>
  <c r="H109" i="4"/>
  <c r="H109" i="3"/>
  <c r="H105" i="4"/>
  <c r="H105" i="3"/>
  <c r="H101" i="4"/>
  <c r="H101" i="3"/>
  <c r="H97" i="4"/>
  <c r="H97" i="3"/>
  <c r="H93" i="4"/>
  <c r="H93" i="3"/>
  <c r="H89" i="4"/>
  <c r="H89" i="3"/>
  <c r="H85" i="4"/>
  <c r="H85" i="3"/>
  <c r="H81" i="4"/>
  <c r="H81" i="3"/>
  <c r="H77" i="4"/>
  <c r="H77" i="3"/>
  <c r="H73" i="4"/>
  <c r="H73" i="3"/>
  <c r="H69" i="4"/>
  <c r="H69" i="3"/>
  <c r="H65" i="4"/>
  <c r="H65" i="3"/>
  <c r="H61" i="4"/>
  <c r="H61" i="3"/>
  <c r="H57" i="4"/>
  <c r="H57" i="3"/>
  <c r="H53" i="4"/>
  <c r="H53" i="3"/>
  <c r="H49" i="4"/>
  <c r="H49" i="3"/>
  <c r="H45" i="4"/>
  <c r="H45" i="3"/>
  <c r="H41" i="4"/>
  <c r="H41" i="3"/>
  <c r="H37" i="4"/>
  <c r="H37" i="3"/>
  <c r="H33" i="4"/>
  <c r="H33" i="3"/>
  <c r="H2" i="3"/>
  <c r="A29" i="3"/>
  <c r="A27" i="3"/>
  <c r="A25" i="3"/>
  <c r="A23" i="3"/>
  <c r="A21" i="3"/>
  <c r="A19" i="3"/>
  <c r="A17" i="3"/>
  <c r="A15" i="3"/>
  <c r="A13" i="3"/>
  <c r="A11" i="3"/>
  <c r="A9" i="3"/>
  <c r="A7" i="3"/>
  <c r="A5" i="3"/>
  <c r="H170" i="3"/>
  <c r="H168" i="3"/>
  <c r="H166" i="3"/>
  <c r="H164" i="3"/>
  <c r="H162" i="3"/>
  <c r="H160" i="3"/>
  <c r="H158" i="3"/>
  <c r="H156" i="3"/>
  <c r="H154" i="3"/>
  <c r="H152" i="3"/>
  <c r="H150" i="3"/>
  <c r="H148" i="3"/>
  <c r="H146" i="3"/>
  <c r="H144" i="3"/>
  <c r="H142" i="3"/>
  <c r="H140" i="3"/>
  <c r="H138" i="3"/>
  <c r="H136" i="3"/>
  <c r="H134" i="3"/>
  <c r="H132" i="3"/>
  <c r="H130" i="3"/>
  <c r="H128" i="3"/>
  <c r="H126" i="3"/>
  <c r="H124" i="3"/>
  <c r="H122" i="3"/>
  <c r="H120" i="3"/>
  <c r="H118" i="3"/>
  <c r="H116" i="3"/>
  <c r="H114" i="3"/>
  <c r="H112" i="3"/>
  <c r="H28" i="3"/>
  <c r="H26" i="3"/>
  <c r="H24" i="3"/>
  <c r="H22" i="3"/>
  <c r="H20" i="3"/>
  <c r="H18" i="3"/>
  <c r="H16" i="3"/>
  <c r="H14" i="3"/>
  <c r="H12" i="3"/>
  <c r="H10" i="3"/>
  <c r="H8" i="3"/>
  <c r="H6" i="3"/>
  <c r="H4" i="3"/>
  <c r="A170" i="3"/>
  <c r="A168" i="3"/>
  <c r="A166" i="3"/>
  <c r="A164" i="3"/>
  <c r="A162" i="3"/>
  <c r="A160" i="3"/>
  <c r="A158" i="3"/>
  <c r="A156" i="3"/>
  <c r="A154" i="3"/>
  <c r="A152" i="3"/>
  <c r="A150" i="3"/>
  <c r="A148" i="3"/>
  <c r="A146" i="3"/>
  <c r="A144" i="3"/>
  <c r="A142" i="3"/>
  <c r="A140" i="3"/>
  <c r="A138" i="3"/>
  <c r="A136" i="3"/>
  <c r="A134" i="3"/>
  <c r="A132" i="3"/>
  <c r="A130" i="3"/>
  <c r="A128" i="3"/>
  <c r="A126" i="3"/>
  <c r="A124" i="3"/>
  <c r="A122" i="3"/>
  <c r="A120" i="3"/>
  <c r="A118" i="3"/>
  <c r="A116" i="3"/>
  <c r="A114" i="3"/>
  <c r="H100" i="4"/>
  <c r="H100" i="3"/>
  <c r="H92" i="4"/>
  <c r="H92" i="3"/>
  <c r="H80" i="4"/>
  <c r="H80" i="3"/>
  <c r="H72" i="4"/>
  <c r="H72" i="3"/>
  <c r="H60" i="4"/>
  <c r="H60" i="3"/>
  <c r="H56" i="4"/>
  <c r="H56" i="3"/>
  <c r="H44" i="4"/>
  <c r="H44" i="3"/>
  <c r="H36" i="4"/>
  <c r="H36" i="3"/>
  <c r="H107" i="4"/>
  <c r="H107" i="3"/>
  <c r="H103" i="4"/>
  <c r="H103" i="3"/>
  <c r="H99" i="4"/>
  <c r="H99" i="3"/>
  <c r="H95" i="4"/>
  <c r="H95" i="3"/>
  <c r="H91" i="4"/>
  <c r="H91" i="3"/>
  <c r="H87" i="4"/>
  <c r="H87" i="3"/>
  <c r="H83" i="4"/>
  <c r="H83" i="3"/>
  <c r="H79" i="4"/>
  <c r="H79" i="3"/>
  <c r="H75" i="4"/>
  <c r="H75" i="3"/>
  <c r="H71" i="4"/>
  <c r="H71" i="3"/>
  <c r="H67" i="4"/>
  <c r="H67" i="3"/>
  <c r="H63" i="4"/>
  <c r="H63" i="3"/>
  <c r="H59" i="4"/>
  <c r="H59" i="3"/>
  <c r="H55" i="4"/>
  <c r="H55" i="3"/>
  <c r="H51" i="4"/>
  <c r="H51" i="3"/>
  <c r="H47" i="4"/>
  <c r="H47" i="3"/>
  <c r="H43" i="4"/>
  <c r="H43" i="3"/>
  <c r="H39" i="4"/>
  <c r="H39" i="3"/>
  <c r="H35" i="4"/>
  <c r="H35" i="3"/>
  <c r="H31" i="4"/>
  <c r="H31" i="3"/>
  <c r="A171" i="4"/>
  <c r="A169" i="4"/>
  <c r="A167" i="4"/>
  <c r="A165" i="4"/>
  <c r="A163" i="4"/>
  <c r="A161" i="4"/>
  <c r="A159" i="4"/>
  <c r="A157" i="4"/>
  <c r="A155" i="4"/>
  <c r="A153" i="4"/>
  <c r="A151" i="4"/>
  <c r="A149" i="4"/>
  <c r="A147" i="4"/>
  <c r="A145" i="4"/>
  <c r="A143" i="4"/>
  <c r="A141" i="4"/>
  <c r="A139" i="4"/>
  <c r="A137" i="4"/>
  <c r="A135" i="4"/>
  <c r="A133" i="4"/>
  <c r="A131" i="4"/>
  <c r="A129" i="4"/>
  <c r="A127" i="4"/>
  <c r="A125" i="4"/>
  <c r="A123" i="4"/>
  <c r="A121" i="4"/>
  <c r="A119" i="4"/>
  <c r="A117" i="4"/>
  <c r="A115" i="4"/>
  <c r="A113" i="4"/>
  <c r="A111" i="4"/>
  <c r="A109" i="4"/>
  <c r="A107" i="4"/>
  <c r="A105" i="4"/>
  <c r="A103" i="4"/>
  <c r="A101" i="4"/>
  <c r="A99" i="4"/>
  <c r="A97" i="4"/>
  <c r="A95" i="4"/>
  <c r="A93" i="4"/>
  <c r="A91" i="4"/>
  <c r="A89" i="4"/>
  <c r="A87" i="4"/>
  <c r="A85" i="4"/>
  <c r="A83" i="4"/>
  <c r="A81" i="4"/>
  <c r="A79" i="4"/>
  <c r="A77" i="4"/>
  <c r="A75" i="4"/>
  <c r="A73" i="4"/>
  <c r="A71" i="4"/>
  <c r="A69" i="4"/>
  <c r="A67" i="4"/>
  <c r="A65" i="4"/>
  <c r="A63" i="4"/>
  <c r="A61" i="4"/>
  <c r="A59" i="4"/>
  <c r="A57" i="4"/>
  <c r="A55" i="4"/>
  <c r="A53" i="4"/>
  <c r="A51" i="4"/>
  <c r="A49" i="4"/>
  <c r="A47" i="4"/>
  <c r="A45" i="4"/>
  <c r="A172" i="4"/>
  <c r="A170" i="4"/>
  <c r="A168" i="4"/>
  <c r="A166" i="4"/>
  <c r="A164" i="4"/>
  <c r="A162" i="4"/>
  <c r="A160" i="4"/>
  <c r="A158" i="4"/>
  <c r="A156" i="4"/>
  <c r="A154" i="4"/>
  <c r="A152" i="4"/>
  <c r="A150" i="4"/>
  <c r="A148" i="4"/>
  <c r="A146" i="4"/>
  <c r="A144" i="4"/>
  <c r="A142" i="4"/>
  <c r="A140" i="4"/>
  <c r="A138" i="4"/>
  <c r="A136" i="4"/>
  <c r="A134" i="4"/>
  <c r="A132" i="4"/>
  <c r="A130" i="4"/>
  <c r="A128" i="4"/>
  <c r="A126" i="4"/>
  <c r="A124" i="4"/>
  <c r="A122" i="4"/>
  <c r="A120" i="4"/>
  <c r="A118" i="4"/>
  <c r="A116" i="4"/>
  <c r="A114" i="4"/>
  <c r="A112" i="4"/>
  <c r="A110" i="4"/>
  <c r="A108" i="4"/>
  <c r="A106" i="4"/>
  <c r="A104" i="4"/>
  <c r="A102" i="4"/>
  <c r="A100" i="4"/>
  <c r="A98" i="4"/>
  <c r="A96" i="4"/>
  <c r="A94" i="4"/>
  <c r="A92" i="4"/>
  <c r="A90" i="4"/>
  <c r="A88" i="4"/>
  <c r="A86" i="4"/>
  <c r="A84" i="4"/>
  <c r="A82" i="4"/>
  <c r="A80" i="4"/>
  <c r="A78" i="4"/>
  <c r="A76" i="4"/>
  <c r="A74" i="4"/>
  <c r="A72" i="4"/>
  <c r="A70" i="4"/>
  <c r="A68" i="4"/>
  <c r="A66" i="4"/>
  <c r="A64" i="4"/>
  <c r="A62" i="4"/>
  <c r="A60" i="4"/>
  <c r="A58" i="4"/>
  <c r="A56" i="4"/>
  <c r="A54" i="4"/>
  <c r="A52" i="4"/>
  <c r="A50" i="4"/>
  <c r="A48" i="4"/>
  <c r="A46" i="4"/>
  <c r="A3" i="4"/>
  <c r="A44" i="4"/>
  <c r="A42" i="4"/>
  <c r="A40" i="4"/>
  <c r="A38" i="4"/>
  <c r="A36" i="4"/>
  <c r="A34" i="4"/>
  <c r="A32" i="4"/>
  <c r="A30" i="4"/>
  <c r="A28" i="4"/>
  <c r="A26" i="4"/>
  <c r="A24" i="4"/>
  <c r="A22" i="4"/>
  <c r="A20" i="4"/>
  <c r="A18" i="4"/>
  <c r="A16" i="4"/>
  <c r="A14" i="4"/>
  <c r="A12" i="4"/>
  <c r="A10" i="4"/>
  <c r="A8" i="4"/>
  <c r="A6" i="4"/>
  <c r="A4" i="4"/>
  <c r="A2" i="4"/>
  <c r="A43" i="4"/>
  <c r="A41" i="4"/>
  <c r="A39" i="4"/>
  <c r="A37" i="4"/>
  <c r="A35" i="4"/>
  <c r="A33" i="4"/>
  <c r="A31" i="4"/>
  <c r="A29" i="4"/>
  <c r="A27" i="4"/>
  <c r="A25" i="4"/>
  <c r="A23" i="4"/>
  <c r="A21" i="4"/>
  <c r="A19" i="4"/>
  <c r="A17" i="4"/>
  <c r="A15" i="4"/>
  <c r="A13" i="4"/>
  <c r="A11" i="4"/>
  <c r="A9" i="4"/>
  <c r="A7" i="4"/>
  <c r="A5" i="4"/>
  <c r="A30" i="3"/>
  <c r="A32" i="3"/>
  <c r="A34" i="3"/>
  <c r="A36" i="3"/>
  <c r="A38" i="3"/>
  <c r="A40" i="3"/>
  <c r="A42" i="3"/>
  <c r="A44" i="3"/>
  <c r="A46" i="3"/>
  <c r="A48" i="3"/>
  <c r="A50" i="3"/>
  <c r="A52" i="3"/>
  <c r="A54" i="3"/>
  <c r="A56" i="3"/>
  <c r="A58" i="3"/>
  <c r="A60" i="3"/>
  <c r="A62" i="3"/>
  <c r="A64" i="3"/>
  <c r="A66" i="3"/>
  <c r="A68" i="3"/>
  <c r="A70" i="3"/>
  <c r="A72" i="3"/>
  <c r="A74" i="3"/>
  <c r="A76" i="3"/>
  <c r="A78" i="3"/>
  <c r="A80" i="3"/>
  <c r="A82" i="3"/>
  <c r="A84" i="3"/>
  <c r="A86" i="3"/>
  <c r="A88" i="3"/>
  <c r="A90" i="3"/>
  <c r="A92" i="3"/>
  <c r="A94" i="3"/>
  <c r="A96" i="3"/>
  <c r="A98" i="3"/>
  <c r="A100" i="3"/>
  <c r="A102" i="3"/>
  <c r="A104" i="3"/>
  <c r="A106" i="3"/>
  <c r="A108" i="3"/>
  <c r="A110" i="3"/>
  <c r="A31" i="3"/>
  <c r="A33" i="3"/>
  <c r="A35" i="3"/>
  <c r="A37" i="3"/>
  <c r="A39" i="3"/>
  <c r="A41" i="3"/>
  <c r="A43" i="3"/>
  <c r="A45" i="3"/>
  <c r="A47" i="3"/>
  <c r="A49" i="3"/>
  <c r="A51" i="3"/>
  <c r="A53" i="3"/>
  <c r="A55" i="3"/>
  <c r="A57" i="3"/>
  <c r="A59" i="3"/>
  <c r="A61" i="3"/>
  <c r="A63" i="3"/>
  <c r="A65" i="3"/>
  <c r="A67" i="3"/>
  <c r="A69" i="3"/>
  <c r="A71" i="3"/>
  <c r="A73" i="3"/>
  <c r="A75" i="3"/>
  <c r="A77" i="3"/>
  <c r="A79" i="3"/>
  <c r="A81" i="3"/>
  <c r="A83" i="3"/>
  <c r="A85" i="3"/>
  <c r="A87" i="3"/>
  <c r="A89" i="3"/>
  <c r="A91" i="3"/>
  <c r="A93" i="3"/>
  <c r="A95" i="3"/>
  <c r="A97" i="3"/>
  <c r="A99" i="3"/>
  <c r="A101" i="3"/>
  <c r="A103" i="3"/>
  <c r="A105" i="3"/>
  <c r="A107" i="3"/>
  <c r="A109" i="3"/>
  <c r="A111" i="3"/>
  <c r="A3" i="3"/>
  <c r="A28" i="3"/>
  <c r="A26" i="3"/>
  <c r="A24" i="3"/>
  <c r="A22" i="3"/>
  <c r="A20" i="3"/>
  <c r="A18" i="3"/>
  <c r="A16" i="3"/>
  <c r="A14" i="3"/>
  <c r="A12" i="3"/>
  <c r="A10" i="3"/>
  <c r="A8" i="3"/>
  <c r="A6" i="3"/>
  <c r="A4" i="3"/>
  <c r="H169" i="3"/>
  <c r="H167" i="3"/>
  <c r="H165" i="3"/>
  <c r="H163" i="3"/>
  <c r="H161" i="3"/>
  <c r="H159" i="3"/>
  <c r="H157" i="3"/>
  <c r="H155" i="3"/>
  <c r="H153" i="3"/>
  <c r="H151" i="3"/>
  <c r="H149" i="3"/>
  <c r="H147" i="3"/>
  <c r="H145" i="3"/>
  <c r="H143" i="3"/>
  <c r="H141" i="3"/>
  <c r="H139" i="3"/>
  <c r="H137" i="3"/>
  <c r="H135" i="3"/>
  <c r="H133" i="3"/>
  <c r="H131" i="3"/>
  <c r="H129" i="3"/>
  <c r="H127" i="3"/>
  <c r="H125" i="3"/>
  <c r="H123" i="3"/>
  <c r="H121" i="3"/>
  <c r="H119" i="3"/>
  <c r="H117" i="3"/>
  <c r="H115" i="3"/>
  <c r="H113" i="3"/>
  <c r="H111" i="3"/>
  <c r="H108" i="4"/>
  <c r="H108" i="3"/>
  <c r="H96" i="4"/>
  <c r="H96" i="3"/>
  <c r="H84" i="4"/>
  <c r="H84" i="3"/>
  <c r="H76" i="4"/>
  <c r="H76" i="3"/>
  <c r="H64" i="4"/>
  <c r="H64" i="3"/>
  <c r="H52" i="4"/>
  <c r="H52" i="3"/>
  <c r="H40" i="4"/>
  <c r="H40" i="3"/>
  <c r="H32" i="4"/>
  <c r="H32" i="3"/>
  <c r="Q3" i="1"/>
  <c r="H3" i="4"/>
  <c r="H106" i="4"/>
  <c r="H106" i="3"/>
  <c r="H102" i="4"/>
  <c r="H102" i="3"/>
  <c r="H98" i="4"/>
  <c r="H98" i="3"/>
  <c r="H94" i="4"/>
  <c r="H94" i="3"/>
  <c r="H90" i="4"/>
  <c r="H90" i="3"/>
  <c r="H86" i="4"/>
  <c r="H86" i="3"/>
  <c r="H82" i="4"/>
  <c r="H82" i="3"/>
  <c r="H78" i="4"/>
  <c r="H78" i="3"/>
  <c r="H74" i="4"/>
  <c r="H74" i="3"/>
  <c r="H70" i="4"/>
  <c r="H70" i="3"/>
  <c r="H66" i="4"/>
  <c r="H66" i="3"/>
  <c r="H62" i="4"/>
  <c r="H62" i="3"/>
  <c r="H58" i="4"/>
  <c r="H58" i="3"/>
  <c r="H54" i="4"/>
  <c r="H54" i="3"/>
  <c r="H50" i="4"/>
  <c r="H50" i="3"/>
  <c r="H46" i="4"/>
  <c r="H46" i="3"/>
  <c r="H42" i="4"/>
  <c r="H42" i="3"/>
  <c r="H38" i="4"/>
  <c r="H38" i="3"/>
  <c r="H34" i="4"/>
  <c r="H34" i="3"/>
  <c r="H30" i="4"/>
  <c r="H30" i="3"/>
  <c r="A2" i="3"/>
  <c r="H29" i="3"/>
  <c r="H27" i="3"/>
  <c r="H25" i="3"/>
  <c r="H23" i="3"/>
  <c r="H21" i="3"/>
  <c r="H19" i="3"/>
  <c r="H17" i="3"/>
  <c r="H15" i="3"/>
  <c r="H13" i="3"/>
  <c r="H11" i="3"/>
  <c r="H9" i="3"/>
  <c r="H7" i="3"/>
  <c r="H5" i="3"/>
  <c r="A169" i="3"/>
  <c r="A167" i="3"/>
  <c r="A165" i="3"/>
  <c r="A163" i="3"/>
  <c r="A161" i="3"/>
  <c r="A159" i="3"/>
  <c r="A157" i="3"/>
  <c r="A155" i="3"/>
  <c r="A153" i="3"/>
  <c r="A151" i="3"/>
  <c r="A149" i="3"/>
  <c r="A147" i="3"/>
  <c r="A145" i="3"/>
  <c r="A143" i="3"/>
  <c r="A141" i="3"/>
  <c r="A139" i="3"/>
  <c r="A137" i="3"/>
  <c r="A135" i="3"/>
  <c r="A133" i="3"/>
  <c r="A131" i="3"/>
  <c r="A129" i="3"/>
  <c r="A127" i="3"/>
  <c r="A125" i="3"/>
  <c r="A123" i="3"/>
  <c r="A121" i="3"/>
  <c r="A119" i="3"/>
  <c r="A117" i="3"/>
  <c r="A115" i="3"/>
  <c r="A113" i="3"/>
  <c r="H110" i="3"/>
  <c r="V4" i="1"/>
  <c r="B4" i="4" s="1"/>
  <c r="S4" i="1"/>
  <c r="B4" i="3" s="1"/>
  <c r="P5" i="1"/>
  <c r="V3" i="1"/>
  <c r="B3" i="4" s="1"/>
  <c r="S3" i="1"/>
  <c r="B3" i="3" s="1"/>
  <c r="V2" i="1"/>
  <c r="B2" i="4" s="1"/>
  <c r="T2" i="1"/>
  <c r="C2" i="3" s="1"/>
  <c r="S2" i="1"/>
  <c r="B2" i="3" s="1"/>
  <c r="W3" i="1"/>
  <c r="C3" i="4" s="1"/>
  <c r="T3" i="1"/>
  <c r="C3" i="3" s="1"/>
  <c r="Q4" i="1"/>
  <c r="D3" i="3" l="1"/>
  <c r="D3" i="4"/>
  <c r="V5" i="1"/>
  <c r="B5" i="4" s="1"/>
  <c r="S5" i="1"/>
  <c r="B5" i="3" s="1"/>
  <c r="P6" i="1"/>
  <c r="W4" i="1"/>
  <c r="C4" i="4" s="1"/>
  <c r="T4" i="1"/>
  <c r="C4" i="3" s="1"/>
  <c r="Q5" i="1"/>
  <c r="D4" i="4" l="1"/>
  <c r="D4" i="3"/>
  <c r="V6" i="1"/>
  <c r="B6" i="4" s="1"/>
  <c r="S6" i="1"/>
  <c r="B6" i="3" s="1"/>
  <c r="P7" i="1"/>
  <c r="W5" i="1"/>
  <c r="C5" i="4" s="1"/>
  <c r="T5" i="1"/>
  <c r="C5" i="3" s="1"/>
  <c r="Q6" i="1"/>
  <c r="G2" i="4" l="1"/>
  <c r="D5" i="3"/>
  <c r="D5" i="4"/>
  <c r="V7" i="1"/>
  <c r="B7" i="4" s="1"/>
  <c r="S7" i="1"/>
  <c r="B7" i="3" s="1"/>
  <c r="P8" i="1"/>
  <c r="W6" i="1"/>
  <c r="C6" i="4" s="1"/>
  <c r="T6" i="1"/>
  <c r="C6" i="3" s="1"/>
  <c r="Q7" i="1"/>
  <c r="D6" i="4" l="1"/>
  <c r="D6" i="3"/>
  <c r="V8" i="1"/>
  <c r="B8" i="4" s="1"/>
  <c r="S8" i="1"/>
  <c r="B8" i="3" s="1"/>
  <c r="P9" i="1"/>
  <c r="W7" i="1"/>
  <c r="C7" i="4" s="1"/>
  <c r="T7" i="1"/>
  <c r="C7" i="3" s="1"/>
  <c r="Q8" i="1"/>
  <c r="D7" i="3" l="1"/>
  <c r="D7" i="4"/>
  <c r="V9" i="1"/>
  <c r="B9" i="4" s="1"/>
  <c r="S9" i="1"/>
  <c r="B9" i="3" s="1"/>
  <c r="P10" i="1"/>
  <c r="W8" i="1"/>
  <c r="C8" i="4" s="1"/>
  <c r="T8" i="1"/>
  <c r="C8" i="3" s="1"/>
  <c r="Q9" i="1"/>
  <c r="D8" i="4" l="1"/>
  <c r="D8" i="3"/>
  <c r="V10" i="1"/>
  <c r="B10" i="4" s="1"/>
  <c r="S10" i="1"/>
  <c r="B10" i="3" s="1"/>
  <c r="P11" i="1"/>
  <c r="W9" i="1"/>
  <c r="C9" i="4" s="1"/>
  <c r="T9" i="1"/>
  <c r="C9" i="3" s="1"/>
  <c r="Q10" i="1"/>
  <c r="D9" i="3" l="1"/>
  <c r="D9" i="4"/>
  <c r="V11" i="1"/>
  <c r="B11" i="4" s="1"/>
  <c r="S11" i="1"/>
  <c r="B11" i="3" s="1"/>
  <c r="P12" i="1"/>
  <c r="W10" i="1"/>
  <c r="C10" i="4" s="1"/>
  <c r="T10" i="1"/>
  <c r="C10" i="3" s="1"/>
  <c r="Q11" i="1"/>
  <c r="D10" i="4" l="1"/>
  <c r="D10" i="3"/>
  <c r="V12" i="1"/>
  <c r="B12" i="4" s="1"/>
  <c r="S12" i="1"/>
  <c r="B12" i="3" s="1"/>
  <c r="P13" i="1"/>
  <c r="W11" i="1"/>
  <c r="C11" i="4" s="1"/>
  <c r="T11" i="1"/>
  <c r="C11" i="3" s="1"/>
  <c r="Q12" i="1"/>
  <c r="D11" i="3" l="1"/>
  <c r="D11" i="4"/>
  <c r="V13" i="1"/>
  <c r="B13" i="4" s="1"/>
  <c r="S13" i="1"/>
  <c r="B13" i="3" s="1"/>
  <c r="P14" i="1"/>
  <c r="W12" i="1"/>
  <c r="C12" i="4" s="1"/>
  <c r="T12" i="1"/>
  <c r="C12" i="3" s="1"/>
  <c r="Q13" i="1"/>
  <c r="D12" i="4" l="1"/>
  <c r="D12" i="3"/>
  <c r="W13" i="1"/>
  <c r="C13" i="4" s="1"/>
  <c r="T13" i="1"/>
  <c r="C13" i="3" s="1"/>
  <c r="Q14" i="1"/>
  <c r="V14" i="1"/>
  <c r="B14" i="4" s="1"/>
  <c r="S14" i="1"/>
  <c r="B14" i="3" s="1"/>
  <c r="P15" i="1"/>
  <c r="D13" i="3" l="1"/>
  <c r="D13" i="4"/>
  <c r="W14" i="1"/>
  <c r="C14" i="4" s="1"/>
  <c r="T14" i="1"/>
  <c r="C14" i="3" s="1"/>
  <c r="Q15" i="1"/>
  <c r="V15" i="1"/>
  <c r="B15" i="4" s="1"/>
  <c r="S15" i="1"/>
  <c r="B15" i="3" s="1"/>
  <c r="P16" i="1"/>
  <c r="D14" i="3" l="1"/>
  <c r="D14" i="4"/>
  <c r="W15" i="1"/>
  <c r="C15" i="4" s="1"/>
  <c r="T15" i="1"/>
  <c r="C15" i="3" s="1"/>
  <c r="Q16" i="1"/>
  <c r="V16" i="1"/>
  <c r="B16" i="4" s="1"/>
  <c r="S16" i="1"/>
  <c r="B16" i="3" s="1"/>
  <c r="P17" i="1"/>
  <c r="D15" i="4" l="1"/>
  <c r="D15" i="3"/>
  <c r="W16" i="1"/>
  <c r="C16" i="4" s="1"/>
  <c r="T16" i="1"/>
  <c r="C16" i="3" s="1"/>
  <c r="Q17" i="1"/>
  <c r="S17" i="1"/>
  <c r="B17" i="3" s="1"/>
  <c r="V17" i="1"/>
  <c r="B17" i="4" s="1"/>
  <c r="P18" i="1"/>
  <c r="D16" i="3" l="1"/>
  <c r="D16" i="4"/>
  <c r="W17" i="1"/>
  <c r="C17" i="4" s="1"/>
  <c r="T17" i="1"/>
  <c r="C17" i="3" s="1"/>
  <c r="Q18" i="1"/>
  <c r="V18" i="1"/>
  <c r="B18" i="4" s="1"/>
  <c r="S18" i="1"/>
  <c r="B18" i="3" s="1"/>
  <c r="P19" i="1"/>
  <c r="D17" i="4" l="1"/>
  <c r="D17" i="3"/>
  <c r="W18" i="1"/>
  <c r="C18" i="4" s="1"/>
  <c r="Q19" i="1"/>
  <c r="T18" i="1"/>
  <c r="C18" i="3" s="1"/>
  <c r="V19" i="1"/>
  <c r="B19" i="4" s="1"/>
  <c r="S19" i="1"/>
  <c r="B19" i="3" s="1"/>
  <c r="P20" i="1"/>
  <c r="D18" i="3" l="1"/>
  <c r="D18" i="4"/>
  <c r="V20" i="1"/>
  <c r="B20" i="4" s="1"/>
  <c r="S20" i="1"/>
  <c r="B20" i="3" s="1"/>
  <c r="P21" i="1"/>
  <c r="W19" i="1"/>
  <c r="C19" i="4" s="1"/>
  <c r="T19" i="1"/>
  <c r="C19" i="3" s="1"/>
  <c r="Q20" i="1"/>
  <c r="D19" i="4" l="1"/>
  <c r="D19" i="3"/>
  <c r="V21" i="1"/>
  <c r="B21" i="4" s="1"/>
  <c r="S21" i="1"/>
  <c r="B21" i="3" s="1"/>
  <c r="P22" i="1"/>
  <c r="W20" i="1"/>
  <c r="C20" i="4" s="1"/>
  <c r="T20" i="1"/>
  <c r="C20" i="3" s="1"/>
  <c r="Q21" i="1"/>
  <c r="D20" i="3" l="1"/>
  <c r="D20" i="4"/>
  <c r="V22" i="1"/>
  <c r="B22" i="4" s="1"/>
  <c r="S22" i="1"/>
  <c r="B22" i="3" s="1"/>
  <c r="P23" i="1"/>
  <c r="W21" i="1"/>
  <c r="C21" i="4" s="1"/>
  <c r="T21" i="1"/>
  <c r="C21" i="3" s="1"/>
  <c r="Q22" i="1"/>
  <c r="D21" i="4" l="1"/>
  <c r="D21" i="3"/>
  <c r="V23" i="1"/>
  <c r="B23" i="4" s="1"/>
  <c r="S23" i="1"/>
  <c r="B23" i="3" s="1"/>
  <c r="P24" i="1"/>
  <c r="W22" i="1"/>
  <c r="C22" i="4" s="1"/>
  <c r="T22" i="1"/>
  <c r="C22" i="3" s="1"/>
  <c r="Q23" i="1"/>
  <c r="D22" i="3" l="1"/>
  <c r="D22" i="4"/>
  <c r="V24" i="1"/>
  <c r="B24" i="4" s="1"/>
  <c r="S24" i="1"/>
  <c r="B24" i="3" s="1"/>
  <c r="P25" i="1"/>
  <c r="W23" i="1"/>
  <c r="C23" i="4" s="1"/>
  <c r="T23" i="1"/>
  <c r="C23" i="3" s="1"/>
  <c r="Q24" i="1"/>
  <c r="D23" i="3" l="1"/>
  <c r="D23" i="4"/>
  <c r="V25" i="1"/>
  <c r="B25" i="4" s="1"/>
  <c r="S25" i="1"/>
  <c r="B25" i="3" s="1"/>
  <c r="P26" i="1"/>
  <c r="W24" i="1"/>
  <c r="C24" i="4" s="1"/>
  <c r="T24" i="1"/>
  <c r="C24" i="3" s="1"/>
  <c r="Q25" i="1"/>
  <c r="D24" i="4" l="1"/>
  <c r="D24" i="3"/>
  <c r="V26" i="1"/>
  <c r="B26" i="4" s="1"/>
  <c r="S26" i="1"/>
  <c r="B26" i="3" s="1"/>
  <c r="P27" i="1"/>
  <c r="W25" i="1"/>
  <c r="C25" i="4" s="1"/>
  <c r="T25" i="1"/>
  <c r="C25" i="3" s="1"/>
  <c r="Q26" i="1"/>
  <c r="D25" i="3" l="1"/>
  <c r="D25" i="4"/>
  <c r="V27" i="1"/>
  <c r="B27" i="4" s="1"/>
  <c r="S27" i="1"/>
  <c r="B27" i="3" s="1"/>
  <c r="P28" i="1"/>
  <c r="W26" i="1"/>
  <c r="C26" i="4" s="1"/>
  <c r="T26" i="1"/>
  <c r="C26" i="3" s="1"/>
  <c r="Q27" i="1"/>
  <c r="D26" i="3" l="1"/>
  <c r="D26" i="4"/>
  <c r="V28" i="1"/>
  <c r="B28" i="4" s="1"/>
  <c r="S28" i="1"/>
  <c r="B28" i="3" s="1"/>
  <c r="P29" i="1"/>
  <c r="W27" i="1"/>
  <c r="C27" i="4" s="1"/>
  <c r="T27" i="1"/>
  <c r="C27" i="3" s="1"/>
  <c r="Q28" i="1"/>
  <c r="D27" i="4" l="1"/>
  <c r="D27" i="3"/>
  <c r="W28" i="1"/>
  <c r="C28" i="4" s="1"/>
  <c r="T28" i="1"/>
  <c r="C28" i="3" s="1"/>
  <c r="Q29" i="1"/>
  <c r="V29" i="1"/>
  <c r="B29" i="4" s="1"/>
  <c r="S29" i="1"/>
  <c r="B29" i="3" s="1"/>
  <c r="P30" i="1"/>
  <c r="D28" i="3" l="1"/>
  <c r="D28" i="4"/>
  <c r="V30" i="1"/>
  <c r="B30" i="4" s="1"/>
  <c r="S30" i="1"/>
  <c r="B30" i="3" s="1"/>
  <c r="P31" i="1"/>
  <c r="W29" i="1"/>
  <c r="C29" i="4" s="1"/>
  <c r="T29" i="1"/>
  <c r="C29" i="3" s="1"/>
  <c r="Q30" i="1"/>
  <c r="D29" i="4" l="1"/>
  <c r="D29" i="3"/>
  <c r="W30" i="1"/>
  <c r="C30" i="4" s="1"/>
  <c r="Q31" i="1"/>
  <c r="T30" i="1"/>
  <c r="C30" i="3" s="1"/>
  <c r="V31" i="1"/>
  <c r="B31" i="4" s="1"/>
  <c r="S31" i="1"/>
  <c r="B31" i="3" s="1"/>
  <c r="P32" i="1"/>
  <c r="D30" i="3" l="1"/>
  <c r="D30" i="4"/>
  <c r="V32" i="1"/>
  <c r="B32" i="4" s="1"/>
  <c r="S32" i="1"/>
  <c r="B32" i="3" s="1"/>
  <c r="P33" i="1"/>
  <c r="W31" i="1"/>
  <c r="C31" i="4" s="1"/>
  <c r="Q32" i="1"/>
  <c r="T31" i="1"/>
  <c r="C31" i="3" s="1"/>
  <c r="D31" i="4" l="1"/>
  <c r="D31" i="3"/>
  <c r="W32" i="1"/>
  <c r="C32" i="4" s="1"/>
  <c r="T32" i="1"/>
  <c r="C32" i="3" s="1"/>
  <c r="Q33" i="1"/>
  <c r="V33" i="1"/>
  <c r="B33" i="4" s="1"/>
  <c r="S33" i="1"/>
  <c r="B33" i="3" s="1"/>
  <c r="P34" i="1"/>
  <c r="D32" i="4" l="1"/>
  <c r="D32" i="3"/>
  <c r="V34" i="1"/>
  <c r="B34" i="4" s="1"/>
  <c r="S34" i="1"/>
  <c r="B34" i="3" s="1"/>
  <c r="P35" i="1"/>
  <c r="W33" i="1"/>
  <c r="C33" i="4" s="1"/>
  <c r="T33" i="1"/>
  <c r="C33" i="3" s="1"/>
  <c r="Q34" i="1"/>
  <c r="D33" i="3" l="1"/>
  <c r="D33" i="4"/>
  <c r="W34" i="1"/>
  <c r="C34" i="4" s="1"/>
  <c r="Q35" i="1"/>
  <c r="T34" i="1"/>
  <c r="C34" i="3" s="1"/>
  <c r="S35" i="1"/>
  <c r="B35" i="3" s="1"/>
  <c r="V35" i="1"/>
  <c r="B35" i="4" s="1"/>
  <c r="P36" i="1"/>
  <c r="D34" i="4" l="1"/>
  <c r="D34" i="3"/>
  <c r="W35" i="1"/>
  <c r="C35" i="4" s="1"/>
  <c r="T35" i="1"/>
  <c r="C35" i="3" s="1"/>
  <c r="Q36" i="1"/>
  <c r="V36" i="1"/>
  <c r="B36" i="4" s="1"/>
  <c r="S36" i="1"/>
  <c r="B36" i="3" s="1"/>
  <c r="P37" i="1"/>
  <c r="D35" i="3" l="1"/>
  <c r="D35" i="4"/>
  <c r="W36" i="1"/>
  <c r="C36" i="4" s="1"/>
  <c r="T36" i="1"/>
  <c r="C36" i="3" s="1"/>
  <c r="Q37" i="1"/>
  <c r="V37" i="1"/>
  <c r="B37" i="4" s="1"/>
  <c r="S37" i="1"/>
  <c r="B37" i="3" s="1"/>
  <c r="P38" i="1"/>
  <c r="D36" i="4" l="1"/>
  <c r="D36" i="3"/>
  <c r="V38" i="1"/>
  <c r="B38" i="4" s="1"/>
  <c r="S38" i="1"/>
  <c r="B38" i="3" s="1"/>
  <c r="P39" i="1"/>
  <c r="W37" i="1"/>
  <c r="C37" i="4" s="1"/>
  <c r="T37" i="1"/>
  <c r="C37" i="3" s="1"/>
  <c r="Q38" i="1"/>
  <c r="D37" i="3" l="1"/>
  <c r="D37" i="4"/>
  <c r="W38" i="1"/>
  <c r="C38" i="4" s="1"/>
  <c r="T38" i="1"/>
  <c r="C38" i="3" s="1"/>
  <c r="Q39" i="1"/>
  <c r="V39" i="1"/>
  <c r="B39" i="4" s="1"/>
  <c r="S39" i="1"/>
  <c r="B39" i="3" s="1"/>
  <c r="P40" i="1"/>
  <c r="D38" i="3" l="1"/>
  <c r="D38" i="4"/>
  <c r="W39" i="1"/>
  <c r="C39" i="4" s="1"/>
  <c r="T39" i="1"/>
  <c r="C39" i="3" s="1"/>
  <c r="Q40" i="1"/>
  <c r="V40" i="1"/>
  <c r="B40" i="4" s="1"/>
  <c r="S40" i="1"/>
  <c r="B40" i="3" s="1"/>
  <c r="P41" i="1"/>
  <c r="D39" i="4" l="1"/>
  <c r="D39" i="3"/>
  <c r="W40" i="1"/>
  <c r="C40" i="4" s="1"/>
  <c r="T40" i="1"/>
  <c r="C40" i="3" s="1"/>
  <c r="Q41" i="1"/>
  <c r="V41" i="1"/>
  <c r="B41" i="4" s="1"/>
  <c r="S41" i="1"/>
  <c r="B41" i="3" s="1"/>
  <c r="P42" i="1"/>
  <c r="D40" i="3" l="1"/>
  <c r="D40" i="4"/>
  <c r="W41" i="1"/>
  <c r="C41" i="4" s="1"/>
  <c r="T41" i="1"/>
  <c r="C41" i="3" s="1"/>
  <c r="Q42" i="1"/>
  <c r="V42" i="1"/>
  <c r="B42" i="4" s="1"/>
  <c r="S42" i="1"/>
  <c r="B42" i="3" s="1"/>
  <c r="P43" i="1"/>
  <c r="D41" i="4" l="1"/>
  <c r="D41" i="3"/>
  <c r="W42" i="1"/>
  <c r="C42" i="4" s="1"/>
  <c r="T42" i="1"/>
  <c r="C42" i="3" s="1"/>
  <c r="Q43" i="1"/>
  <c r="V43" i="1"/>
  <c r="B43" i="4" s="1"/>
  <c r="S43" i="1"/>
  <c r="B43" i="3" s="1"/>
  <c r="P44" i="1"/>
  <c r="D42" i="3" l="1"/>
  <c r="D42" i="4"/>
  <c r="W43" i="1"/>
  <c r="C43" i="4" s="1"/>
  <c r="T43" i="1"/>
  <c r="C43" i="3" s="1"/>
  <c r="Q44" i="1"/>
  <c r="V44" i="1"/>
  <c r="B44" i="4" s="1"/>
  <c r="S44" i="1"/>
  <c r="B44" i="3" s="1"/>
  <c r="P45" i="1"/>
  <c r="D43" i="3" l="1"/>
  <c r="D43" i="4"/>
  <c r="W44" i="1"/>
  <c r="C44" i="4" s="1"/>
  <c r="T44" i="1"/>
  <c r="C44" i="3" s="1"/>
  <c r="Q45" i="1"/>
  <c r="V45" i="1"/>
  <c r="B45" i="4" s="1"/>
  <c r="S45" i="1"/>
  <c r="B45" i="3" s="1"/>
  <c r="P46" i="1"/>
  <c r="D44" i="3" l="1"/>
  <c r="D44" i="4"/>
  <c r="T45" i="1"/>
  <c r="C45" i="3" s="1"/>
  <c r="W45" i="1"/>
  <c r="C45" i="4" s="1"/>
  <c r="Q46" i="1"/>
  <c r="V46" i="1"/>
  <c r="B46" i="4" s="1"/>
  <c r="S46" i="1"/>
  <c r="B46" i="3" s="1"/>
  <c r="P47" i="1"/>
  <c r="D45" i="4" l="1"/>
  <c r="D45" i="3"/>
  <c r="W46" i="1"/>
  <c r="C46" i="4" s="1"/>
  <c r="Q47" i="1"/>
  <c r="T46" i="1"/>
  <c r="C46" i="3" s="1"/>
  <c r="S47" i="1"/>
  <c r="B47" i="3" s="1"/>
  <c r="V47" i="1"/>
  <c r="B47" i="4" s="1"/>
  <c r="P48" i="1"/>
  <c r="D46" i="3" l="1"/>
  <c r="D46" i="4"/>
  <c r="V48" i="1"/>
  <c r="B48" i="4" s="1"/>
  <c r="S48" i="1"/>
  <c r="B48" i="3" s="1"/>
  <c r="P49" i="1"/>
  <c r="W47" i="1"/>
  <c r="C47" i="4" s="1"/>
  <c r="Q48" i="1"/>
  <c r="T47" i="1"/>
  <c r="C47" i="3" s="1"/>
  <c r="D47" i="4" l="1"/>
  <c r="D47" i="3"/>
  <c r="V49" i="1"/>
  <c r="B49" i="4" s="1"/>
  <c r="S49" i="1"/>
  <c r="B49" i="3" s="1"/>
  <c r="P50" i="1"/>
  <c r="W48" i="1"/>
  <c r="C48" i="4" s="1"/>
  <c r="T48" i="1"/>
  <c r="C48" i="3" s="1"/>
  <c r="Q49" i="1"/>
  <c r="D48" i="3" l="1"/>
  <c r="D48" i="4"/>
  <c r="W49" i="1"/>
  <c r="C49" i="4" s="1"/>
  <c r="T49" i="1"/>
  <c r="C49" i="3" s="1"/>
  <c r="Q50" i="1"/>
  <c r="S50" i="1"/>
  <c r="B50" i="3" s="1"/>
  <c r="V50" i="1"/>
  <c r="B50" i="4" s="1"/>
  <c r="P51" i="1"/>
  <c r="D49" i="4" l="1"/>
  <c r="D49" i="3"/>
  <c r="V51" i="1"/>
  <c r="B51" i="4" s="1"/>
  <c r="S51" i="1"/>
  <c r="B51" i="3" s="1"/>
  <c r="P52" i="1"/>
  <c r="W50" i="1"/>
  <c r="C50" i="4" s="1"/>
  <c r="Q51" i="1"/>
  <c r="T50" i="1"/>
  <c r="C50" i="3" s="1"/>
  <c r="D50" i="3" l="1"/>
  <c r="D50" i="4"/>
  <c r="W51" i="1"/>
  <c r="C51" i="4" s="1"/>
  <c r="T51" i="1"/>
  <c r="C51" i="3" s="1"/>
  <c r="Q52" i="1"/>
  <c r="S52" i="1"/>
  <c r="B52" i="3" s="1"/>
  <c r="V52" i="1"/>
  <c r="B52" i="4" s="1"/>
  <c r="P53" i="1"/>
  <c r="D51" i="4" l="1"/>
  <c r="D51" i="3"/>
  <c r="S53" i="1"/>
  <c r="B53" i="3" s="1"/>
  <c r="V53" i="1"/>
  <c r="B53" i="4" s="1"/>
  <c r="P54" i="1"/>
  <c r="W52" i="1"/>
  <c r="C52" i="4" s="1"/>
  <c r="T52" i="1"/>
  <c r="C52" i="3" s="1"/>
  <c r="Q53" i="1"/>
  <c r="D52" i="3" l="1"/>
  <c r="D52" i="4"/>
  <c r="W53" i="1"/>
  <c r="C53" i="4" s="1"/>
  <c r="T53" i="1"/>
  <c r="C53" i="3" s="1"/>
  <c r="Q54" i="1"/>
  <c r="S54" i="1"/>
  <c r="B54" i="3" s="1"/>
  <c r="V54" i="1"/>
  <c r="B54" i="4" s="1"/>
  <c r="P55" i="1"/>
  <c r="D53" i="4" l="1"/>
  <c r="D53" i="3"/>
  <c r="S55" i="1"/>
  <c r="B55" i="3" s="1"/>
  <c r="V55" i="1"/>
  <c r="B55" i="4" s="1"/>
  <c r="P56" i="1"/>
  <c r="W54" i="1"/>
  <c r="C54" i="4" s="1"/>
  <c r="T54" i="1"/>
  <c r="C54" i="3" s="1"/>
  <c r="Q55" i="1"/>
  <c r="D54" i="3" l="1"/>
  <c r="D54" i="4"/>
  <c r="W55" i="1"/>
  <c r="C55" i="4" s="1"/>
  <c r="T55" i="1"/>
  <c r="C55" i="3" s="1"/>
  <c r="Q56" i="1"/>
  <c r="V56" i="1"/>
  <c r="B56" i="4" s="1"/>
  <c r="S56" i="1"/>
  <c r="B56" i="3" s="1"/>
  <c r="P57" i="1"/>
  <c r="D55" i="4" l="1"/>
  <c r="D55" i="3"/>
  <c r="V57" i="1"/>
  <c r="B57" i="4" s="1"/>
  <c r="S57" i="1"/>
  <c r="B57" i="3" s="1"/>
  <c r="P58" i="1"/>
  <c r="W56" i="1"/>
  <c r="C56" i="4" s="1"/>
  <c r="T56" i="1"/>
  <c r="C56" i="3" s="1"/>
  <c r="Q57" i="1"/>
  <c r="D56" i="3" l="1"/>
  <c r="D56" i="4"/>
  <c r="V58" i="1"/>
  <c r="B58" i="4" s="1"/>
  <c r="S58" i="1"/>
  <c r="B58" i="3" s="1"/>
  <c r="P59" i="1"/>
  <c r="W57" i="1"/>
  <c r="C57" i="4" s="1"/>
  <c r="T57" i="1"/>
  <c r="C57" i="3" s="1"/>
  <c r="Q58" i="1"/>
  <c r="D57" i="4" l="1"/>
  <c r="D57" i="3"/>
  <c r="V59" i="1"/>
  <c r="B59" i="4" s="1"/>
  <c r="S59" i="1"/>
  <c r="B59" i="3" s="1"/>
  <c r="P60" i="1"/>
  <c r="T58" i="1"/>
  <c r="C58" i="3" s="1"/>
  <c r="W58" i="1"/>
  <c r="C58" i="4" s="1"/>
  <c r="Q59" i="1"/>
  <c r="D58" i="3" l="1"/>
  <c r="D58" i="4"/>
  <c r="V60" i="1"/>
  <c r="B60" i="4" s="1"/>
  <c r="S60" i="1"/>
  <c r="B60" i="3" s="1"/>
  <c r="P61" i="1"/>
  <c r="W59" i="1"/>
  <c r="C59" i="4" s="1"/>
  <c r="T59" i="1"/>
  <c r="C59" i="3" s="1"/>
  <c r="Q60" i="1"/>
  <c r="D59" i="4" l="1"/>
  <c r="D59" i="3"/>
  <c r="V61" i="1"/>
  <c r="B61" i="4" s="1"/>
  <c r="S61" i="1"/>
  <c r="B61" i="3" s="1"/>
  <c r="P62" i="1"/>
  <c r="W60" i="1"/>
  <c r="C60" i="4" s="1"/>
  <c r="T60" i="1"/>
  <c r="C60" i="3" s="1"/>
  <c r="Q61" i="1"/>
  <c r="D60" i="4" l="1"/>
  <c r="D60" i="3"/>
  <c r="V62" i="1"/>
  <c r="B62" i="4" s="1"/>
  <c r="S62" i="1"/>
  <c r="B62" i="3" s="1"/>
  <c r="P63" i="1"/>
  <c r="W61" i="1"/>
  <c r="C61" i="4" s="1"/>
  <c r="T61" i="1"/>
  <c r="C61" i="3" s="1"/>
  <c r="Q62" i="1"/>
  <c r="D61" i="3" l="1"/>
  <c r="D61" i="4"/>
  <c r="V63" i="1"/>
  <c r="B63" i="4" s="1"/>
  <c r="S63" i="1"/>
  <c r="B63" i="3" s="1"/>
  <c r="P64" i="1"/>
  <c r="W62" i="1"/>
  <c r="C62" i="4" s="1"/>
  <c r="Q63" i="1"/>
  <c r="T62" i="1"/>
  <c r="C62" i="3" s="1"/>
  <c r="D62" i="4" l="1"/>
  <c r="D62" i="3"/>
  <c r="W63" i="1"/>
  <c r="C63" i="4" s="1"/>
  <c r="Q64" i="1"/>
  <c r="T63" i="1"/>
  <c r="C63" i="3" s="1"/>
  <c r="S64" i="1"/>
  <c r="B64" i="3" s="1"/>
  <c r="V64" i="1"/>
  <c r="B64" i="4" s="1"/>
  <c r="P65" i="1"/>
  <c r="D63" i="3" l="1"/>
  <c r="D63" i="4"/>
  <c r="S65" i="1"/>
  <c r="B65" i="3" s="1"/>
  <c r="V65" i="1"/>
  <c r="B65" i="4" s="1"/>
  <c r="P66" i="1"/>
  <c r="W64" i="1"/>
  <c r="C64" i="4" s="1"/>
  <c r="T64" i="1"/>
  <c r="C64" i="3" s="1"/>
  <c r="Q65" i="1"/>
  <c r="D64" i="4" l="1"/>
  <c r="D64" i="3"/>
  <c r="V66" i="1"/>
  <c r="B66" i="4" s="1"/>
  <c r="S66" i="1"/>
  <c r="B66" i="3" s="1"/>
  <c r="P67" i="1"/>
  <c r="W65" i="1"/>
  <c r="C65" i="4" s="1"/>
  <c r="T65" i="1"/>
  <c r="C65" i="3" s="1"/>
  <c r="Q66" i="1"/>
  <c r="D65" i="3" l="1"/>
  <c r="D65" i="4"/>
  <c r="V67" i="1"/>
  <c r="B67" i="4" s="1"/>
  <c r="S67" i="1"/>
  <c r="B67" i="3" s="1"/>
  <c r="P68" i="1"/>
  <c r="W66" i="1"/>
  <c r="C66" i="4" s="1"/>
  <c r="Q67" i="1"/>
  <c r="T66" i="1"/>
  <c r="C66" i="3" s="1"/>
  <c r="D66" i="4" l="1"/>
  <c r="D66" i="3"/>
  <c r="W67" i="1"/>
  <c r="C67" i="4" s="1"/>
  <c r="T67" i="1"/>
  <c r="C67" i="3" s="1"/>
  <c r="Q68" i="1"/>
  <c r="V68" i="1"/>
  <c r="B68" i="4" s="1"/>
  <c r="S68" i="1"/>
  <c r="B68" i="3" s="1"/>
  <c r="P69" i="1"/>
  <c r="D67" i="3" l="1"/>
  <c r="D67" i="4"/>
  <c r="V69" i="1"/>
  <c r="B69" i="4" s="1"/>
  <c r="S69" i="1"/>
  <c r="B69" i="3" s="1"/>
  <c r="P70" i="1"/>
  <c r="W68" i="1"/>
  <c r="C68" i="4" s="1"/>
  <c r="T68" i="1"/>
  <c r="C68" i="3" s="1"/>
  <c r="Q69" i="1"/>
  <c r="D68" i="4" l="1"/>
  <c r="D68" i="3"/>
  <c r="V70" i="1"/>
  <c r="B70" i="4" s="1"/>
  <c r="S70" i="1"/>
  <c r="B70" i="3" s="1"/>
  <c r="P71" i="1"/>
  <c r="W69" i="1"/>
  <c r="C69" i="4" s="1"/>
  <c r="T69" i="1"/>
  <c r="C69" i="3" s="1"/>
  <c r="Q70" i="1"/>
  <c r="D69" i="4" l="1"/>
  <c r="D69" i="3"/>
  <c r="V71" i="1"/>
  <c r="B71" i="4" s="1"/>
  <c r="S71" i="1"/>
  <c r="B71" i="3" s="1"/>
  <c r="P72" i="1"/>
  <c r="T70" i="1"/>
  <c r="C70" i="3" s="1"/>
  <c r="W70" i="1"/>
  <c r="C70" i="4" s="1"/>
  <c r="Q71" i="1"/>
  <c r="D70" i="3" l="1"/>
  <c r="D70" i="4"/>
  <c r="V72" i="1"/>
  <c r="B72" i="4" s="1"/>
  <c r="S72" i="1"/>
  <c r="B72" i="3" s="1"/>
  <c r="P73" i="1"/>
  <c r="W71" i="1"/>
  <c r="C71" i="4" s="1"/>
  <c r="T71" i="1"/>
  <c r="C71" i="3" s="1"/>
  <c r="Q72" i="1"/>
  <c r="D71" i="4" l="1"/>
  <c r="D71" i="3"/>
  <c r="V73" i="1"/>
  <c r="B73" i="4" s="1"/>
  <c r="S73" i="1"/>
  <c r="B73" i="3" s="1"/>
  <c r="P74" i="1"/>
  <c r="W72" i="1"/>
  <c r="C72" i="4" s="1"/>
  <c r="T72" i="1"/>
  <c r="C72" i="3" s="1"/>
  <c r="Q73" i="1"/>
  <c r="D72" i="3" l="1"/>
  <c r="D72" i="4"/>
  <c r="V74" i="1"/>
  <c r="B74" i="4" s="1"/>
  <c r="S74" i="1"/>
  <c r="B74" i="3" s="1"/>
  <c r="P75" i="1"/>
  <c r="W73" i="1"/>
  <c r="C73" i="4" s="1"/>
  <c r="T73" i="1"/>
  <c r="C73" i="3" s="1"/>
  <c r="Q74" i="1"/>
  <c r="D73" i="4" l="1"/>
  <c r="D73" i="3"/>
  <c r="V75" i="1"/>
  <c r="B75" i="4" s="1"/>
  <c r="S75" i="1"/>
  <c r="B75" i="3" s="1"/>
  <c r="P76" i="1"/>
  <c r="W74" i="1"/>
  <c r="C74" i="4" s="1"/>
  <c r="T74" i="1"/>
  <c r="C74" i="3" s="1"/>
  <c r="Q75" i="1"/>
  <c r="D74" i="3" l="1"/>
  <c r="D74" i="4"/>
  <c r="V76" i="1"/>
  <c r="B76" i="4" s="1"/>
  <c r="S76" i="1"/>
  <c r="B76" i="3" s="1"/>
  <c r="P77" i="1"/>
  <c r="T75" i="1"/>
  <c r="C75" i="3" s="1"/>
  <c r="W75" i="1"/>
  <c r="C75" i="4" s="1"/>
  <c r="Q76" i="1"/>
  <c r="D75" i="4" l="1"/>
  <c r="D75" i="3"/>
  <c r="V77" i="1"/>
  <c r="B77" i="4" s="1"/>
  <c r="S77" i="1"/>
  <c r="B77" i="3" s="1"/>
  <c r="P78" i="1"/>
  <c r="W76" i="1"/>
  <c r="C76" i="4" s="1"/>
  <c r="T76" i="1"/>
  <c r="C76" i="3" s="1"/>
  <c r="Q77" i="1"/>
  <c r="D76" i="3" l="1"/>
  <c r="D76" i="4"/>
  <c r="V78" i="1"/>
  <c r="B78" i="4" s="1"/>
  <c r="S78" i="1"/>
  <c r="B78" i="3" s="1"/>
  <c r="P79" i="1"/>
  <c r="W77" i="1"/>
  <c r="C77" i="4" s="1"/>
  <c r="T77" i="1"/>
  <c r="C77" i="3" s="1"/>
  <c r="Q78" i="1"/>
  <c r="D77" i="4" l="1"/>
  <c r="D77" i="3"/>
  <c r="S79" i="1"/>
  <c r="B79" i="3" s="1"/>
  <c r="V79" i="1"/>
  <c r="B79" i="4" s="1"/>
  <c r="P80" i="1"/>
  <c r="W78" i="1"/>
  <c r="C78" i="4" s="1"/>
  <c r="T78" i="1"/>
  <c r="C78" i="3" s="1"/>
  <c r="Q79" i="1"/>
  <c r="D78" i="3" l="1"/>
  <c r="D78" i="4"/>
  <c r="S80" i="1"/>
  <c r="B80" i="3" s="1"/>
  <c r="V80" i="1"/>
  <c r="B80" i="4" s="1"/>
  <c r="P81" i="1"/>
  <c r="W79" i="1"/>
  <c r="C79" i="4" s="1"/>
  <c r="T79" i="1"/>
  <c r="C79" i="3" s="1"/>
  <c r="Q80" i="1"/>
  <c r="D79" i="3" l="1"/>
  <c r="D79" i="4"/>
  <c r="V81" i="1"/>
  <c r="B81" i="4" s="1"/>
  <c r="S81" i="1"/>
  <c r="B81" i="3" s="1"/>
  <c r="P82" i="1"/>
  <c r="W80" i="1"/>
  <c r="C80" i="4" s="1"/>
  <c r="T80" i="1"/>
  <c r="C80" i="3" s="1"/>
  <c r="Q81" i="1"/>
  <c r="D80" i="3" l="1"/>
  <c r="D80" i="4"/>
  <c r="S82" i="1"/>
  <c r="B82" i="3" s="1"/>
  <c r="V82" i="1"/>
  <c r="B82" i="4" s="1"/>
  <c r="P83" i="1"/>
  <c r="T81" i="1"/>
  <c r="C81" i="3" s="1"/>
  <c r="W81" i="1"/>
  <c r="C81" i="4" s="1"/>
  <c r="Q82" i="1"/>
  <c r="D81" i="4" l="1"/>
  <c r="D81" i="3"/>
  <c r="S83" i="1"/>
  <c r="B83" i="3" s="1"/>
  <c r="V83" i="1"/>
  <c r="B83" i="4" s="1"/>
  <c r="P84" i="1"/>
  <c r="W82" i="1"/>
  <c r="C82" i="4" s="1"/>
  <c r="T82" i="1"/>
  <c r="C82" i="3" s="1"/>
  <c r="Q83" i="1"/>
  <c r="D82" i="3" l="1"/>
  <c r="D82" i="4"/>
  <c r="V84" i="1"/>
  <c r="B84" i="4" s="1"/>
  <c r="S84" i="1"/>
  <c r="B84" i="3" s="1"/>
  <c r="P85" i="1"/>
  <c r="W83" i="1"/>
  <c r="C83" i="4" s="1"/>
  <c r="T83" i="1"/>
  <c r="C83" i="3" s="1"/>
  <c r="Q84" i="1"/>
  <c r="D83" i="4" l="1"/>
  <c r="D83" i="3"/>
  <c r="V85" i="1"/>
  <c r="B85" i="4" s="1"/>
  <c r="S85" i="1"/>
  <c r="B85" i="3" s="1"/>
  <c r="P86" i="1"/>
  <c r="T84" i="1"/>
  <c r="C84" i="3" s="1"/>
  <c r="W84" i="1"/>
  <c r="C84" i="4" s="1"/>
  <c r="Q85" i="1"/>
  <c r="D84" i="4" l="1"/>
  <c r="D84" i="3"/>
  <c r="V86" i="1"/>
  <c r="B86" i="4" s="1"/>
  <c r="S86" i="1"/>
  <c r="B86" i="3" s="1"/>
  <c r="P87" i="1"/>
  <c r="T85" i="1"/>
  <c r="C85" i="3" s="1"/>
  <c r="W85" i="1"/>
  <c r="C85" i="4" s="1"/>
  <c r="Q86" i="1"/>
  <c r="D85" i="3" l="1"/>
  <c r="D85" i="4"/>
  <c r="S87" i="1"/>
  <c r="B87" i="3" s="1"/>
  <c r="V87" i="1"/>
  <c r="B87" i="4" s="1"/>
  <c r="P88" i="1"/>
  <c r="W86" i="1"/>
  <c r="C86" i="4" s="1"/>
  <c r="T86" i="1"/>
  <c r="C86" i="3" s="1"/>
  <c r="Q87" i="1"/>
  <c r="D86" i="4" l="1"/>
  <c r="D86" i="3"/>
  <c r="S88" i="1"/>
  <c r="B88" i="3" s="1"/>
  <c r="V88" i="1"/>
  <c r="B88" i="4" s="1"/>
  <c r="P89" i="1"/>
  <c r="T87" i="1"/>
  <c r="C87" i="3" s="1"/>
  <c r="W87" i="1"/>
  <c r="C87" i="4" s="1"/>
  <c r="Q88" i="1"/>
  <c r="D87" i="3" l="1"/>
  <c r="D87" i="4"/>
  <c r="V89" i="1"/>
  <c r="B89" i="4" s="1"/>
  <c r="S89" i="1"/>
  <c r="B89" i="3" s="1"/>
  <c r="P90" i="1"/>
  <c r="W88" i="1"/>
  <c r="C88" i="4" s="1"/>
  <c r="T88" i="1"/>
  <c r="C88" i="3" s="1"/>
  <c r="Q89" i="1"/>
  <c r="D88" i="4" l="1"/>
  <c r="D88" i="3"/>
  <c r="V90" i="1"/>
  <c r="B90" i="4" s="1"/>
  <c r="S90" i="1"/>
  <c r="B90" i="3" s="1"/>
  <c r="P91" i="1"/>
  <c r="W89" i="1"/>
  <c r="C89" i="4" s="1"/>
  <c r="Q90" i="1"/>
  <c r="T89" i="1"/>
  <c r="C89" i="3" s="1"/>
  <c r="D89" i="3" l="1"/>
  <c r="D89" i="4"/>
  <c r="V91" i="1"/>
  <c r="B91" i="4" s="1"/>
  <c r="S91" i="1"/>
  <c r="B91" i="3" s="1"/>
  <c r="P92" i="1"/>
  <c r="W90" i="1"/>
  <c r="C90" i="4" s="1"/>
  <c r="T90" i="1"/>
  <c r="C90" i="3" s="1"/>
  <c r="Q91" i="1"/>
  <c r="D90" i="4" l="1"/>
  <c r="D90" i="3"/>
  <c r="V92" i="1"/>
  <c r="B92" i="4" s="1"/>
  <c r="S92" i="1"/>
  <c r="B92" i="3" s="1"/>
  <c r="P93" i="1"/>
  <c r="W91" i="1"/>
  <c r="C91" i="4" s="1"/>
  <c r="T91" i="1"/>
  <c r="C91" i="3" s="1"/>
  <c r="Q92" i="1"/>
  <c r="D91" i="3" l="1"/>
  <c r="D91" i="4"/>
  <c r="V93" i="1"/>
  <c r="B93" i="4" s="1"/>
  <c r="S93" i="1"/>
  <c r="B93" i="3" s="1"/>
  <c r="P94" i="1"/>
  <c r="W92" i="1"/>
  <c r="C92" i="4" s="1"/>
  <c r="T92" i="1"/>
  <c r="C92" i="3" s="1"/>
  <c r="Q93" i="1"/>
  <c r="D92" i="4" l="1"/>
  <c r="D92" i="3"/>
  <c r="V94" i="1"/>
  <c r="B94" i="4" s="1"/>
  <c r="S94" i="1"/>
  <c r="B94" i="3" s="1"/>
  <c r="P95" i="1"/>
  <c r="W93" i="1"/>
  <c r="C93" i="4" s="1"/>
  <c r="Q94" i="1"/>
  <c r="T93" i="1"/>
  <c r="C93" i="3" s="1"/>
  <c r="D93" i="3" l="1"/>
  <c r="D93" i="4"/>
  <c r="W94" i="1"/>
  <c r="C94" i="4" s="1"/>
  <c r="T94" i="1"/>
  <c r="C94" i="3" s="1"/>
  <c r="Q95" i="1"/>
  <c r="V95" i="1"/>
  <c r="B95" i="4" s="1"/>
  <c r="S95" i="1"/>
  <c r="B95" i="3" s="1"/>
  <c r="P96" i="1"/>
  <c r="D94" i="4" l="1"/>
  <c r="D94" i="3"/>
  <c r="W95" i="1"/>
  <c r="C95" i="4" s="1"/>
  <c r="T95" i="1"/>
  <c r="C95" i="3" s="1"/>
  <c r="Q96" i="1"/>
  <c r="V96" i="1"/>
  <c r="B96" i="4" s="1"/>
  <c r="S96" i="1"/>
  <c r="B96" i="3" s="1"/>
  <c r="P97" i="1"/>
  <c r="D95" i="3" l="1"/>
  <c r="D95" i="4"/>
  <c r="W96" i="1"/>
  <c r="C96" i="4" s="1"/>
  <c r="T96" i="1"/>
  <c r="C96" i="3" s="1"/>
  <c r="Q97" i="1"/>
  <c r="V97" i="1"/>
  <c r="B97" i="4" s="1"/>
  <c r="S97" i="1"/>
  <c r="B97" i="3" s="1"/>
  <c r="P98" i="1"/>
  <c r="D96" i="3" l="1"/>
  <c r="D96" i="4"/>
  <c r="W97" i="1"/>
  <c r="C97" i="4" s="1"/>
  <c r="Q98" i="1"/>
  <c r="T97" i="1"/>
  <c r="C97" i="3" s="1"/>
  <c r="V98" i="1"/>
  <c r="B98" i="4" s="1"/>
  <c r="S98" i="1"/>
  <c r="B98" i="3" s="1"/>
  <c r="P99" i="1"/>
  <c r="D97" i="4" l="1"/>
  <c r="D97" i="3"/>
  <c r="V99" i="1"/>
  <c r="B99" i="4" s="1"/>
  <c r="S99" i="1"/>
  <c r="B99" i="3" s="1"/>
  <c r="P100" i="1"/>
  <c r="W98" i="1"/>
  <c r="C98" i="4" s="1"/>
  <c r="T98" i="1"/>
  <c r="C98" i="3" s="1"/>
  <c r="Q99" i="1"/>
  <c r="D98" i="3" l="1"/>
  <c r="D98" i="4"/>
  <c r="V100" i="1"/>
  <c r="B100" i="4" s="1"/>
  <c r="S100" i="1"/>
  <c r="B100" i="3" s="1"/>
  <c r="P101" i="1"/>
  <c r="W99" i="1"/>
  <c r="C99" i="4" s="1"/>
  <c r="T99" i="1"/>
  <c r="C99" i="3" s="1"/>
  <c r="Q100" i="1"/>
  <c r="D99" i="4" l="1"/>
  <c r="D99" i="3"/>
  <c r="V101" i="1"/>
  <c r="B101" i="4" s="1"/>
  <c r="S101" i="1"/>
  <c r="B101" i="3" s="1"/>
  <c r="P102" i="1"/>
  <c r="W100" i="1"/>
  <c r="C100" i="4" s="1"/>
  <c r="T100" i="1"/>
  <c r="C100" i="3" s="1"/>
  <c r="Q101" i="1"/>
  <c r="D100" i="3" l="1"/>
  <c r="D100" i="4"/>
  <c r="V102" i="1"/>
  <c r="B102" i="4" s="1"/>
  <c r="P103" i="1"/>
  <c r="S102" i="1"/>
  <c r="B102" i="3" s="1"/>
  <c r="W101" i="1"/>
  <c r="C101" i="4" s="1"/>
  <c r="Q102" i="1"/>
  <c r="T101" i="1"/>
  <c r="C101" i="3" s="1"/>
  <c r="D101" i="4" l="1"/>
  <c r="D101" i="3"/>
  <c r="W102" i="1"/>
  <c r="C102" i="4" s="1"/>
  <c r="T102" i="1"/>
  <c r="C102" i="3" s="1"/>
  <c r="Q103" i="1"/>
  <c r="V103" i="1"/>
  <c r="B103" i="4" s="1"/>
  <c r="S103" i="1"/>
  <c r="B103" i="3" s="1"/>
  <c r="P104" i="1"/>
  <c r="D102" i="3" l="1"/>
  <c r="D102" i="4"/>
  <c r="W103" i="1"/>
  <c r="C103" i="4" s="1"/>
  <c r="T103" i="1"/>
  <c r="C103" i="3" s="1"/>
  <c r="Q104" i="1"/>
  <c r="V104" i="1"/>
  <c r="B104" i="4" s="1"/>
  <c r="S104" i="1"/>
  <c r="B104" i="3" s="1"/>
  <c r="P105" i="1"/>
  <c r="D103" i="4" l="1"/>
  <c r="D103" i="3"/>
  <c r="W104" i="1"/>
  <c r="C104" i="4" s="1"/>
  <c r="T104" i="1"/>
  <c r="C104" i="3" s="1"/>
  <c r="Q105" i="1"/>
  <c r="V105" i="1"/>
  <c r="B105" i="4" s="1"/>
  <c r="S105" i="1"/>
  <c r="B105" i="3" s="1"/>
  <c r="P106" i="1"/>
  <c r="D104" i="3" l="1"/>
  <c r="D104" i="4"/>
  <c r="W105" i="1"/>
  <c r="C105" i="4" s="1"/>
  <c r="Q106" i="1"/>
  <c r="T105" i="1"/>
  <c r="C105" i="3" s="1"/>
  <c r="V106" i="1"/>
  <c r="B106" i="4" s="1"/>
  <c r="P107" i="1"/>
  <c r="S106" i="1"/>
  <c r="B106" i="3" s="1"/>
  <c r="D105" i="4" l="1"/>
  <c r="D105" i="3"/>
  <c r="V107" i="1"/>
  <c r="B107" i="4" s="1"/>
  <c r="S107" i="1"/>
  <c r="B107" i="3" s="1"/>
  <c r="P108" i="1"/>
  <c r="W106" i="1"/>
  <c r="C106" i="4" s="1"/>
  <c r="T106" i="1"/>
  <c r="C106" i="3" s="1"/>
  <c r="Q107" i="1"/>
  <c r="D106" i="3" l="1"/>
  <c r="D106" i="4"/>
  <c r="V108" i="1"/>
  <c r="B108" i="4" s="1"/>
  <c r="S108" i="1"/>
  <c r="B108" i="3" s="1"/>
  <c r="P109" i="1"/>
  <c r="W107" i="1"/>
  <c r="C107" i="4" s="1"/>
  <c r="T107" i="1"/>
  <c r="C107" i="3" s="1"/>
  <c r="Q108" i="1"/>
  <c r="D107" i="4" l="1"/>
  <c r="D107" i="3"/>
  <c r="V109" i="1"/>
  <c r="B109" i="4" s="1"/>
  <c r="S109" i="1"/>
  <c r="B109" i="3" s="1"/>
  <c r="P110" i="1"/>
  <c r="W108" i="1"/>
  <c r="C108" i="4" s="1"/>
  <c r="T108" i="1"/>
  <c r="C108" i="3" s="1"/>
  <c r="Q109" i="1"/>
  <c r="D108" i="3" l="1"/>
  <c r="D108" i="4"/>
  <c r="V110" i="1"/>
  <c r="B110" i="4" s="1"/>
  <c r="S110" i="1"/>
  <c r="B110" i="3" s="1"/>
  <c r="P111" i="1"/>
  <c r="W109" i="1"/>
  <c r="C109" i="4" s="1"/>
  <c r="Q110" i="1"/>
  <c r="T109" i="1"/>
  <c r="C109" i="3" s="1"/>
  <c r="D109" i="4" l="1"/>
  <c r="D109" i="3"/>
  <c r="S111" i="1"/>
  <c r="B111" i="3" s="1"/>
  <c r="V111" i="1"/>
  <c r="B111" i="4" s="1"/>
  <c r="P112" i="1"/>
  <c r="W110" i="1"/>
  <c r="C110" i="4" s="1"/>
  <c r="T110" i="1"/>
  <c r="C110" i="3" s="1"/>
  <c r="Q111" i="1"/>
  <c r="D110" i="3" l="1"/>
  <c r="D110" i="4"/>
  <c r="V112" i="1"/>
  <c r="B112" i="4" s="1"/>
  <c r="S112" i="1"/>
  <c r="B112" i="3" s="1"/>
  <c r="P113" i="1"/>
  <c r="W111" i="1"/>
  <c r="C111" i="4" s="1"/>
  <c r="T111" i="1"/>
  <c r="C111" i="3" s="1"/>
  <c r="Q112" i="1"/>
  <c r="D111" i="4" l="1"/>
  <c r="D111" i="3"/>
  <c r="V113" i="1"/>
  <c r="B113" i="4" s="1"/>
  <c r="S113" i="1"/>
  <c r="B113" i="3" s="1"/>
  <c r="P114" i="1"/>
  <c r="W112" i="1"/>
  <c r="C112" i="4" s="1"/>
  <c r="T112" i="1"/>
  <c r="C112" i="3" s="1"/>
  <c r="Q113" i="1"/>
  <c r="D112" i="3" l="1"/>
  <c r="D112" i="4"/>
  <c r="V114" i="1"/>
  <c r="B114" i="4" s="1"/>
  <c r="S114" i="1"/>
  <c r="B114" i="3" s="1"/>
  <c r="P115" i="1"/>
  <c r="W113" i="1"/>
  <c r="C113" i="4" s="1"/>
  <c r="Q114" i="1"/>
  <c r="T113" i="1"/>
  <c r="C113" i="3" s="1"/>
  <c r="D113" i="4" l="1"/>
  <c r="D113" i="3"/>
  <c r="V115" i="1"/>
  <c r="B115" i="4" s="1"/>
  <c r="S115" i="1"/>
  <c r="B115" i="3" s="1"/>
  <c r="P116" i="1"/>
  <c r="W114" i="1"/>
  <c r="C114" i="4" s="1"/>
  <c r="T114" i="1"/>
  <c r="C114" i="3" s="1"/>
  <c r="Q115" i="1"/>
  <c r="D114" i="3" l="1"/>
  <c r="D114" i="4"/>
  <c r="V116" i="1"/>
  <c r="B116" i="4" s="1"/>
  <c r="S116" i="1"/>
  <c r="B116" i="3" s="1"/>
  <c r="P117" i="1"/>
  <c r="W115" i="1"/>
  <c r="C115" i="4" s="1"/>
  <c r="Q116" i="1"/>
  <c r="T115" i="1"/>
  <c r="C115" i="3" s="1"/>
  <c r="D115" i="3" l="1"/>
  <c r="D115" i="4"/>
  <c r="V117" i="1"/>
  <c r="B117" i="4" s="1"/>
  <c r="S117" i="1"/>
  <c r="B117" i="3" s="1"/>
  <c r="P118" i="1"/>
  <c r="W116" i="1"/>
  <c r="C116" i="4" s="1"/>
  <c r="T116" i="1"/>
  <c r="C116" i="3" s="1"/>
  <c r="Q117" i="1"/>
  <c r="D116" i="4" l="1"/>
  <c r="D116" i="3"/>
  <c r="V118" i="1"/>
  <c r="B118" i="4" s="1"/>
  <c r="S118" i="1"/>
  <c r="B118" i="3" s="1"/>
  <c r="P119" i="1"/>
  <c r="W117" i="1"/>
  <c r="C117" i="4" s="1"/>
  <c r="T117" i="1"/>
  <c r="C117" i="3" s="1"/>
  <c r="Q118" i="1"/>
  <c r="D117" i="3" l="1"/>
  <c r="D117" i="4"/>
  <c r="V119" i="1"/>
  <c r="B119" i="4" s="1"/>
  <c r="S119" i="1"/>
  <c r="B119" i="3" s="1"/>
  <c r="P120" i="1"/>
  <c r="W118" i="1"/>
  <c r="C118" i="4" s="1"/>
  <c r="Q119" i="1"/>
  <c r="T118" i="1"/>
  <c r="C118" i="3" s="1"/>
  <c r="D118" i="4" l="1"/>
  <c r="D118" i="3"/>
  <c r="V120" i="1"/>
  <c r="B120" i="4" s="1"/>
  <c r="S120" i="1"/>
  <c r="B120" i="3" s="1"/>
  <c r="P121" i="1"/>
  <c r="W119" i="1"/>
  <c r="C119" i="4" s="1"/>
  <c r="T119" i="1"/>
  <c r="C119" i="3" s="1"/>
  <c r="Q120" i="1"/>
  <c r="D119" i="3" l="1"/>
  <c r="D119" i="4"/>
  <c r="V121" i="1"/>
  <c r="B121" i="4" s="1"/>
  <c r="S121" i="1"/>
  <c r="B121" i="3" s="1"/>
  <c r="P122" i="1"/>
  <c r="W120" i="1"/>
  <c r="C120" i="4" s="1"/>
  <c r="T120" i="1"/>
  <c r="C120" i="3" s="1"/>
  <c r="Q121" i="1"/>
  <c r="D120" i="4" l="1"/>
  <c r="D120" i="3"/>
  <c r="V122" i="1"/>
  <c r="B122" i="4" s="1"/>
  <c r="P123" i="1"/>
  <c r="S122" i="1"/>
  <c r="B122" i="3" s="1"/>
  <c r="W121" i="1"/>
  <c r="C121" i="4" s="1"/>
  <c r="Q122" i="1"/>
  <c r="T121" i="1"/>
  <c r="C121" i="3" s="1"/>
  <c r="D121" i="3" l="1"/>
  <c r="D121" i="4"/>
  <c r="W122" i="1"/>
  <c r="C122" i="4" s="1"/>
  <c r="T122" i="1"/>
  <c r="C122" i="3" s="1"/>
  <c r="Q123" i="1"/>
  <c r="V123" i="1"/>
  <c r="B123" i="4" s="1"/>
  <c r="S123" i="1"/>
  <c r="B123" i="3" s="1"/>
  <c r="P124" i="1"/>
  <c r="D122" i="4" l="1"/>
  <c r="D122" i="3"/>
  <c r="W123" i="1"/>
  <c r="C123" i="4" s="1"/>
  <c r="T123" i="1"/>
  <c r="C123" i="3" s="1"/>
  <c r="Q124" i="1"/>
  <c r="V124" i="1"/>
  <c r="B124" i="4" s="1"/>
  <c r="S124" i="1"/>
  <c r="B124" i="3" s="1"/>
  <c r="P125" i="1"/>
  <c r="D123" i="3" l="1"/>
  <c r="D123" i="4"/>
  <c r="W124" i="1"/>
  <c r="C124" i="4" s="1"/>
  <c r="T124" i="1"/>
  <c r="C124" i="3" s="1"/>
  <c r="Q125" i="1"/>
  <c r="V125" i="1"/>
  <c r="B125" i="4" s="1"/>
  <c r="S125" i="1"/>
  <c r="B125" i="3" s="1"/>
  <c r="P126" i="1"/>
  <c r="D124" i="4" l="1"/>
  <c r="D124" i="3"/>
  <c r="W125" i="1"/>
  <c r="C125" i="4" s="1"/>
  <c r="T125" i="1"/>
  <c r="C125" i="3" s="1"/>
  <c r="Q126" i="1"/>
  <c r="V126" i="1"/>
  <c r="B126" i="4" s="1"/>
  <c r="S126" i="1"/>
  <c r="B126" i="3" s="1"/>
  <c r="P127" i="1"/>
  <c r="D125" i="3" l="1"/>
  <c r="D125" i="4"/>
  <c r="W126" i="1"/>
  <c r="C126" i="4" s="1"/>
  <c r="T126" i="1"/>
  <c r="C126" i="3" s="1"/>
  <c r="Q127" i="1"/>
  <c r="V127" i="1"/>
  <c r="B127" i="4" s="1"/>
  <c r="S127" i="1"/>
  <c r="B127" i="3" s="1"/>
  <c r="P128" i="1"/>
  <c r="D126" i="4" l="1"/>
  <c r="D126" i="3"/>
  <c r="W127" i="1"/>
  <c r="C127" i="4" s="1"/>
  <c r="T127" i="1"/>
  <c r="C127" i="3" s="1"/>
  <c r="Q128" i="1"/>
  <c r="V128" i="1"/>
  <c r="B128" i="4" s="1"/>
  <c r="S128" i="1"/>
  <c r="B128" i="3" s="1"/>
  <c r="P129" i="1"/>
  <c r="D127" i="3" l="1"/>
  <c r="D127" i="4"/>
  <c r="W128" i="1"/>
  <c r="C128" i="4" s="1"/>
  <c r="T128" i="1"/>
  <c r="C128" i="3" s="1"/>
  <c r="Q129" i="1"/>
  <c r="V129" i="1"/>
  <c r="B129" i="4" s="1"/>
  <c r="S129" i="1"/>
  <c r="B129" i="3" s="1"/>
  <c r="P130" i="1"/>
  <c r="D128" i="4" l="1"/>
  <c r="D128" i="3"/>
  <c r="Q130" i="1"/>
  <c r="W129" i="1"/>
  <c r="C129" i="4" s="1"/>
  <c r="T129" i="1"/>
  <c r="C129" i="3" s="1"/>
  <c r="V130" i="1"/>
  <c r="B130" i="4" s="1"/>
  <c r="S130" i="1"/>
  <c r="B130" i="3" s="1"/>
  <c r="P131" i="1"/>
  <c r="D129" i="3" l="1"/>
  <c r="D129" i="4"/>
  <c r="S131" i="1"/>
  <c r="B131" i="3" s="1"/>
  <c r="V131" i="1"/>
  <c r="B131" i="4" s="1"/>
  <c r="P132" i="1"/>
  <c r="T130" i="1"/>
  <c r="C130" i="3" s="1"/>
  <c r="Q131" i="1"/>
  <c r="W130" i="1"/>
  <c r="C130" i="4" s="1"/>
  <c r="D130" i="4" l="1"/>
  <c r="D130" i="3"/>
  <c r="V132" i="1"/>
  <c r="B132" i="4" s="1"/>
  <c r="S132" i="1"/>
  <c r="B132" i="3" s="1"/>
  <c r="P133" i="1"/>
  <c r="W131" i="1"/>
  <c r="C131" i="4" s="1"/>
  <c r="Q132" i="1"/>
  <c r="T131" i="1"/>
  <c r="C131" i="3" s="1"/>
  <c r="D131" i="3" l="1"/>
  <c r="D131" i="4"/>
  <c r="T132" i="1"/>
  <c r="C132" i="3" s="1"/>
  <c r="Q133" i="1"/>
  <c r="W132" i="1"/>
  <c r="C132" i="4" s="1"/>
  <c r="V133" i="1"/>
  <c r="B133" i="4" s="1"/>
  <c r="S133" i="1"/>
  <c r="B133" i="3" s="1"/>
  <c r="P134" i="1"/>
  <c r="D132" i="4" l="1"/>
  <c r="D132" i="3"/>
  <c r="V134" i="1"/>
  <c r="B134" i="4" s="1"/>
  <c r="S134" i="1"/>
  <c r="B134" i="3" s="1"/>
  <c r="P135" i="1"/>
  <c r="T133" i="1"/>
  <c r="C133" i="3" s="1"/>
  <c r="Q134" i="1"/>
  <c r="W133" i="1"/>
  <c r="C133" i="4" s="1"/>
  <c r="D133" i="3" l="1"/>
  <c r="D133" i="4"/>
  <c r="T134" i="1"/>
  <c r="C134" i="3" s="1"/>
  <c r="W134" i="1"/>
  <c r="C134" i="4" s="1"/>
  <c r="Q135" i="1"/>
  <c r="V135" i="1"/>
  <c r="B135" i="4" s="1"/>
  <c r="S135" i="1"/>
  <c r="B135" i="3" s="1"/>
  <c r="P136" i="1"/>
  <c r="D134" i="4" l="1"/>
  <c r="D134" i="3"/>
  <c r="T135" i="1"/>
  <c r="C135" i="3" s="1"/>
  <c r="W135" i="1"/>
  <c r="C135" i="4" s="1"/>
  <c r="Q136" i="1"/>
  <c r="S136" i="1"/>
  <c r="B136" i="3" s="1"/>
  <c r="V136" i="1"/>
  <c r="B136" i="4" s="1"/>
  <c r="P137" i="1"/>
  <c r="D135" i="3" l="1"/>
  <c r="D135" i="4"/>
  <c r="W136" i="1"/>
  <c r="C136" i="4" s="1"/>
  <c r="T136" i="1"/>
  <c r="C136" i="3" s="1"/>
  <c r="Q137" i="1"/>
  <c r="V137" i="1"/>
  <c r="B137" i="4" s="1"/>
  <c r="P138" i="1"/>
  <c r="S137" i="1"/>
  <c r="B137" i="3" s="1"/>
  <c r="D136" i="4" l="1"/>
  <c r="D136" i="3"/>
  <c r="S138" i="1"/>
  <c r="B138" i="3" s="1"/>
  <c r="P139" i="1"/>
  <c r="V138" i="1"/>
  <c r="B138" i="4" s="1"/>
  <c r="T137" i="1"/>
  <c r="C137" i="3" s="1"/>
  <c r="Q138" i="1"/>
  <c r="W137" i="1"/>
  <c r="C137" i="4" s="1"/>
  <c r="D137" i="3" l="1"/>
  <c r="D137" i="4"/>
  <c r="V139" i="1"/>
  <c r="B139" i="4" s="1"/>
  <c r="S139" i="1"/>
  <c r="B139" i="3" s="1"/>
  <c r="P140" i="1"/>
  <c r="W138" i="1"/>
  <c r="C138" i="4" s="1"/>
  <c r="T138" i="1"/>
  <c r="C138" i="3" s="1"/>
  <c r="Q139" i="1"/>
  <c r="D138" i="4" l="1"/>
  <c r="D138" i="3"/>
  <c r="S140" i="1"/>
  <c r="B140" i="3" s="1"/>
  <c r="P141" i="1"/>
  <c r="V140" i="1"/>
  <c r="B140" i="4" s="1"/>
  <c r="T139" i="1"/>
  <c r="C139" i="3" s="1"/>
  <c r="W139" i="1"/>
  <c r="C139" i="4" s="1"/>
  <c r="Q140" i="1"/>
  <c r="D139" i="3" l="1"/>
  <c r="D139" i="4"/>
  <c r="V141" i="1"/>
  <c r="B141" i="4" s="1"/>
  <c r="S141" i="1"/>
  <c r="B141" i="3" s="1"/>
  <c r="P142" i="1"/>
  <c r="W140" i="1"/>
  <c r="C140" i="4" s="1"/>
  <c r="T140" i="1"/>
  <c r="C140" i="3" s="1"/>
  <c r="Q141" i="1"/>
  <c r="D140" i="4" l="1"/>
  <c r="D140" i="3"/>
  <c r="S142" i="1"/>
  <c r="B142" i="3" s="1"/>
  <c r="V142" i="1"/>
  <c r="B142" i="4" s="1"/>
  <c r="P143" i="1"/>
  <c r="T141" i="1"/>
  <c r="C141" i="3" s="1"/>
  <c r="Q142" i="1"/>
  <c r="W141" i="1"/>
  <c r="C141" i="4" s="1"/>
  <c r="D141" i="3" l="1"/>
  <c r="D141" i="4"/>
  <c r="V143" i="1"/>
  <c r="B143" i="4" s="1"/>
  <c r="S143" i="1"/>
  <c r="B143" i="3" s="1"/>
  <c r="P144" i="1"/>
  <c r="W142" i="1"/>
  <c r="C142" i="4" s="1"/>
  <c r="T142" i="1"/>
  <c r="C142" i="3" s="1"/>
  <c r="Q143" i="1"/>
  <c r="D142" i="4" l="1"/>
  <c r="D142" i="3"/>
  <c r="S144" i="1"/>
  <c r="B144" i="3" s="1"/>
  <c r="V144" i="1"/>
  <c r="B144" i="4" s="1"/>
  <c r="P145" i="1"/>
  <c r="T143" i="1"/>
  <c r="C143" i="3" s="1"/>
  <c r="W143" i="1"/>
  <c r="C143" i="4" s="1"/>
  <c r="Q144" i="1"/>
  <c r="D143" i="3" l="1"/>
  <c r="D143" i="4"/>
  <c r="V145" i="1"/>
  <c r="B145" i="4" s="1"/>
  <c r="P146" i="1"/>
  <c r="S145" i="1"/>
  <c r="B145" i="3" s="1"/>
  <c r="W144" i="1"/>
  <c r="C144" i="4" s="1"/>
  <c r="T144" i="1"/>
  <c r="C144" i="3" s="1"/>
  <c r="Q145" i="1"/>
  <c r="D144" i="4" l="1"/>
  <c r="D144" i="3"/>
  <c r="T145" i="1"/>
  <c r="C145" i="3" s="1"/>
  <c r="Q146" i="1"/>
  <c r="W145" i="1"/>
  <c r="C145" i="4" s="1"/>
  <c r="S146" i="1"/>
  <c r="B146" i="3" s="1"/>
  <c r="P147" i="1"/>
  <c r="V146" i="1"/>
  <c r="B146" i="4" s="1"/>
  <c r="D145" i="3" l="1"/>
  <c r="D145" i="4"/>
  <c r="W146" i="1"/>
  <c r="C146" i="4" s="1"/>
  <c r="T146" i="1"/>
  <c r="C146" i="3" s="1"/>
  <c r="Q147" i="1"/>
  <c r="V147" i="1"/>
  <c r="B147" i="4" s="1"/>
  <c r="S147" i="1"/>
  <c r="B147" i="3" s="1"/>
  <c r="P148" i="1"/>
  <c r="D146" i="4" l="1"/>
  <c r="D146" i="3"/>
  <c r="T147" i="1"/>
  <c r="C147" i="3" s="1"/>
  <c r="W147" i="1"/>
  <c r="C147" i="4" s="1"/>
  <c r="Q148" i="1"/>
  <c r="S148" i="1"/>
  <c r="B148" i="3" s="1"/>
  <c r="V148" i="1"/>
  <c r="B148" i="4" s="1"/>
  <c r="P149" i="1"/>
  <c r="D147" i="3" l="1"/>
  <c r="D147" i="4"/>
  <c r="W148" i="1"/>
  <c r="C148" i="4" s="1"/>
  <c r="T148" i="1"/>
  <c r="C148" i="3" s="1"/>
  <c r="Q149" i="1"/>
  <c r="S149" i="1"/>
  <c r="B149" i="3" s="1"/>
  <c r="V149" i="1"/>
  <c r="B149" i="4" s="1"/>
  <c r="P150" i="1"/>
  <c r="D148" i="4" l="1"/>
  <c r="D148" i="3"/>
  <c r="Q150" i="1"/>
  <c r="W149" i="1"/>
  <c r="C149" i="4" s="1"/>
  <c r="T149" i="1"/>
  <c r="C149" i="3" s="1"/>
  <c r="S150" i="1"/>
  <c r="B150" i="3" s="1"/>
  <c r="V150" i="1"/>
  <c r="B150" i="4" s="1"/>
  <c r="P151" i="1"/>
  <c r="D149" i="3" l="1"/>
  <c r="D149" i="4"/>
  <c r="V151" i="1"/>
  <c r="B151" i="4" s="1"/>
  <c r="S151" i="1"/>
  <c r="B151" i="3" s="1"/>
  <c r="P152" i="1"/>
  <c r="W150" i="1"/>
  <c r="C150" i="4" s="1"/>
  <c r="T150" i="1"/>
  <c r="C150" i="3" s="1"/>
  <c r="Q151" i="1"/>
  <c r="D150" i="4" l="1"/>
  <c r="D150" i="3"/>
  <c r="S152" i="1"/>
  <c r="B152" i="3" s="1"/>
  <c r="V152" i="1"/>
  <c r="B152" i="4" s="1"/>
  <c r="P153" i="1"/>
  <c r="T151" i="1"/>
  <c r="C151" i="3" s="1"/>
  <c r="W151" i="1"/>
  <c r="C151" i="4" s="1"/>
  <c r="Q152" i="1"/>
  <c r="D151" i="3" l="1"/>
  <c r="D151" i="4"/>
  <c r="V153" i="1"/>
  <c r="B153" i="4" s="1"/>
  <c r="P154" i="1"/>
  <c r="S153" i="1"/>
  <c r="B153" i="3" s="1"/>
  <c r="W152" i="1"/>
  <c r="C152" i="4" s="1"/>
  <c r="T152" i="1"/>
  <c r="C152" i="3" s="1"/>
  <c r="Q153" i="1"/>
  <c r="D152" i="4" l="1"/>
  <c r="D152" i="3"/>
  <c r="T153" i="1"/>
  <c r="C153" i="3" s="1"/>
  <c r="Q154" i="1"/>
  <c r="W153" i="1"/>
  <c r="C153" i="4" s="1"/>
  <c r="V154" i="1"/>
  <c r="B154" i="4" s="1"/>
  <c r="S154" i="1"/>
  <c r="B154" i="3" s="1"/>
  <c r="P155" i="1"/>
  <c r="D153" i="3" l="1"/>
  <c r="D153" i="4"/>
  <c r="V155" i="1"/>
  <c r="B155" i="4" s="1"/>
  <c r="S155" i="1"/>
  <c r="B155" i="3" s="1"/>
  <c r="P156" i="1"/>
  <c r="T154" i="1"/>
  <c r="C154" i="3" s="1"/>
  <c r="Q155" i="1"/>
  <c r="W154" i="1"/>
  <c r="C154" i="4" s="1"/>
  <c r="D154" i="4" l="1"/>
  <c r="D154" i="3"/>
  <c r="T155" i="1"/>
  <c r="C155" i="3" s="1"/>
  <c r="W155" i="1"/>
  <c r="C155" i="4" s="1"/>
  <c r="Q156" i="1"/>
  <c r="V156" i="1"/>
  <c r="B156" i="4" s="1"/>
  <c r="S156" i="1"/>
  <c r="B156" i="3" s="1"/>
  <c r="P157" i="1"/>
  <c r="D155" i="3" l="1"/>
  <c r="D155" i="4"/>
  <c r="T156" i="1"/>
  <c r="C156" i="3" s="1"/>
  <c r="Q157" i="1"/>
  <c r="W156" i="1"/>
  <c r="C156" i="4" s="1"/>
  <c r="V157" i="1"/>
  <c r="B157" i="4" s="1"/>
  <c r="S157" i="1"/>
  <c r="B157" i="3" s="1"/>
  <c r="P158" i="1"/>
  <c r="D156" i="3" l="1"/>
  <c r="D156" i="4"/>
  <c r="V158" i="1"/>
  <c r="B158" i="4" s="1"/>
  <c r="S158" i="1"/>
  <c r="B158" i="3" s="1"/>
  <c r="P159" i="1"/>
  <c r="T157" i="1"/>
  <c r="C157" i="3" s="1"/>
  <c r="Q158" i="1"/>
  <c r="W157" i="1"/>
  <c r="C157" i="4" s="1"/>
  <c r="D157" i="4" l="1"/>
  <c r="D157" i="3"/>
  <c r="T158" i="1"/>
  <c r="C158" i="3" s="1"/>
  <c r="W158" i="1"/>
  <c r="C158" i="4" s="1"/>
  <c r="Q159" i="1"/>
  <c r="V159" i="1"/>
  <c r="B159" i="4" s="1"/>
  <c r="S159" i="1"/>
  <c r="B159" i="3" s="1"/>
  <c r="P160" i="1"/>
  <c r="D158" i="3" l="1"/>
  <c r="D158" i="4"/>
  <c r="T159" i="1"/>
  <c r="C159" i="3" s="1"/>
  <c r="W159" i="1"/>
  <c r="C159" i="4" s="1"/>
  <c r="Q160" i="1"/>
  <c r="V160" i="1"/>
  <c r="B160" i="4" s="1"/>
  <c r="S160" i="1"/>
  <c r="B160" i="3" s="1"/>
  <c r="P161" i="1"/>
  <c r="D159" i="4" l="1"/>
  <c r="D159" i="3"/>
  <c r="T160" i="1"/>
  <c r="C160" i="3" s="1"/>
  <c r="W160" i="1"/>
  <c r="C160" i="4" s="1"/>
  <c r="Q161" i="1"/>
  <c r="V161" i="1"/>
  <c r="B161" i="4" s="1"/>
  <c r="P162" i="1"/>
  <c r="S161" i="1"/>
  <c r="B161" i="3" s="1"/>
  <c r="D160" i="3" l="1"/>
  <c r="D160" i="4"/>
  <c r="V162" i="1"/>
  <c r="B162" i="4" s="1"/>
  <c r="S162" i="1"/>
  <c r="B162" i="3" s="1"/>
  <c r="P163" i="1"/>
  <c r="T161" i="1"/>
  <c r="C161" i="3" s="1"/>
  <c r="Q162" i="1"/>
  <c r="W161" i="1"/>
  <c r="C161" i="4" s="1"/>
  <c r="D161" i="4" l="1"/>
  <c r="D161" i="3"/>
  <c r="V163" i="1"/>
  <c r="B163" i="4" s="1"/>
  <c r="P164" i="1"/>
  <c r="S163" i="1"/>
  <c r="B163" i="3" s="1"/>
  <c r="T162" i="1"/>
  <c r="C162" i="3" s="1"/>
  <c r="Q163" i="1"/>
  <c r="W162" i="1"/>
  <c r="C162" i="4" s="1"/>
  <c r="D162" i="3" l="1"/>
  <c r="D162" i="4"/>
  <c r="V164" i="1"/>
  <c r="B164" i="4" s="1"/>
  <c r="S164" i="1"/>
  <c r="B164" i="3" s="1"/>
  <c r="P165" i="1"/>
  <c r="T163" i="1"/>
  <c r="C163" i="3" s="1"/>
  <c r="W163" i="1"/>
  <c r="C163" i="4" s="1"/>
  <c r="Q164" i="1"/>
  <c r="D163" i="4" l="1"/>
  <c r="D163" i="3"/>
  <c r="V165" i="1"/>
  <c r="B165" i="4" s="1"/>
  <c r="S165" i="1"/>
  <c r="B165" i="3" s="1"/>
  <c r="P166" i="1"/>
  <c r="T164" i="1"/>
  <c r="C164" i="3" s="1"/>
  <c r="Q165" i="1"/>
  <c r="W164" i="1"/>
  <c r="C164" i="4" s="1"/>
  <c r="D164" i="3" l="1"/>
  <c r="D164" i="4"/>
  <c r="V166" i="1"/>
  <c r="B166" i="4" s="1"/>
  <c r="S166" i="1"/>
  <c r="B166" i="3" s="1"/>
  <c r="P167" i="1"/>
  <c r="T165" i="1"/>
  <c r="C165" i="3" s="1"/>
  <c r="W165" i="1"/>
  <c r="C165" i="4" s="1"/>
  <c r="Q166" i="1"/>
  <c r="D165" i="4" l="1"/>
  <c r="D165" i="3"/>
  <c r="V167" i="1"/>
  <c r="B167" i="4" s="1"/>
  <c r="S167" i="1"/>
  <c r="B167" i="3" s="1"/>
  <c r="P168" i="1"/>
  <c r="T166" i="1"/>
  <c r="C166" i="3" s="1"/>
  <c r="W166" i="1"/>
  <c r="C166" i="4" s="1"/>
  <c r="Q167" i="1"/>
  <c r="D166" i="3" l="1"/>
  <c r="D166" i="4"/>
  <c r="V168" i="1"/>
  <c r="B168" i="4" s="1"/>
  <c r="S168" i="1"/>
  <c r="B168" i="3" s="1"/>
  <c r="P169" i="1"/>
  <c r="T167" i="1"/>
  <c r="C167" i="3" s="1"/>
  <c r="W167" i="1"/>
  <c r="C167" i="4" s="1"/>
  <c r="Q168" i="1"/>
  <c r="D167" i="4" l="1"/>
  <c r="D167" i="3"/>
  <c r="V169" i="1"/>
  <c r="B169" i="4" s="1"/>
  <c r="P170" i="1"/>
  <c r="S169" i="1"/>
  <c r="B169" i="3" s="1"/>
  <c r="T168" i="1"/>
  <c r="C168" i="3" s="1"/>
  <c r="W168" i="1"/>
  <c r="C168" i="4" s="1"/>
  <c r="Q169" i="1"/>
  <c r="D168" i="3" l="1"/>
  <c r="D168" i="4"/>
  <c r="T169" i="1"/>
  <c r="C169" i="3" s="1"/>
  <c r="W169" i="1"/>
  <c r="C169" i="4" s="1"/>
  <c r="Q170" i="1"/>
  <c r="V170" i="1"/>
  <c r="B170" i="4" s="1"/>
  <c r="S170" i="1"/>
  <c r="B170" i="3" s="1"/>
  <c r="P171" i="1"/>
  <c r="D169" i="4" l="1"/>
  <c r="D169" i="3"/>
  <c r="T170" i="1"/>
  <c r="C170" i="3" s="1"/>
  <c r="W170" i="1"/>
  <c r="C170" i="4" s="1"/>
  <c r="Q171" i="1"/>
  <c r="V171" i="1"/>
  <c r="B171" i="4" s="1"/>
  <c r="S171" i="1"/>
  <c r="P172" i="1"/>
  <c r="D170" i="3" l="1"/>
  <c r="D170" i="4"/>
  <c r="T171" i="1"/>
  <c r="W171" i="1"/>
  <c r="C171" i="4" s="1"/>
  <c r="Q172" i="1"/>
  <c r="S172" i="1"/>
  <c r="V172" i="1"/>
  <c r="B172" i="4" s="1"/>
  <c r="D171" i="3" l="1"/>
  <c r="F168" i="3"/>
  <c r="G167" i="3" s="1"/>
  <c r="D171" i="4"/>
  <c r="T172" i="1"/>
  <c r="W172" i="1"/>
  <c r="C172" i="4" s="1"/>
  <c r="F169" i="3" l="1"/>
  <c r="G168" i="3" s="1"/>
  <c r="D172" i="4"/>
  <c r="F170" i="3" l="1"/>
  <c r="G169" i="3" s="1"/>
  <c r="F171" i="3" l="1"/>
  <c r="G170" i="3" s="1"/>
  <c r="G171" i="3" l="1"/>
</calcChain>
</file>

<file path=xl/sharedStrings.xml><?xml version="1.0" encoding="utf-8"?>
<sst xmlns="http://schemas.openxmlformats.org/spreadsheetml/2006/main" count="36" uniqueCount="18">
  <si>
    <t>dt</t>
  </si>
  <si>
    <t>x</t>
  </si>
  <si>
    <t>y</t>
  </si>
  <si>
    <t>position</t>
  </si>
  <si>
    <t>velocity</t>
  </si>
  <si>
    <t>acceleration</t>
  </si>
  <si>
    <t>jerk</t>
  </si>
  <si>
    <t>heading</t>
  </si>
  <si>
    <t>x-orig</t>
  </si>
  <si>
    <t>y-orig</t>
  </si>
  <si>
    <t>x-center</t>
  </si>
  <si>
    <t>y-center</t>
  </si>
  <si>
    <t>Filename</t>
  </si>
  <si>
    <t>Wheelbase</t>
  </si>
  <si>
    <t>x-left</t>
  </si>
  <si>
    <t>y-left</t>
  </si>
  <si>
    <t>x-right</t>
  </si>
  <si>
    <t>y-right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</si>
</sst>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16" fillId="0" borderId="0" xfId="0" applyFont="1"/>
    <xf numFmtId="0" fontId="9" fillId="5" borderId="4" xfId="9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Center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Main!$P$2:$P$172</c:f>
              <c:numCache>
                <c:formatCode>General</c:formatCode>
                <c:ptCount val="171"/>
                <c:pt idx="0">
                  <c:v>0</c:v>
                </c:pt>
                <c:pt idx="1">
                  <c:v>1.5869997631787133E-3</c:v>
                </c:pt>
                <c:pt idx="2">
                  <c:v>7.9369988635395218E-3</c:v>
                </c:pt>
                <c:pt idx="3">
                  <c:v>2.2221997061397509E-2</c:v>
                </c:pt>
                <c:pt idx="4">
                  <c:v>4.7618994520634526E-2</c:v>
                </c:pt>
                <c:pt idx="5">
                  <c:v>8.7301991930468045E-2</c:v>
                </c:pt>
                <c:pt idx="6">
                  <c:v>0.14444399032150082</c:v>
                </c:pt>
                <c:pt idx="7">
                  <c:v>0.22222199013469809</c:v>
                </c:pt>
                <c:pt idx="8">
                  <c:v>0.32380998897654412</c:v>
                </c:pt>
                <c:pt idx="9">
                  <c:v>0.45238097709015535</c:v>
                </c:pt>
                <c:pt idx="10">
                  <c:v>0.61111092929845945</c:v>
                </c:pt>
                <c:pt idx="11">
                  <c:v>0.80317479216237897</c:v>
                </c:pt>
                <c:pt idx="12">
                  <c:v>1.0317454638173591</c:v>
                </c:pt>
                <c:pt idx="13">
                  <c:v>1.299998764123244</c:v>
                </c:pt>
                <c:pt idx="14">
                  <c:v>1.6111083919847426</c:v>
                </c:pt>
                <c:pt idx="15">
                  <c:v>1.9682488647288552</c:v>
                </c:pt>
                <c:pt idx="16">
                  <c:v>2.3730064623639899</c:v>
                </c:pt>
                <c:pt idx="17">
                  <c:v>2.8253801675045067</c:v>
                </c:pt>
                <c:pt idx="18">
                  <c:v>3.3253685803332611</c:v>
                </c:pt>
                <c:pt idx="19">
                  <c:v>3.8729698148406841</c:v>
                </c:pt>
                <c:pt idx="20">
                  <c:v>4.4681813997899873</c:v>
                </c:pt>
                <c:pt idx="21">
                  <c:v>5.111000141145837</c:v>
                </c:pt>
                <c:pt idx="22">
                  <c:v>5.8014219824268336</c:v>
                </c:pt>
                <c:pt idx="23">
                  <c:v>6.539442843919506</c:v>
                </c:pt>
                <c:pt idx="24">
                  <c:v>7.3250544182643758</c:v>
                </c:pt>
                <c:pt idx="25">
                  <c:v>8.1582499660277339</c:v>
                </c:pt>
                <c:pt idx="26">
                  <c:v>9.0390210984816655</c:v>
                </c:pt>
                <c:pt idx="27">
                  <c:v>9.9673544452248581</c:v>
                </c:pt>
                <c:pt idx="28">
                  <c:v>10.943237421957807</c:v>
                </c:pt>
                <c:pt idx="29">
                  <c:v>11.966654809251128</c:v>
                </c:pt>
                <c:pt idx="30">
                  <c:v>13.037586348618188</c:v>
                </c:pt>
                <c:pt idx="31">
                  <c:v>14.156008402212894</c:v>
                </c:pt>
                <c:pt idx="32">
                  <c:v>15.321896297543224</c:v>
                </c:pt>
                <c:pt idx="33">
                  <c:v>16.535217881332883</c:v>
                </c:pt>
                <c:pt idx="34">
                  <c:v>17.795935711481498</c:v>
                </c:pt>
                <c:pt idx="35">
                  <c:v>19.104009544959311</c:v>
                </c:pt>
                <c:pt idx="36">
                  <c:v>20.459389277267608</c:v>
                </c:pt>
                <c:pt idx="37">
                  <c:v>21.862018065603692</c:v>
                </c:pt>
                <c:pt idx="38">
                  <c:v>23.311830396071638</c:v>
                </c:pt>
                <c:pt idx="39">
                  <c:v>24.808750708269017</c:v>
                </c:pt>
                <c:pt idx="40">
                  <c:v>26.352692075918601</c:v>
                </c:pt>
                <c:pt idx="41">
                  <c:v>27.943554630645473</c:v>
                </c:pt>
                <c:pt idx="42">
                  <c:v>29.581223774665172</c:v>
                </c:pt>
                <c:pt idx="43">
                  <c:v>31.263987775138204</c:v>
                </c:pt>
                <c:pt idx="44">
                  <c:v>32.988538968940688</c:v>
                </c:pt>
                <c:pt idx="45">
                  <c:v>34.751558261904407</c:v>
                </c:pt>
                <c:pt idx="46">
                  <c:v>36.549711671911446</c:v>
                </c:pt>
                <c:pt idx="47">
                  <c:v>38.379654860498405</c:v>
                </c:pt>
                <c:pt idx="48">
                  <c:v>40.238028409627113</c:v>
                </c:pt>
                <c:pt idx="49">
                  <c:v>42.121459133000585</c:v>
                </c:pt>
                <c:pt idx="50">
                  <c:v>44.026564090348188</c:v>
                </c:pt>
                <c:pt idx="51">
                  <c:v>45.949947568676997</c:v>
                </c:pt>
                <c:pt idx="52">
                  <c:v>47.888199266867041</c:v>
                </c:pt>
                <c:pt idx="53">
                  <c:v>49.837903590942283</c:v>
                </c:pt>
                <c:pt idx="54">
                  <c:v>51.795635790872794</c:v>
                </c:pt>
                <c:pt idx="55">
                  <c:v>53.757961592327682</c:v>
                </c:pt>
                <c:pt idx="56">
                  <c:v>55.721448423773147</c:v>
                </c:pt>
                <c:pt idx="57">
                  <c:v>57.682658616333704</c:v>
                </c:pt>
                <c:pt idx="58">
                  <c:v>59.639709235304316</c:v>
                </c:pt>
                <c:pt idx="59">
                  <c:v>61.592253688794912</c:v>
                </c:pt>
                <c:pt idx="60">
                  <c:v>63.539922897815138</c:v>
                </c:pt>
                <c:pt idx="61">
                  <c:v>65.482322309197016</c:v>
                </c:pt>
                <c:pt idx="62">
                  <c:v>67.419030927275543</c:v>
                </c:pt>
                <c:pt idx="63">
                  <c:v>69.349601459056203</c:v>
                </c:pt>
                <c:pt idx="64">
                  <c:v>71.273556953462148</c:v>
                </c:pt>
                <c:pt idx="65">
                  <c:v>73.190390926661522</c:v>
                </c:pt>
                <c:pt idx="66">
                  <c:v>75.099565438590929</c:v>
                </c:pt>
                <c:pt idx="67">
                  <c:v>77.000509641818695</c:v>
                </c:pt>
                <c:pt idx="68">
                  <c:v>78.892619602792749</c:v>
                </c:pt>
                <c:pt idx="69">
                  <c:v>80.775256348286476</c:v>
                </c:pt>
                <c:pt idx="70">
                  <c:v>82.647745175844051</c:v>
                </c:pt>
                <c:pt idx="71">
                  <c:v>84.509374369896562</c:v>
                </c:pt>
                <c:pt idx="72">
                  <c:v>86.359396964048713</c:v>
                </c:pt>
                <c:pt idx="73">
                  <c:v>88.197027580006292</c:v>
                </c:pt>
                <c:pt idx="74">
                  <c:v>90.021445412937467</c:v>
                </c:pt>
                <c:pt idx="75">
                  <c:v>91.831791212633433</c:v>
                </c:pt>
                <c:pt idx="76">
                  <c:v>93.627171793005573</c:v>
                </c:pt>
                <c:pt idx="77">
                  <c:v>95.406659155878728</c:v>
                </c:pt>
                <c:pt idx="78">
                  <c:v>97.169292379516676</c:v>
                </c:pt>
                <c:pt idx="79">
                  <c:v>98.914081877632682</c:v>
                </c:pt>
                <c:pt idx="80">
                  <c:v>100.64000936641297</c:v>
                </c:pt>
                <c:pt idx="81">
                  <c:v>102.34603509020947</c:v>
                </c:pt>
                <c:pt idx="82">
                  <c:v>104.03109754946769</c:v>
                </c:pt>
                <c:pt idx="83">
                  <c:v>105.69412412962768</c:v>
                </c:pt>
                <c:pt idx="84">
                  <c:v>107.33403060914921</c:v>
                </c:pt>
                <c:pt idx="85">
                  <c:v>108.94973088742648</c:v>
                </c:pt>
                <c:pt idx="86">
                  <c:v>110.54014298347644</c:v>
                </c:pt>
                <c:pt idx="87">
                  <c:v>112.10419670714386</c:v>
                </c:pt>
                <c:pt idx="88">
                  <c:v>113.64083933874244</c:v>
                </c:pt>
                <c:pt idx="89">
                  <c:v>115.14904282211729</c:v>
                </c:pt>
                <c:pt idx="90">
                  <c:v>116.62781667595065</c:v>
                </c:pt>
                <c:pt idx="91">
                  <c:v>118.07620805600841</c:v>
                </c:pt>
                <c:pt idx="92">
                  <c:v>119.49331519051795</c:v>
                </c:pt>
                <c:pt idx="93">
                  <c:v>120.87829154796077</c:v>
                </c:pt>
                <c:pt idx="94">
                  <c:v>122.23035556066944</c:v>
                </c:pt>
                <c:pt idx="95">
                  <c:v>123.54879306574551</c:v>
                </c:pt>
                <c:pt idx="96">
                  <c:v>124.83296377911444</c:v>
                </c:pt>
                <c:pt idx="97">
                  <c:v>126.08230606037111</c:v>
                </c:pt>
                <c:pt idx="98">
                  <c:v>127.29633976143278</c:v>
                </c:pt>
                <c:pt idx="99">
                  <c:v>128.47466859040759</c:v>
                </c:pt>
                <c:pt idx="100">
                  <c:v>129.61698198527921</c:v>
                </c:pt>
                <c:pt idx="101">
                  <c:v>130.72305483144413</c:v>
                </c:pt>
                <c:pt idx="102">
                  <c:v>131.7927465772442</c:v>
                </c:pt>
                <c:pt idx="103">
                  <c:v>132.82599806178774</c:v>
                </c:pt>
                <c:pt idx="104">
                  <c:v>133.82283115958967</c:v>
                </c:pt>
                <c:pt idx="105">
                  <c:v>134.78334452125071</c:v>
                </c:pt>
                <c:pt idx="106">
                  <c:v>135.70770874810952</c:v>
                </c:pt>
                <c:pt idx="107">
                  <c:v>136.59616284930638</c:v>
                </c:pt>
                <c:pt idx="108">
                  <c:v>137.44900671484893</c:v>
                </c:pt>
                <c:pt idx="109">
                  <c:v>138.26660222886352</c:v>
                </c:pt>
                <c:pt idx="110">
                  <c:v>139.04935778413065</c:v>
                </c:pt>
                <c:pt idx="111">
                  <c:v>139.79773437345631</c:v>
                </c:pt>
                <c:pt idx="112">
                  <c:v>140.51222950749539</c:v>
                </c:pt>
                <c:pt idx="113">
                  <c:v>141.19328728307099</c:v>
                </c:pt>
                <c:pt idx="114">
                  <c:v>141.84090951002369</c:v>
                </c:pt>
                <c:pt idx="115">
                  <c:v>142.45486337112939</c:v>
                </c:pt>
                <c:pt idx="116">
                  <c:v>143.03512809504775</c:v>
                </c:pt>
                <c:pt idx="117">
                  <c:v>143.58187803284218</c:v>
                </c:pt>
                <c:pt idx="118">
                  <c:v>144.09546720007091</c:v>
                </c:pt>
                <c:pt idx="119">
                  <c:v>144.57641248565139</c:v>
                </c:pt>
                <c:pt idx="120">
                  <c:v>145.02537627394619</c:v>
                </c:pt>
                <c:pt idx="121">
                  <c:v>145.44315079039501</c:v>
                </c:pt>
                <c:pt idx="122">
                  <c:v>145.83064000686613</c:v>
                </c:pt>
                <c:pt idx="123">
                  <c:v>146.18884395155047</c:v>
                </c:pt>
                <c:pt idx="124">
                  <c:v>146.51885061323694</c:v>
                </c:pt>
                <c:pt idx="125">
                  <c:v>146.82181245207923</c:v>
                </c:pt>
                <c:pt idx="126">
                  <c:v>147.09894193509479</c:v>
                </c:pt>
                <c:pt idx="127">
                  <c:v>147.35149275064452</c:v>
                </c:pt>
                <c:pt idx="128">
                  <c:v>147.58079112416814</c:v>
                </c:pt>
                <c:pt idx="129">
                  <c:v>147.78836420723212</c:v>
                </c:pt>
                <c:pt idx="130">
                  <c:v>147.97583618910522</c:v>
                </c:pt>
                <c:pt idx="131">
                  <c:v>148.14473346677633</c:v>
                </c:pt>
                <c:pt idx="132">
                  <c:v>148.29649413261041</c:v>
                </c:pt>
                <c:pt idx="133">
                  <c:v>148.4324682412124</c:v>
                </c:pt>
                <c:pt idx="134">
                  <c:v>148.55392438288925</c:v>
                </c:pt>
                <c:pt idx="135">
                  <c:v>148.6620558005913</c:v>
                </c:pt>
                <c:pt idx="136">
                  <c:v>148.75798137793834</c:v>
                </c:pt>
                <c:pt idx="137">
                  <c:v>148.84275185837768</c:v>
                </c:pt>
                <c:pt idx="138">
                  <c:v>148.91735147484712</c:v>
                </c:pt>
                <c:pt idx="139">
                  <c:v>148.98270243241163</c:v>
                </c:pt>
                <c:pt idx="140">
                  <c:v>149.03966940448495</c:v>
                </c:pt>
                <c:pt idx="141">
                  <c:v>149.08906021004233</c:v>
                </c:pt>
                <c:pt idx="142">
                  <c:v>149.13162826332783</c:v>
                </c:pt>
                <c:pt idx="143">
                  <c:v>149.16807911237674</c:v>
                </c:pt>
                <c:pt idx="144">
                  <c:v>149.19906910904797</c:v>
                </c:pt>
                <c:pt idx="145">
                  <c:v>149.22520722900191</c:v>
                </c:pt>
                <c:pt idx="146">
                  <c:v>149.24705998724201</c:v>
                </c:pt>
                <c:pt idx="147">
                  <c:v>149.2651504524008</c:v>
                </c:pt>
                <c:pt idx="148">
                  <c:v>149.27996315740259</c:v>
                </c:pt>
                <c:pt idx="149">
                  <c:v>149.29194176997663</c:v>
                </c:pt>
                <c:pt idx="150">
                  <c:v>149.30149425497302</c:v>
                </c:pt>
                <c:pt idx="151">
                  <c:v>149.30899133509803</c:v>
                </c:pt>
                <c:pt idx="152">
                  <c:v>149.31476918495201</c:v>
                </c:pt>
                <c:pt idx="153">
                  <c:v>149.31913068045745</c:v>
                </c:pt>
                <c:pt idx="154">
                  <c:v>149.32234519254212</c:v>
                </c:pt>
                <c:pt idx="155">
                  <c:v>149.32465171401597</c:v>
                </c:pt>
                <c:pt idx="156">
                  <c:v>149.32626328576643</c:v>
                </c:pt>
                <c:pt idx="157">
                  <c:v>149.32735913322031</c:v>
                </c:pt>
                <c:pt idx="158">
                  <c:v>149.32808084196273</c:v>
                </c:pt>
                <c:pt idx="159">
                  <c:v>149.32853874427599</c:v>
                </c:pt>
                <c:pt idx="160">
                  <c:v>149.32881653757505</c:v>
                </c:pt>
                <c:pt idx="161">
                  <c:v>149.32897589711385</c:v>
                </c:pt>
                <c:pt idx="162">
                  <c:v>149.3290613451251</c:v>
                </c:pt>
                <c:pt idx="163">
                  <c:v>149.32910320700671</c:v>
                </c:pt>
                <c:pt idx="164">
                  <c:v>149.32912141826804</c:v>
                </c:pt>
                <c:pt idx="165">
                  <c:v>149.32912814567342</c:v>
                </c:pt>
                <c:pt idx="166">
                  <c:v>149.32913007121482</c:v>
                </c:pt>
                <c:pt idx="167">
                  <c:v>149.3291304352708</c:v>
                </c:pt>
                <c:pt idx="168">
                  <c:v>149.32913046450426</c:v>
                </c:pt>
                <c:pt idx="169">
                  <c:v>149.32913046492942</c:v>
                </c:pt>
                <c:pt idx="170">
                  <c:v>149.32913046492942</c:v>
                </c:pt>
              </c:numCache>
            </c:numRef>
          </c:xVal>
          <c:yVal>
            <c:numRef>
              <c:f>Main!$Q$2:$Q$172</c:f>
              <c:numCache>
                <c:formatCode>General</c:formatCode>
                <c:ptCount val="171"/>
                <c:pt idx="0">
                  <c:v>0</c:v>
                </c:pt>
                <c:pt idx="1">
                  <c:v>-8.6698945087858596E-7</c:v>
                </c:pt>
                <c:pt idx="2">
                  <c:v>-4.2471398816257156E-6</c:v>
                </c:pt>
                <c:pt idx="3">
                  <c:v>-1.1422597640281671E-5</c:v>
                </c:pt>
                <c:pt idx="4">
                  <c:v>-2.2782857701401628E-5</c:v>
                </c:pt>
                <c:pt idx="5">
                  <c:v>-3.7120610196993442E-5</c:v>
                </c:pt>
                <c:pt idx="6">
                  <c:v>-5.0680816925639361E-5</c:v>
                </c:pt>
                <c:pt idx="7">
                  <c:v>-5.6071390735224021E-5</c:v>
                </c:pt>
                <c:pt idx="8">
                  <c:v>-4.0731602793517779E-5</c:v>
                </c:pt>
                <c:pt idx="9">
                  <c:v>1.455392550276648E-5</c:v>
                </c:pt>
                <c:pt idx="10">
                  <c:v>1.3772839314064755E-4</c:v>
                </c:pt>
                <c:pt idx="11">
                  <c:v>3.6724481851477296E-4</c:v>
                </c:pt>
                <c:pt idx="12">
                  <c:v>7.5467247799981905E-4</c:v>
                </c:pt>
                <c:pt idx="13">
                  <c:v>1.3673640812992736E-3</c:v>
                </c:pt>
                <c:pt idx="14">
                  <c:v>2.2913623928817574E-3</c:v>
                </c:pt>
                <c:pt idx="15">
                  <c:v>3.6349311897013797E-3</c:v>
                </c:pt>
                <c:pt idx="16">
                  <c:v>5.5227343134865063E-3</c:v>
                </c:pt>
                <c:pt idx="17">
                  <c:v>8.0917922033026599E-3</c:v>
                </c:pt>
                <c:pt idx="18">
                  <c:v>1.1495765908108089E-2</c:v>
                </c:pt>
                <c:pt idx="19">
                  <c:v>1.5906789252657351E-2</c:v>
                </c:pt>
                <c:pt idx="20">
                  <c:v>2.1514443498347732E-2</c:v>
                </c:pt>
                <c:pt idx="21">
                  <c:v>2.8527874233859808E-2</c:v>
                </c:pt>
                <c:pt idx="22">
                  <c:v>3.717586002002557E-2</c:v>
                </c:pt>
                <c:pt idx="23">
                  <c:v>4.7707394457813038E-2</c:v>
                </c:pt>
                <c:pt idx="24">
                  <c:v>6.0393767122004019E-2</c:v>
                </c:pt>
                <c:pt idx="25">
                  <c:v>7.5528762210194791E-2</c:v>
                </c:pt>
                <c:pt idx="26">
                  <c:v>9.3428495303728043E-2</c:v>
                </c:pt>
                <c:pt idx="27">
                  <c:v>0.1144356218465003</c:v>
                </c:pt>
                <c:pt idx="28">
                  <c:v>0.13891687636582303</c:v>
                </c:pt>
                <c:pt idx="29">
                  <c:v>0.16726766975351615</c:v>
                </c:pt>
                <c:pt idx="30">
                  <c:v>0.19991334373797712</c:v>
                </c:pt>
                <c:pt idx="31">
                  <c:v>0.23730716999314352</c:v>
                </c:pt>
                <c:pt idx="32">
                  <c:v>0.27993702351402006</c:v>
                </c:pt>
                <c:pt idx="33">
                  <c:v>0.32832322098968181</c:v>
                </c:pt>
                <c:pt idx="34">
                  <c:v>0.38302475626401378</c:v>
                </c:pt>
                <c:pt idx="35">
                  <c:v>0.44463605998874967</c:v>
                </c:pt>
                <c:pt idx="36">
                  <c:v>0.51379460029213508</c:v>
                </c:pt>
                <c:pt idx="37">
                  <c:v>0.59118167140124545</c:v>
                </c:pt>
                <c:pt idx="38">
                  <c:v>0.6775227136934121</c:v>
                </c:pt>
                <c:pt idx="39">
                  <c:v>0.77359341125987868</c:v>
                </c:pt>
                <c:pt idx="40">
                  <c:v>0.88022184284047078</c:v>
                </c:pt>
                <c:pt idx="41">
                  <c:v>0.99829219734106445</c:v>
                </c:pt>
                <c:pt idx="42">
                  <c:v>1.1287486926748598</c:v>
                </c:pt>
                <c:pt idx="43">
                  <c:v>1.2724545486202414</c:v>
                </c:pt>
                <c:pt idx="44">
                  <c:v>1.4301485195589856</c:v>
                </c:pt>
                <c:pt idx="45">
                  <c:v>1.6025540724820808</c:v>
                </c:pt>
                <c:pt idx="46">
                  <c:v>1.7903755147511859</c:v>
                </c:pt>
                <c:pt idx="47">
                  <c:v>1.9942949582679774</c:v>
                </c:pt>
                <c:pt idx="48">
                  <c:v>2.2149627038488786</c:v>
                </c:pt>
                <c:pt idx="49">
                  <c:v>2.4529896602989409</c:v>
                </c:pt>
                <c:pt idx="50">
                  <c:v>2.7089437944198416</c:v>
                </c:pt>
                <c:pt idx="51">
                  <c:v>2.9833398648286162</c:v>
                </c:pt>
                <c:pt idx="52">
                  <c:v>3.2766368047246717</c:v>
                </c:pt>
                <c:pt idx="53">
                  <c:v>3.5892228829356192</c:v>
                </c:pt>
                <c:pt idx="54">
                  <c:v>3.9214106228963876</c:v>
                </c:pt>
                <c:pt idx="55">
                  <c:v>4.2734301840637228</c:v>
                </c:pt>
                <c:pt idx="56">
                  <c:v>4.6454167178378079</c:v>
                </c:pt>
                <c:pt idx="57">
                  <c:v>5.037404703108515</c:v>
                </c:pt>
                <c:pt idx="58">
                  <c:v>5.449658113994019</c:v>
                </c:pt>
                <c:pt idx="59">
                  <c:v>5.8827518188006209</c:v>
                </c:pt>
                <c:pt idx="60">
                  <c:v>6.3372676625668571</c:v>
                </c:pt>
                <c:pt idx="61">
                  <c:v>6.8138015298452697</c:v>
                </c:pt>
                <c:pt idx="62">
                  <c:v>7.312960551260681</c:v>
                </c:pt>
                <c:pt idx="63">
                  <c:v>7.8353563990812223</c:v>
                </c:pt>
                <c:pt idx="64">
                  <c:v>8.381612067743065</c:v>
                </c:pt>
                <c:pt idx="65">
                  <c:v>8.9523550214347516</c:v>
                </c:pt>
                <c:pt idx="66">
                  <c:v>9.5482179947760208</c:v>
                </c:pt>
                <c:pt idx="67">
                  <c:v>10.169837762974183</c:v>
                </c:pt>
                <c:pt idx="68">
                  <c:v>10.817850027968273</c:v>
                </c:pt>
                <c:pt idx="69">
                  <c:v>11.492889941245121</c:v>
                </c:pt>
                <c:pt idx="70">
                  <c:v>12.19558873210223</c:v>
                </c:pt>
                <c:pt idx="71">
                  <c:v>12.92657214084103</c:v>
                </c:pt>
                <c:pt idx="72">
                  <c:v>13.686451342508336</c:v>
                </c:pt>
                <c:pt idx="73">
                  <c:v>14.475826867398336</c:v>
                </c:pt>
                <c:pt idx="74">
                  <c:v>15.295277641321164</c:v>
                </c:pt>
                <c:pt idx="75">
                  <c:v>16.145364745989379</c:v>
                </c:pt>
                <c:pt idx="76">
                  <c:v>17.026618722787543</c:v>
                </c:pt>
                <c:pt idx="77">
                  <c:v>17.939539708073088</c:v>
                </c:pt>
                <c:pt idx="78">
                  <c:v>18.884592150495045</c:v>
                </c:pt>
                <c:pt idx="79">
                  <c:v>19.862196164022041</c:v>
                </c:pt>
                <c:pt idx="80">
                  <c:v>20.872727857474832</c:v>
                </c:pt>
                <c:pt idx="81">
                  <c:v>21.916507637765974</c:v>
                </c:pt>
                <c:pt idx="82">
                  <c:v>22.993802633762272</c:v>
                </c:pt>
                <c:pt idx="83">
                  <c:v>24.104812351848199</c:v>
                </c:pt>
                <c:pt idx="84">
                  <c:v>25.24967336455817</c:v>
                </c:pt>
                <c:pt idx="85">
                  <c:v>26.428449259618265</c:v>
                </c:pt>
                <c:pt idx="86">
                  <c:v>27.641127850481464</c:v>
                </c:pt>
                <c:pt idx="87">
                  <c:v>28.887617300690373</c:v>
                </c:pt>
                <c:pt idx="88">
                  <c:v>30.167745974985962</c:v>
                </c:pt>
                <c:pt idx="89">
                  <c:v>31.48126120243327</c:v>
                </c:pt>
                <c:pt idx="90">
                  <c:v>32.82782270835078</c:v>
                </c:pt>
                <c:pt idx="91">
                  <c:v>34.207011749118713</c:v>
                </c:pt>
                <c:pt idx="92">
                  <c:v>35.618325806769299</c:v>
                </c:pt>
                <c:pt idx="93">
                  <c:v>37.061184250735444</c:v>
                </c:pt>
                <c:pt idx="94">
                  <c:v>38.534928769143619</c:v>
                </c:pt>
                <c:pt idx="95">
                  <c:v>40.038831207870537</c:v>
                </c:pt>
                <c:pt idx="96">
                  <c:v>41.572097518374214</c:v>
                </c:pt>
                <c:pt idx="97">
                  <c:v>43.133873387141676</c:v>
                </c:pt>
                <c:pt idx="98">
                  <c:v>44.723251307174081</c:v>
                </c:pt>
                <c:pt idx="99">
                  <c:v>46.33927765931282</c:v>
                </c:pt>
                <c:pt idx="100">
                  <c:v>47.980959756400097</c:v>
                </c:pt>
                <c:pt idx="101">
                  <c:v>49.647273910146815</c:v>
                </c:pt>
                <c:pt idx="102">
                  <c:v>51.337173187904867</c:v>
                </c:pt>
                <c:pt idx="103">
                  <c:v>53.049595848841285</c:v>
                </c:pt>
                <c:pt idx="104">
                  <c:v>54.783471212045519</c:v>
                </c:pt>
                <c:pt idx="105">
                  <c:v>56.537727203077218</c:v>
                </c:pt>
                <c:pt idx="106">
                  <c:v>58.31129726825754</c:v>
                </c:pt>
                <c:pt idx="107">
                  <c:v>60.103125750581249</c:v>
                </c:pt>
                <c:pt idx="108">
                  <c:v>61.912174489838002</c:v>
                </c:pt>
                <c:pt idx="109">
                  <c:v>63.737424493389085</c:v>
                </c:pt>
                <c:pt idx="110">
                  <c:v>65.577884691464135</c:v>
                </c:pt>
                <c:pt idx="111">
                  <c:v>67.432590188449922</c:v>
                </c:pt>
                <c:pt idx="112">
                  <c:v>69.300609648582622</c:v>
                </c:pt>
                <c:pt idx="113">
                  <c:v>71.180772510862667</c:v>
                </c:pt>
                <c:pt idx="114">
                  <c:v>73.070428417069081</c:v>
                </c:pt>
                <c:pt idx="115">
                  <c:v>74.96568281464279</c:v>
                </c:pt>
                <c:pt idx="116">
                  <c:v>76.862623073220234</c:v>
                </c:pt>
                <c:pt idx="117">
                  <c:v>78.757335524756314</c:v>
                </c:pt>
                <c:pt idx="118">
                  <c:v>80.645908865018569</c:v>
                </c:pt>
                <c:pt idx="119">
                  <c:v>82.524447933726435</c:v>
                </c:pt>
                <c:pt idx="120">
                  <c:v>84.389078900754498</c:v>
                </c:pt>
                <c:pt idx="121">
                  <c:v>86.235952755868027</c:v>
                </c:pt>
                <c:pt idx="122">
                  <c:v>88.06125437576614</c:v>
                </c:pt>
                <c:pt idx="123">
                  <c:v>89.861203767979333</c:v>
                </c:pt>
                <c:pt idx="124">
                  <c:v>91.632056047579042</c:v>
                </c:pt>
                <c:pt idx="125">
                  <c:v>93.370106799073184</c:v>
                </c:pt>
                <c:pt idx="126">
                  <c:v>95.071688033585502</c:v>
                </c:pt>
                <c:pt idx="127">
                  <c:v>96.733173396285139</c:v>
                </c:pt>
                <c:pt idx="128">
                  <c:v>98.351259257852263</c:v>
                </c:pt>
                <c:pt idx="129">
                  <c:v>99.924254654734071</c:v>
                </c:pt>
                <c:pt idx="130">
                  <c:v>101.45180771378263</c:v>
                </c:pt>
                <c:pt idx="131">
                  <c:v>102.93360822519442</c:v>
                </c:pt>
                <c:pt idx="132">
                  <c:v>104.36938500134406</c:v>
                </c:pt>
                <c:pt idx="133">
                  <c:v>105.75890485022671</c:v>
                </c:pt>
                <c:pt idx="134">
                  <c:v>107.10196123251971</c:v>
                </c:pt>
                <c:pt idx="135">
                  <c:v>108.39837753881558</c:v>
                </c:pt>
                <c:pt idx="136">
                  <c:v>109.64800115159289</c:v>
                </c:pt>
                <c:pt idx="137">
                  <c:v>110.85069738424937</c:v>
                </c:pt>
                <c:pt idx="138">
                  <c:v>112.00635311886225</c:v>
                </c:pt>
                <c:pt idx="139">
                  <c:v>113.1148704564395</c:v>
                </c:pt>
                <c:pt idx="140">
                  <c:v>114.17616665405298</c:v>
                </c:pt>
                <c:pt idx="141">
                  <c:v>115.1901684834115</c:v>
                </c:pt>
                <c:pt idx="142">
                  <c:v>116.15681665780819</c:v>
                </c:pt>
                <c:pt idx="143">
                  <c:v>117.0760602472662</c:v>
                </c:pt>
                <c:pt idx="144">
                  <c:v>117.94785661598731</c:v>
                </c:pt>
                <c:pt idx="145">
                  <c:v>118.77217031396233</c:v>
                </c:pt>
                <c:pt idx="146">
                  <c:v>119.54897099664825</c:v>
                </c:pt>
                <c:pt idx="147">
                  <c:v>120.27823665137932</c:v>
                </c:pt>
                <c:pt idx="148">
                  <c:v>120.95994673962177</c:v>
                </c:pt>
                <c:pt idx="149">
                  <c:v>121.59408561427369</c:v>
                </c:pt>
                <c:pt idx="150">
                  <c:v>122.18063983466121</c:v>
                </c:pt>
                <c:pt idx="151">
                  <c:v>122.71960169415185</c:v>
                </c:pt>
                <c:pt idx="152">
                  <c:v>123.21096272483707</c:v>
                </c:pt>
                <c:pt idx="153">
                  <c:v>123.65471629156299</c:v>
                </c:pt>
                <c:pt idx="154">
                  <c:v>124.05086024969064</c:v>
                </c:pt>
                <c:pt idx="155">
                  <c:v>124.399676623926</c:v>
                </c:pt>
                <c:pt idx="156">
                  <c:v>124.70303834331801</c:v>
                </c:pt>
                <c:pt idx="157">
                  <c:v>124.96411904349971</c:v>
                </c:pt>
                <c:pt idx="158">
                  <c:v>125.18609187024317</c:v>
                </c:pt>
                <c:pt idx="159">
                  <c:v>125.37213030671927</c:v>
                </c:pt>
                <c:pt idx="160">
                  <c:v>125.5254100549931</c:v>
                </c:pt>
                <c:pt idx="161">
                  <c:v>125.6491049523395</c:v>
                </c:pt>
                <c:pt idx="162">
                  <c:v>125.74638991481386</c:v>
                </c:pt>
                <c:pt idx="163">
                  <c:v>125.82043890298104</c:v>
                </c:pt>
                <c:pt idx="164">
                  <c:v>125.87442589990944</c:v>
                </c:pt>
                <c:pt idx="165">
                  <c:v>125.91152689929952</c:v>
                </c:pt>
                <c:pt idx="166">
                  <c:v>125.93491589922026</c:v>
                </c:pt>
                <c:pt idx="167">
                  <c:v>125.94776789921511</c:v>
                </c:pt>
                <c:pt idx="168">
                  <c:v>125.95325589921502</c:v>
                </c:pt>
                <c:pt idx="169">
                  <c:v>125.95455689921504</c:v>
                </c:pt>
                <c:pt idx="170">
                  <c:v>125.95455689921504</c:v>
                </c:pt>
              </c:numCache>
            </c:numRef>
          </c:yVal>
          <c:smooth val="0"/>
        </c:ser>
        <c:ser>
          <c:idx val="1"/>
          <c:order val="1"/>
          <c:tx>
            <c:v>Original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Main!$L$2:$L$172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6.9653999999999994E-2</c:v>
                </c:pt>
                <c:pt idx="9">
                  <c:v>0.19822400000000001</c:v>
                </c:pt>
                <c:pt idx="10">
                  <c:v>0.35695900000000003</c:v>
                </c:pt>
                <c:pt idx="11">
                  <c:v>0.54901599999999995</c:v>
                </c:pt>
                <c:pt idx="12">
                  <c:v>0.777582</c:v>
                </c:pt>
                <c:pt idx="13">
                  <c:v>1.045839</c:v>
                </c:pt>
                <c:pt idx="14">
                  <c:v>1.3569560000000001</c:v>
                </c:pt>
                <c:pt idx="15">
                  <c:v>1.714094</c:v>
                </c:pt>
                <c:pt idx="16">
                  <c:v>2.1188549999999999</c:v>
                </c:pt>
                <c:pt idx="17">
                  <c:v>2.571224</c:v>
                </c:pt>
                <c:pt idx="18">
                  <c:v>3.0712130000000002</c:v>
                </c:pt>
                <c:pt idx="19">
                  <c:v>3.6188229999999999</c:v>
                </c:pt>
                <c:pt idx="20">
                  <c:v>4.2140399999999998</c:v>
                </c:pt>
                <c:pt idx="21">
                  <c:v>4.8568600000000002</c:v>
                </c:pt>
                <c:pt idx="22">
                  <c:v>5.547282</c:v>
                </c:pt>
                <c:pt idx="23">
                  <c:v>6.2853149999999998</c:v>
                </c:pt>
                <c:pt idx="24">
                  <c:v>7.0709309999999999</c:v>
                </c:pt>
                <c:pt idx="25">
                  <c:v>7.9041550000000003</c:v>
                </c:pt>
                <c:pt idx="26">
                  <c:v>8.7849389999999996</c:v>
                </c:pt>
                <c:pt idx="27">
                  <c:v>9.7133040000000008</c:v>
                </c:pt>
                <c:pt idx="28">
                  <c:v>10.689216999999999</c:v>
                </c:pt>
                <c:pt idx="29">
                  <c:v>11.712669</c:v>
                </c:pt>
                <c:pt idx="30">
                  <c:v>12.783633999999999</c:v>
                </c:pt>
                <c:pt idx="31">
                  <c:v>13.902120999999999</c:v>
                </c:pt>
                <c:pt idx="32">
                  <c:v>15.068066</c:v>
                </c:pt>
                <c:pt idx="33">
                  <c:v>16.281462000000001</c:v>
                </c:pt>
                <c:pt idx="34">
                  <c:v>17.542280999999999</c:v>
                </c:pt>
                <c:pt idx="35">
                  <c:v>18.850470999999999</c:v>
                </c:pt>
                <c:pt idx="36">
                  <c:v>20.205973</c:v>
                </c:pt>
                <c:pt idx="37">
                  <c:v>21.60876</c:v>
                </c:pt>
                <c:pt idx="38">
                  <c:v>23.058758000000001</c:v>
                </c:pt>
                <c:pt idx="39">
                  <c:v>24.555889000000001</c:v>
                </c:pt>
                <c:pt idx="40">
                  <c:v>26.100097999999999</c:v>
                </c:pt>
                <c:pt idx="41">
                  <c:v>27.691247000000001</c:v>
                </c:pt>
                <c:pt idx="42">
                  <c:v>29.329260999999999</c:v>
                </c:pt>
                <c:pt idx="43">
                  <c:v>31.012425</c:v>
                </c:pt>
                <c:pt idx="44">
                  <c:v>32.737453000000002</c:v>
                </c:pt>
                <c:pt idx="45">
                  <c:v>34.501002</c:v>
                </c:pt>
                <c:pt idx="46">
                  <c:v>36.299771</c:v>
                </c:pt>
                <c:pt idx="47">
                  <c:v>38.130403999999999</c:v>
                </c:pt>
                <c:pt idx="48">
                  <c:v>39.989561000000002</c:v>
                </c:pt>
                <c:pt idx="49">
                  <c:v>41.873876000000003</c:v>
                </c:pt>
                <c:pt idx="50">
                  <c:v>43.779963000000002</c:v>
                </c:pt>
                <c:pt idx="51">
                  <c:v>45.704450999999999</c:v>
                </c:pt>
                <c:pt idx="52">
                  <c:v>47.643925000000003</c:v>
                </c:pt>
                <c:pt idx="53">
                  <c:v>49.594993000000002</c:v>
                </c:pt>
                <c:pt idx="54">
                  <c:v>51.554212999999997</c:v>
                </c:pt>
                <c:pt idx="55">
                  <c:v>53.518171000000002</c:v>
                </c:pt>
                <c:pt idx="56">
                  <c:v>55.483440999999999</c:v>
                </c:pt>
                <c:pt idx="57">
                  <c:v>57.446593999999997</c:v>
                </c:pt>
                <c:pt idx="58">
                  <c:v>59.405754000000002</c:v>
                </c:pt>
                <c:pt idx="59">
                  <c:v>61.360585</c:v>
                </c:pt>
                <c:pt idx="60">
                  <c:v>63.310729000000002</c:v>
                </c:pt>
                <c:pt idx="61">
                  <c:v>65.255801000000005</c:v>
                </c:pt>
                <c:pt idx="62">
                  <c:v>67.195389000000006</c:v>
                </c:pt>
                <c:pt idx="63">
                  <c:v>69.129057000000003</c:v>
                </c:pt>
                <c:pt idx="64">
                  <c:v>71.056369000000004</c:v>
                </c:pt>
                <c:pt idx="65">
                  <c:v>72.976809000000003</c:v>
                </c:pt>
                <c:pt idx="66">
                  <c:v>74.889850999999993</c:v>
                </c:pt>
                <c:pt idx="67">
                  <c:v>76.794967999999997</c:v>
                </c:pt>
                <c:pt idx="68">
                  <c:v>78.691540000000003</c:v>
                </c:pt>
                <c:pt idx="69">
                  <c:v>80.578971999999993</c:v>
                </c:pt>
                <c:pt idx="70">
                  <c:v>82.456593999999996</c:v>
                </c:pt>
                <c:pt idx="71">
                  <c:v>84.323704000000006</c:v>
                </c:pt>
                <c:pt idx="72">
                  <c:v>86.179597999999999</c:v>
                </c:pt>
                <c:pt idx="73">
                  <c:v>88.023494999999997</c:v>
                </c:pt>
                <c:pt idx="74">
                  <c:v>89.854588000000007</c:v>
                </c:pt>
                <c:pt idx="75">
                  <c:v>91.672040999999993</c:v>
                </c:pt>
                <c:pt idx="76">
                  <c:v>93.474979000000005</c:v>
                </c:pt>
                <c:pt idx="77">
                  <c:v>95.26249</c:v>
                </c:pt>
                <c:pt idx="78">
                  <c:v>97.033631</c:v>
                </c:pt>
                <c:pt idx="79">
                  <c:v>98.787425999999996</c:v>
                </c:pt>
                <c:pt idx="80">
                  <c:v>100.52287</c:v>
                </c:pt>
                <c:pt idx="81">
                  <c:v>102.238933</c:v>
                </c:pt>
                <c:pt idx="82">
                  <c:v>103.93456399999999</c:v>
                </c:pt>
                <c:pt idx="83">
                  <c:v>105.60869599999999</c:v>
                </c:pt>
                <c:pt idx="84">
                  <c:v>107.26025</c:v>
                </c:pt>
                <c:pt idx="85">
                  <c:v>108.88814499999999</c:v>
                </c:pt>
                <c:pt idx="86">
                  <c:v>110.49129000000001</c:v>
                </c:pt>
                <c:pt idx="87">
                  <c:v>112.06861000000001</c:v>
                </c:pt>
                <c:pt idx="88">
                  <c:v>113.619043</c:v>
                </c:pt>
                <c:pt idx="89">
                  <c:v>115.14155</c:v>
                </c:pt>
                <c:pt idx="90">
                  <c:v>116.63511800000001</c:v>
                </c:pt>
                <c:pt idx="91">
                  <c:v>118.098776</c:v>
                </c:pt>
                <c:pt idx="92">
                  <c:v>119.531598</c:v>
                </c:pt>
                <c:pt idx="93">
                  <c:v>120.93270800000001</c:v>
                </c:pt>
                <c:pt idx="94">
                  <c:v>122.301288</c:v>
                </c:pt>
                <c:pt idx="95">
                  <c:v>123.63659199999999</c:v>
                </c:pt>
                <c:pt idx="96">
                  <c:v>124.937944</c:v>
                </c:pt>
                <c:pt idx="97">
                  <c:v>126.204742</c:v>
                </c:pt>
                <c:pt idx="98">
                  <c:v>127.436465</c:v>
                </c:pt>
                <c:pt idx="99">
                  <c:v>128.63267400000001</c:v>
                </c:pt>
                <c:pt idx="100">
                  <c:v>129.79301699999999</c:v>
                </c:pt>
                <c:pt idx="101">
                  <c:v>130.917226</c:v>
                </c:pt>
                <c:pt idx="102">
                  <c:v>132.005122</c:v>
                </c:pt>
                <c:pt idx="103">
                  <c:v>133.056589</c:v>
                </c:pt>
                <c:pt idx="104">
                  <c:v>134.07162299999999</c:v>
                </c:pt>
                <c:pt idx="105">
                  <c:v>135.05029300000001</c:v>
                </c:pt>
                <c:pt idx="106">
                  <c:v>135.992705</c:v>
                </c:pt>
                <c:pt idx="107">
                  <c:v>136.89909599999999</c:v>
                </c:pt>
                <c:pt idx="108">
                  <c:v>137.76971499999999</c:v>
                </c:pt>
                <c:pt idx="109">
                  <c:v>138.60489699999999</c:v>
                </c:pt>
                <c:pt idx="110">
                  <c:v>139.405036</c:v>
                </c:pt>
                <c:pt idx="111">
                  <c:v>140.17056299999999</c:v>
                </c:pt>
                <c:pt idx="112">
                  <c:v>140.90195399999999</c:v>
                </c:pt>
                <c:pt idx="113">
                  <c:v>141.59963200000001</c:v>
                </c:pt>
                <c:pt idx="114">
                  <c:v>142.26355599999999</c:v>
                </c:pt>
                <c:pt idx="115">
                  <c:v>142.893438</c:v>
                </c:pt>
                <c:pt idx="116">
                  <c:v>143.48917399999999</c:v>
                </c:pt>
                <c:pt idx="117">
                  <c:v>144.050929</c:v>
                </c:pt>
                <c:pt idx="118">
                  <c:v>144.578982</c:v>
                </c:pt>
                <c:pt idx="119">
                  <c:v>145.07383100000001</c:v>
                </c:pt>
                <c:pt idx="120">
                  <c:v>145.53610900000001</c:v>
                </c:pt>
                <c:pt idx="121">
                  <c:v>145.96658300000001</c:v>
                </c:pt>
                <c:pt idx="122">
                  <c:v>146.36612099999999</c:v>
                </c:pt>
                <c:pt idx="123">
                  <c:v>146.735739</c:v>
                </c:pt>
                <c:pt idx="124">
                  <c:v>147.07649900000001</c:v>
                </c:pt>
                <c:pt idx="125">
                  <c:v>147.38954799999999</c:v>
                </c:pt>
                <c:pt idx="126">
                  <c:v>147.676098</c:v>
                </c:pt>
                <c:pt idx="127">
                  <c:v>147.937421</c:v>
                </c:pt>
                <c:pt idx="128">
                  <c:v>148.17483300000001</c:v>
                </c:pt>
                <c:pt idx="129">
                  <c:v>148.389903</c:v>
                </c:pt>
                <c:pt idx="130">
                  <c:v>148.58429100000001</c:v>
                </c:pt>
                <c:pt idx="131">
                  <c:v>148.75955099999999</c:v>
                </c:pt>
                <c:pt idx="132">
                  <c:v>148.91717</c:v>
                </c:pt>
                <c:pt idx="133">
                  <c:v>149.058516</c:v>
                </c:pt>
                <c:pt idx="134">
                  <c:v>149.184899</c:v>
                </c:pt>
                <c:pt idx="135">
                  <c:v>149.29753199999999</c:v>
                </c:pt>
                <c:pt idx="136">
                  <c:v>149.397571</c:v>
                </c:pt>
                <c:pt idx="137">
                  <c:v>149.486085</c:v>
                </c:pt>
                <c:pt idx="138">
                  <c:v>149.564087</c:v>
                </c:pt>
                <c:pt idx="139">
                  <c:v>149.632521</c:v>
                </c:pt>
                <c:pt idx="140">
                  <c:v>149.692273</c:v>
                </c:pt>
                <c:pt idx="141">
                  <c:v>149.744169</c:v>
                </c:pt>
                <c:pt idx="142">
                  <c:v>149.78898699999999</c:v>
                </c:pt>
                <c:pt idx="143">
                  <c:v>149.82744400000001</c:v>
                </c:pt>
                <c:pt idx="144">
                  <c:v>149.860218</c:v>
                </c:pt>
                <c:pt idx="145">
                  <c:v>149.887934</c:v>
                </c:pt>
                <c:pt idx="146">
                  <c:v>149.911171</c:v>
                </c:pt>
                <c:pt idx="147">
                  <c:v>149.93047200000001</c:v>
                </c:pt>
                <c:pt idx="148">
                  <c:v>149.94632999999999</c:v>
                </c:pt>
                <c:pt idx="149">
                  <c:v>149.95920699999999</c:v>
                </c:pt>
                <c:pt idx="150">
                  <c:v>149.96952200000001</c:v>
                </c:pt>
                <c:pt idx="151">
                  <c:v>149.97765899999999</c:v>
                </c:pt>
                <c:pt idx="152">
                  <c:v>149.98396500000001</c:v>
                </c:pt>
                <c:pt idx="153">
                  <c:v>149.988754</c:v>
                </c:pt>
                <c:pt idx="154">
                  <c:v>149.99230800000001</c:v>
                </c:pt>
                <c:pt idx="155">
                  <c:v>149.994876</c:v>
                </c:pt>
                <c:pt idx="156">
                  <c:v>149.99668500000001</c:v>
                </c:pt>
                <c:pt idx="157">
                  <c:v>149.99792600000001</c:v>
                </c:pt>
                <c:pt idx="158">
                  <c:v>149.99875299999999</c:v>
                </c:pt>
                <c:pt idx="159">
                  <c:v>149.99928399999999</c:v>
                </c:pt>
                <c:pt idx="160">
                  <c:v>149.99961099999999</c:v>
                </c:pt>
                <c:pt idx="161">
                  <c:v>149.99980300000001</c:v>
                </c:pt>
                <c:pt idx="162">
                  <c:v>149.999909</c:v>
                </c:pt>
                <c:pt idx="163">
                  <c:v>149.99996200000001</c:v>
                </c:pt>
                <c:pt idx="164">
                  <c:v>149.99998600000001</c:v>
                </c:pt>
                <c:pt idx="165">
                  <c:v>149.99999600000001</c:v>
                </c:pt>
                <c:pt idx="166">
                  <c:v>149.999999</c:v>
                </c:pt>
                <c:pt idx="167">
                  <c:v>150</c:v>
                </c:pt>
                <c:pt idx="168">
                  <c:v>150</c:v>
                </c:pt>
                <c:pt idx="169">
                  <c:v>150</c:v>
                </c:pt>
                <c:pt idx="170">
                  <c:v>150</c:v>
                </c:pt>
              </c:numCache>
            </c:numRef>
          </c:xVal>
          <c:yVal>
            <c:numRef>
              <c:f>Main!$M$2:$M$172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5.0000000000000004E-6</c:v>
                </c:pt>
                <c:pt idx="9">
                  <c:v>4.3000000000000002E-5</c:v>
                </c:pt>
                <c:pt idx="10">
                  <c:v>1.3799999999999999E-4</c:v>
                </c:pt>
                <c:pt idx="11">
                  <c:v>3.2699999999999998E-4</c:v>
                </c:pt>
                <c:pt idx="12">
                  <c:v>6.5799999999999995E-4</c:v>
                </c:pt>
                <c:pt idx="13">
                  <c:v>1.191E-3</c:v>
                </c:pt>
                <c:pt idx="14">
                  <c:v>2.0089999999999999E-3</c:v>
                </c:pt>
                <c:pt idx="15">
                  <c:v>3.2109999999999999E-3</c:v>
                </c:pt>
                <c:pt idx="16">
                  <c:v>4.9160000000000002E-3</c:v>
                </c:pt>
                <c:pt idx="17">
                  <c:v>7.2550000000000002E-3</c:v>
                </c:pt>
                <c:pt idx="18">
                  <c:v>1.0376E-2</c:v>
                </c:pt>
                <c:pt idx="19">
                  <c:v>1.4445E-2</c:v>
                </c:pt>
                <c:pt idx="20">
                  <c:v>1.9646E-2</c:v>
                </c:pt>
                <c:pt idx="21">
                  <c:v>2.6179999999999998E-2</c:v>
                </c:pt>
                <c:pt idx="22">
                  <c:v>3.4269000000000001E-2</c:v>
                </c:pt>
                <c:pt idx="23">
                  <c:v>4.4156000000000001E-2</c:v>
                </c:pt>
                <c:pt idx="24">
                  <c:v>5.6104000000000001E-2</c:v>
                </c:pt>
                <c:pt idx="25">
                  <c:v>7.0397000000000001E-2</c:v>
                </c:pt>
                <c:pt idx="26">
                  <c:v>8.7345000000000006E-2</c:v>
                </c:pt>
                <c:pt idx="27">
                  <c:v>0.10728</c:v>
                </c:pt>
                <c:pt idx="28">
                  <c:v>0.13056000000000001</c:v>
                </c:pt>
                <c:pt idx="29">
                  <c:v>0.15756999999999999</c:v>
                </c:pt>
                <c:pt idx="30">
                  <c:v>0.188723</c:v>
                </c:pt>
                <c:pt idx="31">
                  <c:v>0.224464</c:v>
                </c:pt>
                <c:pt idx="32">
                  <c:v>0.265266</c:v>
                </c:pt>
                <c:pt idx="33">
                  <c:v>0.31163800000000003</c:v>
                </c:pt>
                <c:pt idx="34">
                  <c:v>0.36412499999999998</c:v>
                </c:pt>
                <c:pt idx="35">
                  <c:v>0.42330600000000002</c:v>
                </c:pt>
                <c:pt idx="36">
                  <c:v>0.48980200000000002</c:v>
                </c:pt>
                <c:pt idx="37">
                  <c:v>0.56427899999999998</c:v>
                </c:pt>
                <c:pt idx="38">
                  <c:v>0.64744299999999999</c:v>
                </c:pt>
                <c:pt idx="39">
                  <c:v>0.74005200000000004</c:v>
                </c:pt>
                <c:pt idx="40">
                  <c:v>0.84291300000000002</c:v>
                </c:pt>
                <c:pt idx="41">
                  <c:v>0.95688700000000004</c:v>
                </c:pt>
                <c:pt idx="42">
                  <c:v>1.0828960000000001</c:v>
                </c:pt>
                <c:pt idx="43">
                  <c:v>1.2217849999999999</c:v>
                </c:pt>
                <c:pt idx="44">
                  <c:v>1.374288</c:v>
                </c:pt>
                <c:pt idx="45">
                  <c:v>1.54112</c:v>
                </c:pt>
                <c:pt idx="46">
                  <c:v>1.722985</c:v>
                </c:pt>
                <c:pt idx="47">
                  <c:v>1.9205589999999999</c:v>
                </c:pt>
                <c:pt idx="48">
                  <c:v>2.1344919999999998</c:v>
                </c:pt>
                <c:pt idx="49">
                  <c:v>2.3653970000000002</c:v>
                </c:pt>
                <c:pt idx="50">
                  <c:v>2.613845</c:v>
                </c:pt>
                <c:pt idx="51">
                  <c:v>2.8803570000000001</c:v>
                </c:pt>
                <c:pt idx="52">
                  <c:v>3.1653980000000002</c:v>
                </c:pt>
                <c:pt idx="53">
                  <c:v>3.4693679999999998</c:v>
                </c:pt>
                <c:pt idx="54">
                  <c:v>3.792592</c:v>
                </c:pt>
                <c:pt idx="55">
                  <c:v>4.1353140000000002</c:v>
                </c:pt>
                <c:pt idx="56">
                  <c:v>4.4976909999999997</c:v>
                </c:pt>
                <c:pt idx="57">
                  <c:v>4.8797800000000002</c:v>
                </c:pt>
                <c:pt idx="58">
                  <c:v>5.2818529999999999</c:v>
                </c:pt>
                <c:pt idx="59">
                  <c:v>5.7044790000000001</c:v>
                </c:pt>
                <c:pt idx="60">
                  <c:v>6.1482349999999997</c:v>
                </c:pt>
                <c:pt idx="61">
                  <c:v>6.6137119999999996</c:v>
                </c:pt>
                <c:pt idx="62">
                  <c:v>7.1015069999999998</c:v>
                </c:pt>
                <c:pt idx="63">
                  <c:v>7.6122300000000003</c:v>
                </c:pt>
                <c:pt idx="64">
                  <c:v>8.1465049999999994</c:v>
                </c:pt>
                <c:pt idx="65">
                  <c:v>8.7049509999999994</c:v>
                </c:pt>
                <c:pt idx="66">
                  <c:v>9.2881979999999995</c:v>
                </c:pt>
                <c:pt idx="67">
                  <c:v>9.8968880000000006</c:v>
                </c:pt>
                <c:pt idx="68">
                  <c:v>10.531648000000001</c:v>
                </c:pt>
                <c:pt idx="69">
                  <c:v>11.193123</c:v>
                </c:pt>
                <c:pt idx="70">
                  <c:v>11.881940999999999</c:v>
                </c:pt>
                <c:pt idx="71">
                  <c:v>12.598727</c:v>
                </c:pt>
                <c:pt idx="72">
                  <c:v>13.344109</c:v>
                </c:pt>
                <c:pt idx="73">
                  <c:v>14.118688000000001</c:v>
                </c:pt>
                <c:pt idx="74">
                  <c:v>14.923054</c:v>
                </c:pt>
                <c:pt idx="75">
                  <c:v>15.757777000000001</c:v>
                </c:pt>
                <c:pt idx="76">
                  <c:v>16.623403</c:v>
                </c:pt>
                <c:pt idx="77">
                  <c:v>17.52045</c:v>
                </c:pt>
                <c:pt idx="78">
                  <c:v>18.449399</c:v>
                </c:pt>
                <c:pt idx="79">
                  <c:v>19.410693999999999</c:v>
                </c:pt>
                <c:pt idx="80">
                  <c:v>20.404733</c:v>
                </c:pt>
                <c:pt idx="81">
                  <c:v>21.431863</c:v>
                </c:pt>
                <c:pt idx="82">
                  <c:v>22.492380000000001</c:v>
                </c:pt>
                <c:pt idx="83">
                  <c:v>23.586517000000001</c:v>
                </c:pt>
                <c:pt idx="84">
                  <c:v>24.714442999999999</c:v>
                </c:pt>
                <c:pt idx="85">
                  <c:v>25.876259999999998</c:v>
                </c:pt>
                <c:pt idx="86">
                  <c:v>27.071991000000001</c:v>
                </c:pt>
                <c:pt idx="87">
                  <c:v>28.301583999999998</c:v>
                </c:pt>
                <c:pt idx="88">
                  <c:v>29.564910000000001</c:v>
                </c:pt>
                <c:pt idx="89">
                  <c:v>30.861756</c:v>
                </c:pt>
                <c:pt idx="90">
                  <c:v>32.191825000000001</c:v>
                </c:pt>
                <c:pt idx="91">
                  <c:v>33.554738</c:v>
                </c:pt>
                <c:pt idx="92">
                  <c:v>34.950035</c:v>
                </c:pt>
                <c:pt idx="93">
                  <c:v>36.377172000000002</c:v>
                </c:pt>
                <c:pt idx="94">
                  <c:v>37.835527999999996</c:v>
                </c:pt>
                <c:pt idx="95">
                  <c:v>39.324412000000002</c:v>
                </c:pt>
                <c:pt idx="96">
                  <c:v>40.843063999999998</c:v>
                </c:pt>
                <c:pt idx="97">
                  <c:v>42.390656999999997</c:v>
                </c:pt>
                <c:pt idx="98">
                  <c:v>43.96631</c:v>
                </c:pt>
                <c:pt idx="99">
                  <c:v>45.569091999999998</c:v>
                </c:pt>
                <c:pt idx="100">
                  <c:v>47.198028000000001</c:v>
                </c:pt>
                <c:pt idx="101">
                  <c:v>48.852113000000003</c:v>
                </c:pt>
                <c:pt idx="102">
                  <c:v>50.530315999999999</c:v>
                </c:pt>
                <c:pt idx="103">
                  <c:v>52.231555</c:v>
                </c:pt>
                <c:pt idx="104">
                  <c:v>53.954787000000003</c:v>
                </c:pt>
                <c:pt idx="105">
                  <c:v>55.698956000000003</c:v>
                </c:pt>
                <c:pt idx="106">
                  <c:v>57.462938999999999</c:v>
                </c:pt>
                <c:pt idx="107">
                  <c:v>59.245735000000003</c:v>
                </c:pt>
                <c:pt idx="108">
                  <c:v>61.046253999999998</c:v>
                </c:pt>
                <c:pt idx="109">
                  <c:v>62.863477000000003</c:v>
                </c:pt>
                <c:pt idx="110">
                  <c:v>64.696411999999995</c:v>
                </c:pt>
                <c:pt idx="111">
                  <c:v>66.544073999999995</c:v>
                </c:pt>
                <c:pt idx="112">
                  <c:v>68.405511000000004</c:v>
                </c:pt>
                <c:pt idx="113">
                  <c:v>70.279537000000005</c:v>
                </c:pt>
                <c:pt idx="114">
                  <c:v>72.163501999999994</c:v>
                </c:pt>
                <c:pt idx="115">
                  <c:v>74.053528</c:v>
                </c:pt>
                <c:pt idx="116">
                  <c:v>75.945605</c:v>
                </c:pt>
                <c:pt idx="117">
                  <c:v>77.835931000000002</c:v>
                </c:pt>
                <c:pt idx="118">
                  <c:v>79.720470000000006</c:v>
                </c:pt>
                <c:pt idx="119">
                  <c:v>81.595366999999996</c:v>
                </c:pt>
                <c:pt idx="120">
                  <c:v>83.456728999999996</c:v>
                </c:pt>
                <c:pt idx="121">
                  <c:v>85.300692999999995</c:v>
                </c:pt>
                <c:pt idx="122">
                  <c:v>87.123343000000006</c:v>
                </c:pt>
                <c:pt idx="123">
                  <c:v>88.920991999999998</c:v>
                </c:pt>
                <c:pt idx="124">
                  <c:v>90.689814999999996</c:v>
                </c:pt>
                <c:pt idx="125">
                  <c:v>92.426053999999993</c:v>
                </c:pt>
                <c:pt idx="126">
                  <c:v>94.126033000000007</c:v>
                </c:pt>
                <c:pt idx="127">
                  <c:v>95.786180000000002</c:v>
                </c:pt>
                <c:pt idx="128">
                  <c:v>97.403060999999994</c:v>
                </c:pt>
                <c:pt idx="129">
                  <c:v>98.975042999999999</c:v>
                </c:pt>
                <c:pt idx="130">
                  <c:v>100.50175</c:v>
                </c:pt>
                <c:pt idx="131">
                  <c:v>101.98277899999999</c:v>
                </c:pt>
                <c:pt idx="132">
                  <c:v>103.417962</c:v>
                </c:pt>
                <c:pt idx="133">
                  <c:v>104.806929</c:v>
                </c:pt>
                <c:pt idx="134">
                  <c:v>106.149542</c:v>
                </c:pt>
                <c:pt idx="135">
                  <c:v>107.44552899999999</c:v>
                </c:pt>
                <c:pt idx="136">
                  <c:v>108.69484199999999</c:v>
                </c:pt>
                <c:pt idx="137">
                  <c:v>109.897244</c:v>
                </c:pt>
                <c:pt idx="138">
                  <c:v>111.052673</c:v>
                </c:pt>
                <c:pt idx="139">
                  <c:v>112.161002</c:v>
                </c:pt>
                <c:pt idx="140">
                  <c:v>113.222165</c:v>
                </c:pt>
                <c:pt idx="141">
                  <c:v>114.236026</c:v>
                </c:pt>
                <c:pt idx="142">
                  <c:v>115.202607</c:v>
                </c:pt>
                <c:pt idx="143">
                  <c:v>116.121741</c:v>
                </c:pt>
                <c:pt idx="144">
                  <c:v>116.993472</c:v>
                </c:pt>
                <c:pt idx="145">
                  <c:v>117.817767</c:v>
                </c:pt>
                <c:pt idx="146">
                  <c:v>118.59447900000001</c:v>
                </c:pt>
                <c:pt idx="147">
                  <c:v>119.323741</c:v>
                </c:pt>
                <c:pt idx="148">
                  <c:v>120.00539499999999</c:v>
                </c:pt>
                <c:pt idx="149">
                  <c:v>120.63951400000001</c:v>
                </c:pt>
                <c:pt idx="150">
                  <c:v>121.226055</c:v>
                </c:pt>
                <c:pt idx="151">
                  <c:v>121.76501500000001</c:v>
                </c:pt>
                <c:pt idx="152">
                  <c:v>122.256405</c:v>
                </c:pt>
                <c:pt idx="153">
                  <c:v>122.70011100000001</c:v>
                </c:pt>
                <c:pt idx="154">
                  <c:v>123.096262</c:v>
                </c:pt>
                <c:pt idx="155">
                  <c:v>123.445098</c:v>
                </c:pt>
                <c:pt idx="156">
                  <c:v>123.748459</c:v>
                </c:pt>
                <c:pt idx="157">
                  <c:v>124.009519</c:v>
                </c:pt>
                <c:pt idx="158">
                  <c:v>124.231477</c:v>
                </c:pt>
                <c:pt idx="159">
                  <c:v>124.417556</c:v>
                </c:pt>
                <c:pt idx="160">
                  <c:v>124.570797</c:v>
                </c:pt>
                <c:pt idx="161">
                  <c:v>124.694548</c:v>
                </c:pt>
                <c:pt idx="162">
                  <c:v>124.791783</c:v>
                </c:pt>
                <c:pt idx="163">
                  <c:v>124.865824</c:v>
                </c:pt>
                <c:pt idx="164">
                  <c:v>124.91982400000001</c:v>
                </c:pt>
                <c:pt idx="165">
                  <c:v>124.956942</c:v>
                </c:pt>
                <c:pt idx="166">
                  <c:v>124.980345</c:v>
                </c:pt>
                <c:pt idx="167">
                  <c:v>124.993206</c:v>
                </c:pt>
                <c:pt idx="168">
                  <c:v>124.998699</c:v>
                </c:pt>
                <c:pt idx="169">
                  <c:v>125</c:v>
                </c:pt>
                <c:pt idx="170">
                  <c:v>125</c:v>
                </c:pt>
              </c:numCache>
            </c:numRef>
          </c:yVal>
          <c:smooth val="0"/>
        </c:ser>
        <c:ser>
          <c:idx val="2"/>
          <c:order val="2"/>
          <c:tx>
            <c:v>Left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Main!$S$2:$S$172</c:f>
              <c:numCache>
                <c:formatCode>General</c:formatCode>
                <c:ptCount val="171"/>
                <c:pt idx="0">
                  <c:v>-7.1019929813620781E-3</c:v>
                </c:pt>
                <c:pt idx="1">
                  <c:v>-5.5149932181833648E-3</c:v>
                </c:pt>
                <c:pt idx="2">
                  <c:v>1.0170058557107519E-3</c:v>
                </c:pt>
                <c:pt idx="3">
                  <c:v>1.5692004001367589E-2</c:v>
                </c:pt>
                <c:pt idx="4">
                  <c:v>4.1804001379926591E-2</c:v>
                </c:pt>
                <c:pt idx="5">
                  <c:v>8.2604998698033658E-2</c:v>
                </c:pt>
                <c:pt idx="6">
                  <c:v>0.14135899701583429</c:v>
                </c:pt>
                <c:pt idx="7">
                  <c:v>0.22132099680079131</c:v>
                </c:pt>
                <c:pt idx="8">
                  <c:v>0.32577298896908441</c:v>
                </c:pt>
                <c:pt idx="9">
                  <c:v>0.45797097691789018</c:v>
                </c:pt>
                <c:pt idx="10">
                  <c:v>0.62119892828600087</c:v>
                </c:pt>
                <c:pt idx="11">
                  <c:v>0.81870978846498454</c:v>
                </c:pt>
                <c:pt idx="12">
                  <c:v>1.0537804532661763</c:v>
                </c:pt>
                <c:pt idx="13">
                  <c:v>1.329690738307759</c:v>
                </c:pt>
                <c:pt idx="14">
                  <c:v>1.6497183352222762</c:v>
                </c:pt>
                <c:pt idx="15">
                  <c:v>2.0171547493707354</c:v>
                </c:pt>
                <c:pt idx="16">
                  <c:v>2.4336382425439638</c:v>
                </c:pt>
                <c:pt idx="17">
                  <c:v>2.8992067706722127</c:v>
                </c:pt>
                <c:pt idx="18">
                  <c:v>3.4138718966582022</c:v>
                </c:pt>
                <c:pt idx="19">
                  <c:v>3.9776836824733639</c:v>
                </c:pt>
                <c:pt idx="20">
                  <c:v>4.5906525881112552</c:v>
                </c:pt>
                <c:pt idx="21">
                  <c:v>5.2528273275366786</c:v>
                </c:pt>
                <c:pt idx="22">
                  <c:v>5.9642427252479528</c:v>
                </c:pt>
                <c:pt idx="23">
                  <c:v>6.7249335493172282</c:v>
                </c:pt>
                <c:pt idx="24">
                  <c:v>7.5349562968544008</c:v>
                </c:pt>
                <c:pt idx="25">
                  <c:v>8.3943559838459176</c:v>
                </c:pt>
                <c:pt idx="26">
                  <c:v>9.3031629201406325</c:v>
                </c:pt>
                <c:pt idx="27">
                  <c:v>10.261454352562088</c:v>
                </c:pt>
                <c:pt idx="28">
                  <c:v>11.269256238736503</c:v>
                </c:pt>
                <c:pt idx="29">
                  <c:v>12.326643785760453</c:v>
                </c:pt>
                <c:pt idx="30">
                  <c:v>13.433687034522707</c:v>
                </c:pt>
                <c:pt idx="31">
                  <c:v>14.5904135177417</c:v>
                </c:pt>
                <c:pt idx="32">
                  <c:v>15.796914529627783</c:v>
                </c:pt>
                <c:pt idx="33">
                  <c:v>17.053234697127188</c:v>
                </c:pt>
                <c:pt idx="34">
                  <c:v>18.359465075495173</c:v>
                </c:pt>
                <c:pt idx="35">
                  <c:v>19.715641671152927</c:v>
                </c:pt>
                <c:pt idx="36">
                  <c:v>21.121855225177306</c:v>
                </c:pt>
                <c:pt idx="37">
                  <c:v>22.57817633612812</c:v>
                </c:pt>
                <c:pt idx="38">
                  <c:v>24.084653470594208</c:v>
                </c:pt>
                <c:pt idx="39">
                  <c:v>25.641363420511727</c:v>
                </c:pt>
                <c:pt idx="40">
                  <c:v>27.248370928754923</c:v>
                </c:pt>
                <c:pt idx="41">
                  <c:v>28.90573996506436</c:v>
                </c:pt>
                <c:pt idx="42">
                  <c:v>30.613531784028947</c:v>
                </c:pt>
                <c:pt idx="43">
                  <c:v>32.370144619839046</c:v>
                </c:pt>
                <c:pt idx="44">
                  <c:v>34.172327828394486</c:v>
                </c:pt>
                <c:pt idx="45">
                  <c:v>36.016792255476958</c:v>
                </c:pt>
                <c:pt idx="46">
                  <c:v>37.900245512433663</c:v>
                </c:pt>
                <c:pt idx="47">
                  <c:v>39.819396324660801</c:v>
                </c:pt>
                <c:pt idx="48">
                  <c:v>41.770910871399224</c:v>
                </c:pt>
                <c:pt idx="49">
                  <c:v>43.75142693443189</c:v>
                </c:pt>
                <c:pt idx="50">
                  <c:v>45.757583579029365</c:v>
                </c:pt>
                <c:pt idx="51">
                  <c:v>47.785979288604068</c:v>
                </c:pt>
                <c:pt idx="52">
                  <c:v>49.833221535535181</c:v>
                </c:pt>
                <c:pt idx="53">
                  <c:v>51.895845879464233</c:v>
                </c:pt>
                <c:pt idx="54">
                  <c:v>53.970389277395277</c:v>
                </c:pt>
                <c:pt idx="55">
                  <c:v>56.05337668282769</c:v>
                </c:pt>
                <c:pt idx="56">
                  <c:v>58.141281030478119</c:v>
                </c:pt>
                <c:pt idx="57">
                  <c:v>60.2305805205933</c:v>
                </c:pt>
                <c:pt idx="58">
                  <c:v>62.319356406060088</c:v>
                </c:pt>
                <c:pt idx="59">
                  <c:v>64.407362770037821</c:v>
                </c:pt>
                <c:pt idx="60">
                  <c:v>66.494275882295682</c:v>
                </c:pt>
                <c:pt idx="61">
                  <c:v>68.579792446506701</c:v>
                </c:pt>
                <c:pt idx="62">
                  <c:v>70.663564566475713</c:v>
                </c:pt>
                <c:pt idx="63">
                  <c:v>72.745174469889719</c:v>
                </c:pt>
                <c:pt idx="64">
                  <c:v>74.824218799764125</c:v>
                </c:pt>
                <c:pt idx="65">
                  <c:v>76.900220125657484</c:v>
                </c:pt>
                <c:pt idx="66">
                  <c:v>78.972674765309179</c:v>
                </c:pt>
                <c:pt idx="67">
                  <c:v>81.04103813510676</c:v>
                </c:pt>
                <c:pt idx="68">
                  <c:v>83.104699325254344</c:v>
                </c:pt>
                <c:pt idx="69">
                  <c:v>85.16301578458598</c:v>
                </c:pt>
                <c:pt idx="70">
                  <c:v>87.215287316415271</c:v>
                </c:pt>
                <c:pt idx="71">
                  <c:v>89.26076652669876</c:v>
                </c:pt>
                <c:pt idx="72">
                  <c:v>91.298611774886211</c:v>
                </c:pt>
                <c:pt idx="73">
                  <c:v>93.327968491791296</c:v>
                </c:pt>
                <c:pt idx="74">
                  <c:v>95.347875443435854</c:v>
                </c:pt>
                <c:pt idx="75">
                  <c:v>97.357357392976823</c:v>
                </c:pt>
                <c:pt idx="76">
                  <c:v>99.355322642193627</c:v>
                </c:pt>
                <c:pt idx="77">
                  <c:v>101.34064556023478</c:v>
                </c:pt>
                <c:pt idx="78">
                  <c:v>103.3121332552594</c:v>
                </c:pt>
                <c:pt idx="79">
                  <c:v>105.26850796555816</c:v>
                </c:pt>
                <c:pt idx="80">
                  <c:v>107.2084653738561</c:v>
                </c:pt>
                <c:pt idx="81">
                  <c:v>109.13060366210189</c:v>
                </c:pt>
                <c:pt idx="82">
                  <c:v>111.03351502344361</c:v>
                </c:pt>
                <c:pt idx="83">
                  <c:v>112.91568729718621</c:v>
                </c:pt>
                <c:pt idx="84">
                  <c:v>114.77562719176402</c:v>
                </c:pt>
                <c:pt idx="85">
                  <c:v>116.61177420531709</c:v>
                </c:pt>
                <c:pt idx="86">
                  <c:v>118.42255382408725</c:v>
                </c:pt>
                <c:pt idx="87">
                  <c:v>120.20637813350174</c:v>
                </c:pt>
                <c:pt idx="88">
                  <c:v>121.96167572166377</c:v>
                </c:pt>
                <c:pt idx="89">
                  <c:v>123.6868918005248</c:v>
                </c:pt>
                <c:pt idx="90">
                  <c:v>125.38046646441447</c:v>
                </c:pt>
                <c:pt idx="91">
                  <c:v>127.04093682099997</c:v>
                </c:pt>
                <c:pt idx="92">
                  <c:v>128.66685656524675</c:v>
                </c:pt>
                <c:pt idx="93">
                  <c:v>130.25687143374071</c:v>
                </c:pt>
                <c:pt idx="94">
                  <c:v>131.80969493032259</c:v>
                </c:pt>
                <c:pt idx="95">
                  <c:v>133.32415891747047</c:v>
                </c:pt>
                <c:pt idx="96">
                  <c:v>134.79919479738834</c:v>
                </c:pt>
                <c:pt idx="97">
                  <c:v>136.23384920735961</c:v>
                </c:pt>
                <c:pt idx="98">
                  <c:v>137.62729624164339</c:v>
                </c:pt>
                <c:pt idx="99">
                  <c:v>138.97883987930939</c:v>
                </c:pt>
                <c:pt idx="100">
                  <c:v>140.28791561634651</c:v>
                </c:pt>
                <c:pt idx="101">
                  <c:v>141.55409683079779</c:v>
                </c:pt>
                <c:pt idx="102">
                  <c:v>142.77709188267156</c:v>
                </c:pt>
                <c:pt idx="103">
                  <c:v>143.95674535787447</c:v>
                </c:pt>
                <c:pt idx="104">
                  <c:v>145.09302102041718</c:v>
                </c:pt>
                <c:pt idx="105">
                  <c:v>146.18600846295675</c:v>
                </c:pt>
                <c:pt idx="106">
                  <c:v>147.23591417178162</c:v>
                </c:pt>
                <c:pt idx="107">
                  <c:v>148.24304798441048</c:v>
                </c:pt>
                <c:pt idx="108">
                  <c:v>149.2078235200178</c:v>
                </c:pt>
                <c:pt idx="109">
                  <c:v>150.13072725194556</c:v>
                </c:pt>
                <c:pt idx="110">
                  <c:v>151.01234907161847</c:v>
                </c:pt>
                <c:pt idx="111">
                  <c:v>151.85332010386395</c:v>
                </c:pt>
                <c:pt idx="112">
                  <c:v>152.65435599835794</c:v>
                </c:pt>
                <c:pt idx="113">
                  <c:v>153.41609986149615</c:v>
                </c:pt>
                <c:pt idx="114">
                  <c:v>154.13872542704786</c:v>
                </c:pt>
                <c:pt idx="115">
                  <c:v>154.82214422881609</c:v>
                </c:pt>
                <c:pt idx="116">
                  <c:v>155.46651831189794</c:v>
                </c:pt>
                <c:pt idx="117">
                  <c:v>156.07223659373491</c:v>
                </c:pt>
                <c:pt idx="118">
                  <c:v>156.63988274840531</c:v>
                </c:pt>
                <c:pt idx="119">
                  <c:v>157.17022160665968</c:v>
                </c:pt>
                <c:pt idx="120">
                  <c:v>157.66417381052995</c:v>
                </c:pt>
                <c:pt idx="121">
                  <c:v>158.12279359437446</c:v>
                </c:pt>
                <c:pt idx="122">
                  <c:v>158.54725352464351</c:v>
                </c:pt>
                <c:pt idx="123">
                  <c:v>158.93881975793897</c:v>
                </c:pt>
                <c:pt idx="124">
                  <c:v>159.29883241277409</c:v>
                </c:pt>
                <c:pt idx="125">
                  <c:v>159.62870337700269</c:v>
                </c:pt>
                <c:pt idx="126">
                  <c:v>159.92988347669504</c:v>
                </c:pt>
                <c:pt idx="127">
                  <c:v>160.20386409792272</c:v>
                </c:pt>
                <c:pt idx="128">
                  <c:v>160.45219418830553</c:v>
                </c:pt>
                <c:pt idx="129">
                  <c:v>160.67663329512607</c:v>
                </c:pt>
                <c:pt idx="130">
                  <c:v>160.87902600260341</c:v>
                </c:pt>
                <c:pt idx="131">
                  <c:v>161.06110146341936</c:v>
                </c:pt>
                <c:pt idx="132">
                  <c:v>161.22447674066572</c:v>
                </c:pt>
                <c:pt idx="133">
                  <c:v>161.3706679103575</c:v>
                </c:pt>
                <c:pt idx="134">
                  <c:v>161.50109080828881</c:v>
                </c:pt>
                <c:pt idx="135">
                  <c:v>161.61707063000091</c:v>
                </c:pt>
                <c:pt idx="136">
                  <c:v>161.71984762393302</c:v>
                </c:pt>
                <c:pt idx="137">
                  <c:v>161.81057999232218</c:v>
                </c:pt>
                <c:pt idx="138">
                  <c:v>161.89035078141845</c:v>
                </c:pt>
                <c:pt idx="139">
                  <c:v>161.96017031322353</c:v>
                </c:pt>
                <c:pt idx="140">
                  <c:v>162.02098199149376</c:v>
                </c:pt>
                <c:pt idx="141">
                  <c:v>162.07366604459435</c:v>
                </c:pt>
                <c:pt idx="142">
                  <c:v>162.11904153157525</c:v>
                </c:pt>
                <c:pt idx="143">
                  <c:v>162.15787076006143</c:v>
                </c:pt>
                <c:pt idx="144">
                  <c:v>162.19086342183229</c:v>
                </c:pt>
                <c:pt idx="145">
                  <c:v>162.21867668035486</c:v>
                </c:pt>
                <c:pt idx="146">
                  <c:v>162.24191897069971</c:v>
                </c:pt>
                <c:pt idx="147">
                  <c:v>162.26115246956886</c:v>
                </c:pt>
                <c:pt idx="148">
                  <c:v>162.27689534421191</c:v>
                </c:pt>
                <c:pt idx="149">
                  <c:v>162.28962308666925</c:v>
                </c:pt>
                <c:pt idx="150">
                  <c:v>162.29977062761816</c:v>
                </c:pt>
                <c:pt idx="151">
                  <c:v>162.30773380445544</c:v>
                </c:pt>
                <c:pt idx="152">
                  <c:v>162.3138705166875</c:v>
                </c:pt>
                <c:pt idx="153">
                  <c:v>162.31850281146228</c:v>
                </c:pt>
                <c:pt idx="154">
                  <c:v>162.32191721994468</c:v>
                </c:pt>
                <c:pt idx="155">
                  <c:v>162.32436751642479</c:v>
                </c:pt>
                <c:pt idx="156">
                  <c:v>162.32607985089399</c:v>
                </c:pt>
                <c:pt idx="157">
                  <c:v>162.32724461929899</c:v>
                </c:pt>
                <c:pt idx="158">
                  <c:v>162.32801212970475</c:v>
                </c:pt>
                <c:pt idx="159">
                  <c:v>162.32849936645351</c:v>
                </c:pt>
                <c:pt idx="160">
                  <c:v>162.32879518814622</c:v>
                </c:pt>
                <c:pt idx="161">
                  <c:v>162.32896510850679</c:v>
                </c:pt>
                <c:pt idx="162">
                  <c:v>162.32905633064868</c:v>
                </c:pt>
                <c:pt idx="163">
                  <c:v>162.32910112964328</c:v>
                </c:pt>
                <c:pt idx="164">
                  <c:v>162.32912067863717</c:v>
                </c:pt>
                <c:pt idx="165">
                  <c:v>162.32912793195729</c:v>
                </c:pt>
                <c:pt idx="166">
                  <c:v>162.32913002715975</c:v>
                </c:pt>
                <c:pt idx="167">
                  <c:v>162.32913043005516</c:v>
                </c:pt>
                <c:pt idx="168">
                  <c:v>162.32913046431983</c:v>
                </c:pt>
                <c:pt idx="169">
                  <c:v>162.32913046492874</c:v>
                </c:pt>
                <c:pt idx="170">
                  <c:v>162.32913046492874</c:v>
                </c:pt>
              </c:numCache>
            </c:numRef>
          </c:xVal>
          <c:yVal>
            <c:numRef>
              <c:f>Main!$T$2:$T$172</c:f>
              <c:numCache>
                <c:formatCode>General</c:formatCode>
                <c:ptCount val="171"/>
                <c:pt idx="0">
                  <c:v>-12.999998060065074</c:v>
                </c:pt>
                <c:pt idx="1">
                  <c:v>-12.999998927054525</c:v>
                </c:pt>
                <c:pt idx="2">
                  <c:v>-13.000002405358858</c:v>
                </c:pt>
                <c:pt idx="3">
                  <c:v>-13.000009782566408</c:v>
                </c:pt>
                <c:pt idx="4">
                  <c:v>-13.000021482313588</c:v>
                </c:pt>
                <c:pt idx="5">
                  <c:v>-13.000036272081498</c:v>
                </c:pt>
                <c:pt idx="6">
                  <c:v>-13.000050314771395</c:v>
                </c:pt>
                <c:pt idx="7">
                  <c:v>-13.000056040168083</c:v>
                </c:pt>
                <c:pt idx="8">
                  <c:v>-13.000040583396293</c:v>
                </c:pt>
                <c:pt idx="9">
                  <c:v>-12.999984244224516</c:v>
                </c:pt>
                <c:pt idx="10">
                  <c:v>-12.999858357463056</c:v>
                </c:pt>
                <c:pt idx="11">
                  <c:v>-12.999623473020089</c:v>
                </c:pt>
                <c:pt idx="12">
                  <c:v>-12.999226652863971</c:v>
                </c:pt>
                <c:pt idx="13">
                  <c:v>-12.998598727669442</c:v>
                </c:pt>
                <c:pt idx="14">
                  <c:v>-12.997651301799264</c:v>
                </c:pt>
                <c:pt idx="15">
                  <c:v>-12.996273076732793</c:v>
                </c:pt>
                <c:pt idx="16">
                  <c:v>-12.994335872118823</c:v>
                </c:pt>
                <c:pt idx="17">
                  <c:v>-12.991698576593601</c:v>
                </c:pt>
                <c:pt idx="18">
                  <c:v>-12.988202967639507</c:v>
                </c:pt>
                <c:pt idx="19">
                  <c:v>-12.983671473365149</c:v>
                </c:pt>
                <c:pt idx="20">
                  <c:v>-12.977908651702116</c:v>
                </c:pt>
                <c:pt idx="21">
                  <c:v>-12.970698450790275</c:v>
                </c:pt>
                <c:pt idx="22">
                  <c:v>-12.9618044617478</c:v>
                </c:pt>
                <c:pt idx="23">
                  <c:v>-12.950969199650183</c:v>
                </c:pt>
                <c:pt idx="24">
                  <c:v>-12.937911553240507</c:v>
                </c:pt>
                <c:pt idx="25">
                  <c:v>-12.92232698204047</c:v>
                </c:pt>
                <c:pt idx="26">
                  <c:v>-12.903887731442879</c:v>
                </c:pt>
                <c:pt idx="27">
                  <c:v>-12.882237231022586</c:v>
                </c:pt>
                <c:pt idx="28">
                  <c:v>-12.856994470327269</c:v>
                </c:pt>
                <c:pt idx="29">
                  <c:v>-12.827747064243201</c:v>
                </c:pt>
                <c:pt idx="30">
                  <c:v>-12.79405080299669</c:v>
                </c:pt>
                <c:pt idx="31">
                  <c:v>-12.755432810303637</c:v>
                </c:pt>
                <c:pt idx="32">
                  <c:v>-12.711381526932939</c:v>
                </c:pt>
                <c:pt idx="33">
                  <c:v>-12.661351854952532</c:v>
                </c:pt>
                <c:pt idx="34">
                  <c:v>-12.604755448832403</c:v>
                </c:pt>
                <c:pt idx="35">
                  <c:v>-12.54096774353952</c:v>
                </c:pt>
                <c:pt idx="36">
                  <c:v>-12.469315153070504</c:v>
                </c:pt>
                <c:pt idx="37">
                  <c:v>-12.389077083013454</c:v>
                </c:pt>
                <c:pt idx="38">
                  <c:v>-12.299485589281719</c:v>
                </c:pt>
                <c:pt idx="39">
                  <c:v>-12.199715961117388</c:v>
                </c:pt>
                <c:pt idx="40">
                  <c:v>-12.088886044465495</c:v>
                </c:pt>
                <c:pt idx="41">
                  <c:v>-11.966051186811843</c:v>
                </c:pt>
                <c:pt idx="42">
                  <c:v>-11.830199573824371</c:v>
                </c:pt>
                <c:pt idx="43">
                  <c:v>-11.680399076543655</c:v>
                </c:pt>
                <c:pt idx="44">
                  <c:v>-11.515840972798602</c:v>
                </c:pt>
                <c:pt idx="45">
                  <c:v>-11.335729544037866</c:v>
                </c:pt>
                <c:pt idx="46">
                  <c:v>-11.139282576072574</c:v>
                </c:pt>
                <c:pt idx="47">
                  <c:v>-10.925733854252973</c:v>
                </c:pt>
                <c:pt idx="48">
                  <c:v>-10.694346780333127</c:v>
                </c:pt>
                <c:pt idx="49">
                  <c:v>-10.444421125060156</c:v>
                </c:pt>
                <c:pt idx="50">
                  <c:v>-10.175293533796602</c:v>
                </c:pt>
                <c:pt idx="51">
                  <c:v>-9.8863527314777002</c:v>
                </c:pt>
                <c:pt idx="52">
                  <c:v>-9.5770353699647472</c:v>
                </c:pt>
                <c:pt idx="53">
                  <c:v>-9.2468541477273316</c:v>
                </c:pt>
                <c:pt idx="54">
                  <c:v>-8.895392694345329</c:v>
                </c:pt>
                <c:pt idx="55">
                  <c:v>-8.522314013219404</c:v>
                </c:pt>
                <c:pt idx="56">
                  <c:v>-8.127382903056878</c:v>
                </c:pt>
                <c:pt idx="57">
                  <c:v>-7.710461548535096</c:v>
                </c:pt>
                <c:pt idx="58">
                  <c:v>-7.2711709093149803</c:v>
                </c:pt>
                <c:pt idx="59">
                  <c:v>-6.8087871288882553</c:v>
                </c:pt>
                <c:pt idx="60">
                  <c:v>-6.3225821960646016</c:v>
                </c:pt>
                <c:pt idx="61">
                  <c:v>-5.8117946441369615</c:v>
                </c:pt>
                <c:pt idx="62">
                  <c:v>-5.2756454662496965</c:v>
                </c:pt>
                <c:pt idx="63">
                  <c:v>-4.7133520574930632</c:v>
                </c:pt>
                <c:pt idx="64">
                  <c:v>-4.1240986458955415</c:v>
                </c:pt>
                <c:pt idx="65">
                  <c:v>-3.5070658043611669</c:v>
                </c:pt>
                <c:pt idx="66">
                  <c:v>-2.8614163327651472</c:v>
                </c:pt>
                <c:pt idx="67">
                  <c:v>-2.1862995580063238</c:v>
                </c:pt>
                <c:pt idx="68">
                  <c:v>-1.4808647183630654</c:v>
                </c:pt>
                <c:pt idx="69">
                  <c:v>-0.74424890446406167</c:v>
                </c:pt>
                <c:pt idx="70">
                  <c:v>2.4411352977969258E-2</c:v>
                </c:pt>
                <c:pt idx="71">
                  <c:v>0.82598237949970077</c:v>
                </c:pt>
                <c:pt idx="72">
                  <c:v>1.6613044805193518</c:v>
                </c:pt>
                <c:pt idx="73">
                  <c:v>2.5312278636740615</c:v>
                </c:pt>
                <c:pt idx="74">
                  <c:v>3.4365617272685398</c:v>
                </c:pt>
                <c:pt idx="75">
                  <c:v>4.3781170479656257</c:v>
                </c:pt>
                <c:pt idx="76">
                  <c:v>5.3566449503685956</c:v>
                </c:pt>
                <c:pt idx="77">
                  <c:v>6.3728718493975549</c:v>
                </c:pt>
                <c:pt idx="78">
                  <c:v>7.4274761968484011</c:v>
                </c:pt>
                <c:pt idx="79">
                  <c:v>8.5210644262679924</c:v>
                </c:pt>
                <c:pt idx="80">
                  <c:v>9.6541991804029461</c:v>
                </c:pt>
                <c:pt idx="81">
                  <c:v>10.827340433088718</c:v>
                </c:pt>
                <c:pt idx="82">
                  <c:v>12.04089664858388</c:v>
                </c:pt>
                <c:pt idx="83">
                  <c:v>13.295139580808273</c:v>
                </c:pt>
                <c:pt idx="84">
                  <c:v>14.590281247668216</c:v>
                </c:pt>
                <c:pt idx="85">
                  <c:v>15.926397450815957</c:v>
                </c:pt>
                <c:pt idx="86">
                  <c:v>17.303449226156687</c:v>
                </c:pt>
                <c:pt idx="87">
                  <c:v>18.721268096852196</c:v>
                </c:pt>
                <c:pt idx="88">
                  <c:v>20.17956886959518</c:v>
                </c:pt>
                <c:pt idx="89">
                  <c:v>21.677938560496717</c:v>
                </c:pt>
                <c:pt idx="90">
                  <c:v>23.215792658433937</c:v>
                </c:pt>
                <c:pt idx="91">
                  <c:v>24.792467778743259</c:v>
                </c:pt>
                <c:pt idx="92">
                  <c:v>26.407129432457296</c:v>
                </c:pt>
                <c:pt idx="93">
                  <c:v>28.058837927357075</c:v>
                </c:pt>
                <c:pt idx="94">
                  <c:v>29.746512686537315</c:v>
                </c:pt>
                <c:pt idx="95">
                  <c:v>31.468987424876037</c:v>
                </c:pt>
                <c:pt idx="96">
                  <c:v>33.224987881476245</c:v>
                </c:pt>
                <c:pt idx="97">
                  <c:v>35.013148558973285</c:v>
                </c:pt>
                <c:pt idx="98">
                  <c:v>36.832032250273279</c:v>
                </c:pt>
                <c:pt idx="99">
                  <c:v>38.68014027097653</c:v>
                </c:pt>
                <c:pt idx="100">
                  <c:v>40.555922689734587</c:v>
                </c:pt>
                <c:pt idx="101">
                  <c:v>42.457800410074839</c:v>
                </c:pt>
                <c:pt idx="102">
                  <c:v>44.38417684020439</c:v>
                </c:pt>
                <c:pt idx="103">
                  <c:v>46.333461199308246</c:v>
                </c:pt>
                <c:pt idx="104">
                  <c:v>48.304056076332984</c:v>
                </c:pt>
                <c:pt idx="105">
                  <c:v>50.294390352280459</c:v>
                </c:pt>
                <c:pt idx="106">
                  <c:v>52.302929793675325</c:v>
                </c:pt>
                <c:pt idx="107">
                  <c:v>54.328174092801639</c:v>
                </c:pt>
                <c:pt idx="108">
                  <c:v>56.368689363811406</c:v>
                </c:pt>
                <c:pt idx="109">
                  <c:v>58.423053652294278</c:v>
                </c:pt>
                <c:pt idx="110">
                  <c:v>60.489973582227833</c:v>
                </c:pt>
                <c:pt idx="111">
                  <c:v>62.568142357833203</c:v>
                </c:pt>
                <c:pt idx="112">
                  <c:v>64.656391277328567</c:v>
                </c:pt>
                <c:pt idx="113">
                  <c:v>66.75326162180869</c:v>
                </c:pt>
                <c:pt idx="114">
                  <c:v>68.855725145071546</c:v>
                </c:pt>
                <c:pt idx="115">
                  <c:v>70.959392237675587</c:v>
                </c:pt>
                <c:pt idx="116">
                  <c:v>73.05992176015323</c:v>
                </c:pt>
                <c:pt idx="117">
                  <c:v>75.153040445225031</c:v>
                </c:pt>
                <c:pt idx="118">
                  <c:v>77.23451053724942</c:v>
                </c:pt>
                <c:pt idx="119">
                  <c:v>79.300169437130904</c:v>
                </c:pt>
                <c:pt idx="120">
                  <c:v>81.345923165461812</c:v>
                </c:pt>
                <c:pt idx="121">
                  <c:v>83.367737568073977</c:v>
                </c:pt>
                <c:pt idx="122">
                  <c:v>85.361672808285462</c:v>
                </c:pt>
                <c:pt idx="123">
                  <c:v>87.323859302498249</c:v>
                </c:pt>
                <c:pt idx="124">
                  <c:v>89.250446255127954</c:v>
                </c:pt>
                <c:pt idx="125">
                  <c:v>91.137721340172135</c:v>
                </c:pt>
                <c:pt idx="126">
                  <c:v>92.98196576590567</c:v>
                </c:pt>
                <c:pt idx="127">
                  <c:v>94.7795739614822</c:v>
                </c:pt>
                <c:pt idx="128">
                  <c:v>96.527257294992879</c:v>
                </c:pt>
                <c:pt idx="129">
                  <c:v>98.223513663860587</c:v>
                </c:pt>
                <c:pt idx="130">
                  <c:v>99.868238126793571</c:v>
                </c:pt>
                <c:pt idx="131">
                  <c:v>101.46138617153018</c:v>
                </c:pt>
                <c:pt idx="132">
                  <c:v>103.00290569823726</c:v>
                </c:pt>
                <c:pt idx="133">
                  <c:v>104.49281270455408</c:v>
                </c:pt>
                <c:pt idx="134">
                  <c:v>105.93111472122702</c:v>
                </c:pt>
                <c:pt idx="135">
                  <c:v>107.31782639713978</c:v>
                </c:pt>
                <c:pt idx="136">
                  <c:v>108.653001945089</c:v>
                </c:pt>
                <c:pt idx="137">
                  <c:v>109.93667687655943</c:v>
                </c:pt>
                <c:pt idx="138">
                  <c:v>111.16892312674361</c:v>
                </c:pt>
                <c:pt idx="139">
                  <c:v>112.34980352963159</c:v>
                </c:pt>
                <c:pt idx="140">
                  <c:v>113.47937147728513</c:v>
                </c:pt>
                <c:pt idx="141">
                  <c:v>114.55770400115385</c:v>
                </c:pt>
                <c:pt idx="142">
                  <c:v>115.58489306173007</c:v>
                </c:pt>
                <c:pt idx="143">
                  <c:v>116.56097486624553</c:v>
                </c:pt>
                <c:pt idx="144">
                  <c:v>117.48603356079727</c:v>
                </c:pt>
                <c:pt idx="145">
                  <c:v>118.36016107042823</c:v>
                </c:pt>
                <c:pt idx="146">
                  <c:v>119.18340294546179</c:v>
                </c:pt>
                <c:pt idx="147">
                  <c:v>119.95585245548293</c:v>
                </c:pt>
                <c:pt idx="148">
                  <c:v>120.67753970805235</c:v>
                </c:pt>
                <c:pt idx="149">
                  <c:v>121.34856496402341</c:v>
                </c:pt>
                <c:pt idx="150">
                  <c:v>121.96895294244729</c:v>
                </c:pt>
                <c:pt idx="151">
                  <c:v>122.53878627632402</c:v>
                </c:pt>
                <c:pt idx="152">
                  <c:v>123.05810799879802</c:v>
                </c:pt>
                <c:pt idx="153">
                  <c:v>123.52695010020318</c:v>
                </c:pt>
                <c:pt idx="154">
                  <c:v>123.94537515892937</c:v>
                </c:pt>
                <c:pt idx="155">
                  <c:v>124.3137170019957</c:v>
                </c:pt>
                <c:pt idx="156">
                  <c:v>124.63397841980667</c:v>
                </c:pt>
                <c:pt idx="157">
                  <c:v>124.9095539553836</c:v>
                </c:pt>
                <c:pt idx="158">
                  <c:v>125.14382469637822</c:v>
                </c:pt>
                <c:pt idx="159">
                  <c:v>125.34013309069285</c:v>
                </c:pt>
                <c:pt idx="160">
                  <c:v>125.50184981955682</c:v>
                </c:pt>
                <c:pt idx="161">
                  <c:v>125.63235670863892</c:v>
                </c:pt>
                <c:pt idx="162">
                  <c:v>125.73497166794832</c:v>
                </c:pt>
                <c:pt idx="163">
                  <c:v>125.81308965503885</c:v>
                </c:pt>
                <c:pt idx="164">
                  <c:v>125.87004065165895</c:v>
                </c:pt>
                <c:pt idx="165">
                  <c:v>125.90916965097878</c:v>
                </c:pt>
                <c:pt idx="166">
                  <c:v>125.9338456508878</c:v>
                </c:pt>
                <c:pt idx="167">
                  <c:v>125.94739965088151</c:v>
                </c:pt>
                <c:pt idx="168">
                  <c:v>125.95318665088136</c:v>
                </c:pt>
                <c:pt idx="169">
                  <c:v>125.95455265088138</c:v>
                </c:pt>
                <c:pt idx="170">
                  <c:v>125.95455265088138</c:v>
                </c:pt>
              </c:numCache>
            </c:numRef>
          </c:yVal>
          <c:smooth val="0"/>
        </c:ser>
        <c:ser>
          <c:idx val="3"/>
          <c:order val="3"/>
          <c:tx>
            <c:v>Right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Main!$V$2:$V$172</c:f>
              <c:numCache>
                <c:formatCode>General</c:formatCode>
                <c:ptCount val="171"/>
                <c:pt idx="0">
                  <c:v>7.1019929813620781E-3</c:v>
                </c:pt>
                <c:pt idx="1">
                  <c:v>8.6889927445407914E-3</c:v>
                </c:pt>
                <c:pt idx="2">
                  <c:v>1.4856991871368292E-2</c:v>
                </c:pt>
                <c:pt idx="3">
                  <c:v>2.8751990121427429E-2</c:v>
                </c:pt>
                <c:pt idx="4">
                  <c:v>5.3433987661342462E-2</c:v>
                </c:pt>
                <c:pt idx="5">
                  <c:v>9.1998985162902433E-2</c:v>
                </c:pt>
                <c:pt idx="6">
                  <c:v>0.14752898362716735</c:v>
                </c:pt>
                <c:pt idx="7">
                  <c:v>0.22312298346860487</c:v>
                </c:pt>
                <c:pt idx="8">
                  <c:v>0.32184698898400382</c:v>
                </c:pt>
                <c:pt idx="9">
                  <c:v>0.44679097726242051</c:v>
                </c:pt>
                <c:pt idx="10">
                  <c:v>0.60102293031091802</c:v>
                </c:pt>
                <c:pt idx="11">
                  <c:v>0.7876397958597734</c:v>
                </c:pt>
                <c:pt idx="12">
                  <c:v>1.0097104743685419</c:v>
                </c:pt>
                <c:pt idx="13">
                  <c:v>1.270306789938729</c:v>
                </c:pt>
                <c:pt idx="14">
                  <c:v>1.5724984487472091</c:v>
                </c:pt>
                <c:pt idx="15">
                  <c:v>1.9193429800869748</c:v>
                </c:pt>
                <c:pt idx="16">
                  <c:v>2.3123746821840161</c:v>
                </c:pt>
                <c:pt idx="17">
                  <c:v>2.7515535643368008</c:v>
                </c:pt>
                <c:pt idx="18">
                  <c:v>3.23686526400832</c:v>
                </c:pt>
                <c:pt idx="19">
                  <c:v>3.7682559472080044</c:v>
                </c:pt>
                <c:pt idx="20">
                  <c:v>4.3457102114687194</c:v>
                </c:pt>
                <c:pt idx="21">
                  <c:v>4.9691729547549954</c:v>
                </c:pt>
                <c:pt idx="22">
                  <c:v>5.6386012396057144</c:v>
                </c:pt>
                <c:pt idx="23">
                  <c:v>6.3539521385217839</c:v>
                </c:pt>
                <c:pt idx="24">
                  <c:v>7.1151525396743507</c:v>
                </c:pt>
                <c:pt idx="25">
                  <c:v>7.922143948209551</c:v>
                </c:pt>
                <c:pt idx="26">
                  <c:v>8.7748792768226984</c:v>
                </c:pt>
                <c:pt idx="27">
                  <c:v>9.6732545378876278</c:v>
                </c:pt>
                <c:pt idx="28">
                  <c:v>10.617218605179112</c:v>
                </c:pt>
                <c:pt idx="29">
                  <c:v>11.606665832741804</c:v>
                </c:pt>
                <c:pt idx="30">
                  <c:v>12.641485662713668</c:v>
                </c:pt>
                <c:pt idx="31">
                  <c:v>13.721603286684088</c:v>
                </c:pt>
                <c:pt idx="32">
                  <c:v>14.846878065458666</c:v>
                </c:pt>
                <c:pt idx="33">
                  <c:v>16.017201065538579</c:v>
                </c:pt>
                <c:pt idx="34">
                  <c:v>17.232406347467823</c:v>
                </c:pt>
                <c:pt idx="35">
                  <c:v>18.492377418765695</c:v>
                </c:pt>
                <c:pt idx="36">
                  <c:v>19.796923329357909</c:v>
                </c:pt>
                <c:pt idx="37">
                  <c:v>21.145859795079264</c:v>
                </c:pt>
                <c:pt idx="38">
                  <c:v>22.539007321549068</c:v>
                </c:pt>
                <c:pt idx="39">
                  <c:v>23.976137996026306</c:v>
                </c:pt>
                <c:pt idx="40">
                  <c:v>25.457013223082278</c:v>
                </c:pt>
                <c:pt idx="41">
                  <c:v>26.981369296226585</c:v>
                </c:pt>
                <c:pt idx="42">
                  <c:v>28.548915765301398</c:v>
                </c:pt>
                <c:pt idx="43">
                  <c:v>30.157830930437363</c:v>
                </c:pt>
                <c:pt idx="44">
                  <c:v>31.804750109486889</c:v>
                </c:pt>
                <c:pt idx="45">
                  <c:v>33.486324268331856</c:v>
                </c:pt>
                <c:pt idx="46">
                  <c:v>35.199177831389228</c:v>
                </c:pt>
                <c:pt idx="47">
                  <c:v>36.93991339633601</c:v>
                </c:pt>
                <c:pt idx="48">
                  <c:v>38.705145947855002</c:v>
                </c:pt>
                <c:pt idx="49">
                  <c:v>40.491491331569279</c:v>
                </c:pt>
                <c:pt idx="50">
                  <c:v>42.295544601667011</c:v>
                </c:pt>
                <c:pt idx="51">
                  <c:v>44.113915848749926</c:v>
                </c:pt>
                <c:pt idx="52">
                  <c:v>45.943176998198901</c:v>
                </c:pt>
                <c:pt idx="53">
                  <c:v>47.779961302420332</c:v>
                </c:pt>
                <c:pt idx="54">
                  <c:v>49.62088230435031</c:v>
                </c:pt>
                <c:pt idx="55">
                  <c:v>51.462546501827674</c:v>
                </c:pt>
                <c:pt idx="56">
                  <c:v>53.301615817068175</c:v>
                </c:pt>
                <c:pt idx="57">
                  <c:v>55.134736712074108</c:v>
                </c:pt>
                <c:pt idx="58">
                  <c:v>56.960062064548545</c:v>
                </c:pt>
                <c:pt idx="59">
                  <c:v>58.777144607551996</c:v>
                </c:pt>
                <c:pt idx="60">
                  <c:v>60.585569913334602</c:v>
                </c:pt>
                <c:pt idx="61">
                  <c:v>62.384852171887331</c:v>
                </c:pt>
                <c:pt idx="62">
                  <c:v>64.174497288075372</c:v>
                </c:pt>
                <c:pt idx="63">
                  <c:v>65.954028448222687</c:v>
                </c:pt>
                <c:pt idx="64">
                  <c:v>67.72289510716017</c:v>
                </c:pt>
                <c:pt idx="65">
                  <c:v>69.48056172766556</c:v>
                </c:pt>
                <c:pt idx="66">
                  <c:v>71.226456111872679</c:v>
                </c:pt>
                <c:pt idx="67">
                  <c:v>72.95998114853063</c:v>
                </c:pt>
                <c:pt idx="68">
                  <c:v>74.680539880331153</c:v>
                </c:pt>
                <c:pt idx="69">
                  <c:v>76.387496911986972</c:v>
                </c:pt>
                <c:pt idx="70">
                  <c:v>78.080203035272831</c:v>
                </c:pt>
                <c:pt idx="71">
                  <c:v>79.757982213094365</c:v>
                </c:pt>
                <c:pt idx="72">
                  <c:v>81.420182153211215</c:v>
                </c:pt>
                <c:pt idx="73">
                  <c:v>83.066086668221288</c:v>
                </c:pt>
                <c:pt idx="74">
                  <c:v>84.695015382439081</c:v>
                </c:pt>
                <c:pt idx="75">
                  <c:v>86.306225032290044</c:v>
                </c:pt>
                <c:pt idx="76">
                  <c:v>87.899020943817519</c:v>
                </c:pt>
                <c:pt idx="77">
                  <c:v>89.47267275152268</c:v>
                </c:pt>
                <c:pt idx="78">
                  <c:v>91.026451503773956</c:v>
                </c:pt>
                <c:pt idx="79">
                  <c:v>92.559655789707207</c:v>
                </c:pt>
                <c:pt idx="80">
                  <c:v>94.071553358969837</c:v>
                </c:pt>
                <c:pt idx="81">
                  <c:v>95.561466518317047</c:v>
                </c:pt>
                <c:pt idx="82">
                  <c:v>97.028680075491764</c:v>
                </c:pt>
                <c:pt idx="83">
                  <c:v>98.472560962069153</c:v>
                </c:pt>
                <c:pt idx="84">
                  <c:v>99.892434026534403</c:v>
                </c:pt>
                <c:pt idx="85">
                  <c:v>101.28768756953588</c:v>
                </c:pt>
                <c:pt idx="86">
                  <c:v>102.65773214286564</c:v>
                </c:pt>
                <c:pt idx="87">
                  <c:v>104.00201528078597</c:v>
                </c:pt>
                <c:pt idx="88">
                  <c:v>105.32000295582111</c:v>
                </c:pt>
                <c:pt idx="89">
                  <c:v>106.61119384370978</c:v>
                </c:pt>
                <c:pt idx="90">
                  <c:v>107.87516688748684</c:v>
                </c:pt>
                <c:pt idx="91">
                  <c:v>109.11147929101685</c:v>
                </c:pt>
                <c:pt idx="92">
                  <c:v>110.31977381578913</c:v>
                </c:pt>
                <c:pt idx="93">
                  <c:v>111.49971166218083</c:v>
                </c:pt>
                <c:pt idx="94">
                  <c:v>112.65101619101628</c:v>
                </c:pt>
                <c:pt idx="95">
                  <c:v>113.77342721402056</c:v>
                </c:pt>
                <c:pt idx="96">
                  <c:v>114.86673276084052</c:v>
                </c:pt>
                <c:pt idx="97">
                  <c:v>115.93076291338259</c:v>
                </c:pt>
                <c:pt idx="98">
                  <c:v>116.96538328122216</c:v>
                </c:pt>
                <c:pt idx="99">
                  <c:v>117.97049730150579</c:v>
                </c:pt>
                <c:pt idx="100">
                  <c:v>118.94604835421191</c:v>
                </c:pt>
                <c:pt idx="101">
                  <c:v>119.89201283209047</c:v>
                </c:pt>
                <c:pt idx="102">
                  <c:v>120.80840127181685</c:v>
                </c:pt>
                <c:pt idx="103">
                  <c:v>121.69525076570102</c:v>
                </c:pt>
                <c:pt idx="104">
                  <c:v>122.55264129876215</c:v>
                </c:pt>
                <c:pt idx="105">
                  <c:v>123.38068057954467</c:v>
                </c:pt>
                <c:pt idx="106">
                  <c:v>124.17950332443743</c:v>
                </c:pt>
                <c:pt idx="107">
                  <c:v>124.9492777142023</c:v>
                </c:pt>
                <c:pt idx="108">
                  <c:v>125.69018990968006</c:v>
                </c:pt>
                <c:pt idx="109">
                  <c:v>126.40247720578148</c:v>
                </c:pt>
                <c:pt idx="110">
                  <c:v>127.08636649664281</c:v>
                </c:pt>
                <c:pt idx="111">
                  <c:v>127.74214864304867</c:v>
                </c:pt>
                <c:pt idx="112">
                  <c:v>128.37010301663284</c:v>
                </c:pt>
                <c:pt idx="113">
                  <c:v>128.97047470464582</c:v>
                </c:pt>
                <c:pt idx="114">
                  <c:v>129.54309359299953</c:v>
                </c:pt>
                <c:pt idx="115">
                  <c:v>130.0875825134427</c:v>
                </c:pt>
                <c:pt idx="116">
                  <c:v>130.60373787819756</c:v>
                </c:pt>
                <c:pt idx="117">
                  <c:v>131.09151947194945</c:v>
                </c:pt>
                <c:pt idx="118">
                  <c:v>131.55105165173651</c:v>
                </c:pt>
                <c:pt idx="119">
                  <c:v>131.9826033646431</c:v>
                </c:pt>
                <c:pt idx="120">
                  <c:v>132.38657873736244</c:v>
                </c:pt>
                <c:pt idx="121">
                  <c:v>132.76350798641556</c:v>
                </c:pt>
                <c:pt idx="122">
                  <c:v>133.11402648908876</c:v>
                </c:pt>
                <c:pt idx="123">
                  <c:v>133.43886814516196</c:v>
                </c:pt>
                <c:pt idx="124">
                  <c:v>133.73886881369978</c:v>
                </c:pt>
                <c:pt idx="125">
                  <c:v>134.01492152715576</c:v>
                </c:pt>
                <c:pt idx="126">
                  <c:v>134.26800039349453</c:v>
                </c:pt>
                <c:pt idx="127">
                  <c:v>134.49912140336633</c:v>
                </c:pt>
                <c:pt idx="128">
                  <c:v>134.70938806003076</c:v>
                </c:pt>
                <c:pt idx="129">
                  <c:v>134.90009511933818</c:v>
                </c:pt>
                <c:pt idx="130">
                  <c:v>135.07264637560704</c:v>
                </c:pt>
                <c:pt idx="131">
                  <c:v>135.2283654701333</c:v>
                </c:pt>
                <c:pt idx="132">
                  <c:v>135.36851152455509</c:v>
                </c:pt>
                <c:pt idx="133">
                  <c:v>135.49426857206731</c:v>
                </c:pt>
                <c:pt idx="134">
                  <c:v>135.60675795748969</c:v>
                </c:pt>
                <c:pt idx="135">
                  <c:v>135.7070409711817</c:v>
                </c:pt>
                <c:pt idx="136">
                  <c:v>135.79611513194365</c:v>
                </c:pt>
                <c:pt idx="137">
                  <c:v>135.87492372443319</c:v>
                </c:pt>
                <c:pt idx="138">
                  <c:v>135.9443521682758</c:v>
                </c:pt>
                <c:pt idx="139">
                  <c:v>136.00523455159973</c:v>
                </c:pt>
                <c:pt idx="140">
                  <c:v>136.05835681747615</c:v>
                </c:pt>
                <c:pt idx="141">
                  <c:v>136.10445437549032</c:v>
                </c:pt>
                <c:pt idx="142">
                  <c:v>136.1442149950804</c:v>
                </c:pt>
                <c:pt idx="143">
                  <c:v>136.17828746469206</c:v>
                </c:pt>
                <c:pt idx="144">
                  <c:v>136.20727479626365</c:v>
                </c:pt>
                <c:pt idx="145">
                  <c:v>136.23173777764896</c:v>
                </c:pt>
                <c:pt idx="146">
                  <c:v>136.25220100378431</c:v>
                </c:pt>
                <c:pt idx="147">
                  <c:v>136.26914843523275</c:v>
                </c:pt>
                <c:pt idx="148">
                  <c:v>136.28303097059327</c:v>
                </c:pt>
                <c:pt idx="149">
                  <c:v>136.29426045328401</c:v>
                </c:pt>
                <c:pt idx="150">
                  <c:v>136.30321788232789</c:v>
                </c:pt>
                <c:pt idx="151">
                  <c:v>136.31024886574062</c:v>
                </c:pt>
                <c:pt idx="152">
                  <c:v>136.31566785321652</c:v>
                </c:pt>
                <c:pt idx="153">
                  <c:v>136.31975854945262</c:v>
                </c:pt>
                <c:pt idx="154">
                  <c:v>136.32277316513955</c:v>
                </c:pt>
                <c:pt idx="155">
                  <c:v>136.32493591160716</c:v>
                </c:pt>
                <c:pt idx="156">
                  <c:v>136.32644672063887</c:v>
                </c:pt>
                <c:pt idx="157">
                  <c:v>136.32747364714163</c:v>
                </c:pt>
                <c:pt idx="158">
                  <c:v>136.32814955422072</c:v>
                </c:pt>
                <c:pt idx="159">
                  <c:v>136.32857812209846</c:v>
                </c:pt>
                <c:pt idx="160">
                  <c:v>136.32883788700389</c:v>
                </c:pt>
                <c:pt idx="161">
                  <c:v>136.32898668572091</c:v>
                </c:pt>
                <c:pt idx="162">
                  <c:v>136.32906635960151</c:v>
                </c:pt>
                <c:pt idx="163">
                  <c:v>136.32910528437014</c:v>
                </c:pt>
                <c:pt idx="164">
                  <c:v>136.32912215789892</c:v>
                </c:pt>
                <c:pt idx="165">
                  <c:v>136.32912835938956</c:v>
                </c:pt>
                <c:pt idx="166">
                  <c:v>136.32913011526989</c:v>
                </c:pt>
                <c:pt idx="167">
                  <c:v>136.32913044048644</c:v>
                </c:pt>
                <c:pt idx="168">
                  <c:v>136.32913046468869</c:v>
                </c:pt>
                <c:pt idx="169">
                  <c:v>136.3291304649301</c:v>
                </c:pt>
                <c:pt idx="170">
                  <c:v>136.3291304649301</c:v>
                </c:pt>
              </c:numCache>
            </c:numRef>
          </c:xVal>
          <c:yVal>
            <c:numRef>
              <c:f>Main!$W$2:$W$172</c:f>
              <c:numCache>
                <c:formatCode>General</c:formatCode>
                <c:ptCount val="171"/>
                <c:pt idx="0">
                  <c:v>12.999998060065074</c:v>
                </c:pt>
                <c:pt idx="1">
                  <c:v>12.999997193075624</c:v>
                </c:pt>
                <c:pt idx="2">
                  <c:v>12.999993911079093</c:v>
                </c:pt>
                <c:pt idx="3">
                  <c:v>12.999986937371126</c:v>
                </c:pt>
                <c:pt idx="4">
                  <c:v>12.999975916598185</c:v>
                </c:pt>
                <c:pt idx="5">
                  <c:v>12.999962030861106</c:v>
                </c:pt>
                <c:pt idx="6">
                  <c:v>12.999948953137542</c:v>
                </c:pt>
                <c:pt idx="7">
                  <c:v>12.999943897386611</c:v>
                </c:pt>
                <c:pt idx="8">
                  <c:v>12.999959120190708</c:v>
                </c:pt>
                <c:pt idx="9">
                  <c:v>13.000013352075522</c:v>
                </c:pt>
                <c:pt idx="10">
                  <c:v>13.000133814249336</c:v>
                </c:pt>
                <c:pt idx="11">
                  <c:v>13.000357962657118</c:v>
                </c:pt>
                <c:pt idx="12">
                  <c:v>13.000735997819969</c:v>
                </c:pt>
                <c:pt idx="13">
                  <c:v>13.001333455832039</c:v>
                </c:pt>
                <c:pt idx="14">
                  <c:v>13.002234026585027</c:v>
                </c:pt>
                <c:pt idx="15">
                  <c:v>13.003542939112195</c:v>
                </c:pt>
                <c:pt idx="16">
                  <c:v>13.005381340745798</c:v>
                </c:pt>
                <c:pt idx="17">
                  <c:v>13.007882161000206</c:v>
                </c:pt>
                <c:pt idx="18">
                  <c:v>13.011194499455724</c:v>
                </c:pt>
                <c:pt idx="19">
                  <c:v>13.015485051870463</c:v>
                </c:pt>
                <c:pt idx="20">
                  <c:v>13.02093753869881</c:v>
                </c:pt>
                <c:pt idx="21">
                  <c:v>13.027754199257993</c:v>
                </c:pt>
                <c:pt idx="22">
                  <c:v>13.036156181787852</c:v>
                </c:pt>
                <c:pt idx="23">
                  <c:v>13.046383988565809</c:v>
                </c:pt>
                <c:pt idx="24">
                  <c:v>13.058699087484516</c:v>
                </c:pt>
                <c:pt idx="25">
                  <c:v>13.073384506460862</c:v>
                </c:pt>
                <c:pt idx="26">
                  <c:v>13.090744722050335</c:v>
                </c:pt>
                <c:pt idx="27">
                  <c:v>13.111108474715586</c:v>
                </c:pt>
                <c:pt idx="28">
                  <c:v>13.134828223058914</c:v>
                </c:pt>
                <c:pt idx="29">
                  <c:v>13.162282403750233</c:v>
                </c:pt>
                <c:pt idx="30">
                  <c:v>13.193877490472644</c:v>
                </c:pt>
                <c:pt idx="31">
                  <c:v>13.230047150289925</c:v>
                </c:pt>
                <c:pt idx="32">
                  <c:v>13.271255573960978</c:v>
                </c:pt>
                <c:pt idx="33">
                  <c:v>13.317998296931894</c:v>
                </c:pt>
                <c:pt idx="34">
                  <c:v>13.370804961360431</c:v>
                </c:pt>
                <c:pt idx="35">
                  <c:v>13.430239863517018</c:v>
                </c:pt>
                <c:pt idx="36">
                  <c:v>13.496904353654774</c:v>
                </c:pt>
                <c:pt idx="37">
                  <c:v>13.571440425815947</c:v>
                </c:pt>
                <c:pt idx="38">
                  <c:v>13.654531016668543</c:v>
                </c:pt>
                <c:pt idx="39">
                  <c:v>13.746902783637147</c:v>
                </c:pt>
                <c:pt idx="40">
                  <c:v>13.849329730146435</c:v>
                </c:pt>
                <c:pt idx="41">
                  <c:v>13.96263558149397</c:v>
                </c:pt>
                <c:pt idx="42">
                  <c:v>14.087696959174091</c:v>
                </c:pt>
                <c:pt idx="43">
                  <c:v>14.225308173784139</c:v>
                </c:pt>
                <c:pt idx="44">
                  <c:v>14.376138011916572</c:v>
                </c:pt>
                <c:pt idx="45">
                  <c:v>14.540837689002027</c:v>
                </c:pt>
                <c:pt idx="46">
                  <c:v>14.720033605574947</c:v>
                </c:pt>
                <c:pt idx="47">
                  <c:v>14.914323770788927</c:v>
                </c:pt>
                <c:pt idx="48">
                  <c:v>15.124272188030883</c:v>
                </c:pt>
                <c:pt idx="49">
                  <c:v>15.350400445658039</c:v>
                </c:pt>
                <c:pt idx="50">
                  <c:v>15.593181122636285</c:v>
                </c:pt>
                <c:pt idx="51">
                  <c:v>15.853032461134934</c:v>
                </c:pt>
                <c:pt idx="52">
                  <c:v>16.130308979414092</c:v>
                </c:pt>
                <c:pt idx="53">
                  <c:v>16.425299913598572</c:v>
                </c:pt>
                <c:pt idx="54">
                  <c:v>16.738213940138106</c:v>
                </c:pt>
                <c:pt idx="55">
                  <c:v>17.069174381346851</c:v>
                </c:pt>
                <c:pt idx="56">
                  <c:v>17.418216338732492</c:v>
                </c:pt>
                <c:pt idx="57">
                  <c:v>17.785270954752125</c:v>
                </c:pt>
                <c:pt idx="58">
                  <c:v>18.17048713730302</c:v>
                </c:pt>
                <c:pt idx="59">
                  <c:v>18.574290766489497</c:v>
                </c:pt>
                <c:pt idx="60">
                  <c:v>18.997117521198316</c:v>
                </c:pt>
                <c:pt idx="61">
                  <c:v>19.439397703827503</c:v>
                </c:pt>
                <c:pt idx="62">
                  <c:v>19.901566568771059</c:v>
                </c:pt>
                <c:pt idx="63">
                  <c:v>20.38406485565551</c:v>
                </c:pt>
                <c:pt idx="64">
                  <c:v>20.88732278138167</c:v>
                </c:pt>
                <c:pt idx="65">
                  <c:v>21.411775847230672</c:v>
                </c:pt>
                <c:pt idx="66">
                  <c:v>21.957852322317187</c:v>
                </c:pt>
                <c:pt idx="67">
                  <c:v>22.525975083954691</c:v>
                </c:pt>
                <c:pt idx="68">
                  <c:v>23.116564774299611</c:v>
                </c:pt>
                <c:pt idx="69">
                  <c:v>23.730028786954303</c:v>
                </c:pt>
                <c:pt idx="70">
                  <c:v>24.366766111226489</c:v>
                </c:pt>
                <c:pt idx="71">
                  <c:v>25.027161902182357</c:v>
                </c:pt>
                <c:pt idx="72">
                  <c:v>25.711598204497321</c:v>
                </c:pt>
                <c:pt idx="73">
                  <c:v>26.42042587112261</c:v>
                </c:pt>
                <c:pt idx="74">
                  <c:v>27.153993555373788</c:v>
                </c:pt>
                <c:pt idx="75">
                  <c:v>27.912612444013135</c:v>
                </c:pt>
                <c:pt idx="76">
                  <c:v>28.696592495206488</c:v>
                </c:pt>
                <c:pt idx="77">
                  <c:v>29.506207566748621</c:v>
                </c:pt>
                <c:pt idx="78">
                  <c:v>30.341708104141688</c:v>
                </c:pt>
                <c:pt idx="79">
                  <c:v>31.203327901776092</c:v>
                </c:pt>
                <c:pt idx="80">
                  <c:v>32.091256534546716</c:v>
                </c:pt>
                <c:pt idx="81">
                  <c:v>33.005674842443227</c:v>
                </c:pt>
                <c:pt idx="82">
                  <c:v>33.946708618940661</c:v>
                </c:pt>
                <c:pt idx="83">
                  <c:v>34.914485122888124</c:v>
                </c:pt>
                <c:pt idx="84">
                  <c:v>35.909065481448124</c:v>
                </c:pt>
                <c:pt idx="85">
                  <c:v>36.930501068420575</c:v>
                </c:pt>
                <c:pt idx="86">
                  <c:v>37.978806474806241</c:v>
                </c:pt>
                <c:pt idx="87">
                  <c:v>39.053966504528546</c:v>
                </c:pt>
                <c:pt idx="88">
                  <c:v>40.155923080376745</c:v>
                </c:pt>
                <c:pt idx="89">
                  <c:v>41.28458384436982</c:v>
                </c:pt>
                <c:pt idx="90">
                  <c:v>42.439852758267619</c:v>
                </c:pt>
                <c:pt idx="91">
                  <c:v>43.621555719494168</c:v>
                </c:pt>
                <c:pt idx="92">
                  <c:v>44.829522181081302</c:v>
                </c:pt>
                <c:pt idx="93">
                  <c:v>46.063530574113813</c:v>
                </c:pt>
                <c:pt idx="94">
                  <c:v>47.323344851749923</c:v>
                </c:pt>
                <c:pt idx="95">
                  <c:v>48.60867499086504</c:v>
                </c:pt>
                <c:pt idx="96">
                  <c:v>49.919207155272183</c:v>
                </c:pt>
                <c:pt idx="97">
                  <c:v>51.254598215310068</c:v>
                </c:pt>
                <c:pt idx="98">
                  <c:v>52.614470364074883</c:v>
                </c:pt>
                <c:pt idx="99">
                  <c:v>53.998415047649111</c:v>
                </c:pt>
                <c:pt idx="100">
                  <c:v>55.405996823065607</c:v>
                </c:pt>
                <c:pt idx="101">
                  <c:v>56.836747410218791</c:v>
                </c:pt>
                <c:pt idx="102">
                  <c:v>58.290169535605344</c:v>
                </c:pt>
                <c:pt idx="103">
                  <c:v>59.765730498374324</c:v>
                </c:pt>
                <c:pt idx="104">
                  <c:v>61.262886347758055</c:v>
                </c:pt>
                <c:pt idx="105">
                  <c:v>62.781064053873976</c:v>
                </c:pt>
                <c:pt idx="106">
                  <c:v>64.319664742839763</c:v>
                </c:pt>
                <c:pt idx="107">
                  <c:v>65.878077408360852</c:v>
                </c:pt>
                <c:pt idx="108">
                  <c:v>67.455659615864604</c:v>
                </c:pt>
                <c:pt idx="109">
                  <c:v>69.051795334483899</c:v>
                </c:pt>
                <c:pt idx="110">
                  <c:v>70.665795800700437</c:v>
                </c:pt>
                <c:pt idx="111">
                  <c:v>72.297038019066648</c:v>
                </c:pt>
                <c:pt idx="112">
                  <c:v>73.944828019836677</c:v>
                </c:pt>
                <c:pt idx="113">
                  <c:v>75.608283399916644</c:v>
                </c:pt>
                <c:pt idx="114">
                  <c:v>77.285131689066617</c:v>
                </c:pt>
                <c:pt idx="115">
                  <c:v>78.971973391609993</c:v>
                </c:pt>
                <c:pt idx="116">
                  <c:v>80.665324386287239</c:v>
                </c:pt>
                <c:pt idx="117">
                  <c:v>82.361630604287598</c:v>
                </c:pt>
                <c:pt idx="118">
                  <c:v>84.057307192787718</c:v>
                </c:pt>
                <c:pt idx="119">
                  <c:v>85.748726430321966</c:v>
                </c:pt>
                <c:pt idx="120">
                  <c:v>87.432234636047184</c:v>
                </c:pt>
                <c:pt idx="121">
                  <c:v>89.104167943662077</c:v>
                </c:pt>
                <c:pt idx="122">
                  <c:v>90.760835943246818</c:v>
                </c:pt>
                <c:pt idx="123">
                  <c:v>92.398548233460417</c:v>
                </c:pt>
                <c:pt idx="124">
                  <c:v>94.013665840030129</c:v>
                </c:pt>
                <c:pt idx="125">
                  <c:v>95.602492257974234</c:v>
                </c:pt>
                <c:pt idx="126">
                  <c:v>97.161410301265335</c:v>
                </c:pt>
                <c:pt idx="127">
                  <c:v>98.686772831088078</c:v>
                </c:pt>
                <c:pt idx="128">
                  <c:v>100.17526122071165</c:v>
                </c:pt>
                <c:pt idx="129">
                  <c:v>101.62499564560756</c:v>
                </c:pt>
                <c:pt idx="130">
                  <c:v>103.03537730077169</c:v>
                </c:pt>
                <c:pt idx="131">
                  <c:v>104.40583027885866</c:v>
                </c:pt>
                <c:pt idx="132">
                  <c:v>105.73586430445086</c:v>
                </c:pt>
                <c:pt idx="133">
                  <c:v>107.02499699589934</c:v>
                </c:pt>
                <c:pt idx="134">
                  <c:v>108.27280774381241</c:v>
                </c:pt>
                <c:pt idx="135">
                  <c:v>109.47892868049138</c:v>
                </c:pt>
                <c:pt idx="136">
                  <c:v>110.64300035809678</c:v>
                </c:pt>
                <c:pt idx="137">
                  <c:v>111.76471789193931</c:v>
                </c:pt>
                <c:pt idx="138">
                  <c:v>112.84378311098089</c:v>
                </c:pt>
                <c:pt idx="139">
                  <c:v>113.87993738324742</c:v>
                </c:pt>
                <c:pt idx="140">
                  <c:v>114.87296183082083</c:v>
                </c:pt>
                <c:pt idx="141">
                  <c:v>115.82263296566914</c:v>
                </c:pt>
                <c:pt idx="142">
                  <c:v>116.72874025388631</c:v>
                </c:pt>
                <c:pt idx="143">
                  <c:v>117.59114562828687</c:v>
                </c:pt>
                <c:pt idx="144">
                  <c:v>118.40967967117734</c:v>
                </c:pt>
                <c:pt idx="145">
                  <c:v>119.18417955749644</c:v>
                </c:pt>
                <c:pt idx="146">
                  <c:v>119.91453904783471</c:v>
                </c:pt>
                <c:pt idx="147">
                  <c:v>120.60062084727571</c:v>
                </c:pt>
                <c:pt idx="148">
                  <c:v>121.24235377119119</c:v>
                </c:pt>
                <c:pt idx="149">
                  <c:v>121.83960626452398</c:v>
                </c:pt>
                <c:pt idx="150">
                  <c:v>122.39232672687513</c:v>
                </c:pt>
                <c:pt idx="151">
                  <c:v>122.90041711197968</c:v>
                </c:pt>
                <c:pt idx="152">
                  <c:v>123.36381745087613</c:v>
                </c:pt>
                <c:pt idx="153">
                  <c:v>123.7824824829228</c:v>
                </c:pt>
                <c:pt idx="154">
                  <c:v>124.15634534045192</c:v>
                </c:pt>
                <c:pt idx="155">
                  <c:v>124.4856362458563</c:v>
                </c:pt>
                <c:pt idx="156">
                  <c:v>124.77209826682936</c:v>
                </c:pt>
                <c:pt idx="157">
                  <c:v>125.01868413161581</c:v>
                </c:pt>
                <c:pt idx="158">
                  <c:v>125.22835904410813</c:v>
                </c:pt>
                <c:pt idx="159">
                  <c:v>125.4041275227457</c:v>
                </c:pt>
                <c:pt idx="160">
                  <c:v>125.54897029042938</c:v>
                </c:pt>
                <c:pt idx="161">
                  <c:v>125.66585319604008</c:v>
                </c:pt>
                <c:pt idx="162">
                  <c:v>125.75780816167941</c:v>
                </c:pt>
                <c:pt idx="163">
                  <c:v>125.82778815092323</c:v>
                </c:pt>
                <c:pt idx="164">
                  <c:v>125.87881114815993</c:v>
                </c:pt>
                <c:pt idx="165">
                  <c:v>125.91388414762025</c:v>
                </c:pt>
                <c:pt idx="166">
                  <c:v>125.93598614755271</c:v>
                </c:pt>
                <c:pt idx="167">
                  <c:v>125.94813614754871</c:v>
                </c:pt>
                <c:pt idx="168">
                  <c:v>125.95332514754868</c:v>
                </c:pt>
                <c:pt idx="169">
                  <c:v>125.95456114754869</c:v>
                </c:pt>
                <c:pt idx="170">
                  <c:v>125.95456114754869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834272"/>
        <c:axId val="-5833728"/>
      </c:scatterChart>
      <c:valAx>
        <c:axId val="-5834272"/>
        <c:scaling>
          <c:orientation val="minMax"/>
          <c:max val="35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33728"/>
        <c:crosses val="autoZero"/>
        <c:crossBetween val="midCat"/>
        <c:majorUnit val="50"/>
      </c:valAx>
      <c:valAx>
        <c:axId val="-5833728"/>
        <c:scaling>
          <c:orientation val="maxMin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34272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166686</xdr:rowOff>
    </xdr:from>
    <xdr:to>
      <xdr:col>10</xdr:col>
      <xdr:colOff>381000</xdr:colOff>
      <xdr:row>41</xdr:row>
      <xdr:rowOff>76199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72"/>
  <sheetViews>
    <sheetView tabSelected="1" workbookViewId="0">
      <selection activeCell="S1" sqref="S1"/>
    </sheetView>
  </sheetViews>
  <sheetFormatPr defaultRowHeight="15" x14ac:dyDescent="0.25"/>
  <cols>
    <col min="1" max="1" width="12.85546875" customWidth="1"/>
    <col min="4" max="15" width="9.140625" customWidth="1"/>
  </cols>
  <sheetData>
    <row r="1" spans="1:23" x14ac:dyDescent="0.25">
      <c r="K1" t="s">
        <v>0</v>
      </c>
      <c r="L1" t="s">
        <v>8</v>
      </c>
      <c r="M1" t="s">
        <v>9</v>
      </c>
      <c r="N1" t="s">
        <v>7</v>
      </c>
      <c r="P1" t="s">
        <v>10</v>
      </c>
      <c r="Q1" t="s">
        <v>11</v>
      </c>
      <c r="S1" t="s">
        <v>14</v>
      </c>
      <c r="T1" t="s">
        <v>15</v>
      </c>
      <c r="V1" t="s">
        <v>16</v>
      </c>
      <c r="W1" t="s">
        <v>17</v>
      </c>
    </row>
    <row r="2" spans="1:23" x14ac:dyDescent="0.25">
      <c r="K2">
        <f>Center!A2</f>
        <v>0.02</v>
      </c>
      <c r="L2">
        <f>L3</f>
        <v>0</v>
      </c>
      <c r="M2">
        <f>M3</f>
        <v>0</v>
      </c>
      <c r="N2">
        <f>N3</f>
        <v>6.2826389999999996</v>
      </c>
      <c r="P2">
        <f>L2</f>
        <v>0</v>
      </c>
      <c r="Q2">
        <f>M2</f>
        <v>0</v>
      </c>
      <c r="S2">
        <f>P2 + $B$10/2 * SIN($N2)</f>
        <v>-7.1019929813620781E-3</v>
      </c>
      <c r="T2">
        <f>Q2 - $B$10/2 * COS($N2)</f>
        <v>-12.999998060065074</v>
      </c>
      <c r="V2">
        <f>P2 - $B$10/2 * SIN($N2)</f>
        <v>7.1019929813620781E-3</v>
      </c>
      <c r="W2">
        <f>Q2 + $B$10/2 * COS($N2)</f>
        <v>12.999998060065074</v>
      </c>
    </row>
    <row r="3" spans="1:23" x14ac:dyDescent="0.25">
      <c r="L3">
        <f>Center!B2</f>
        <v>0</v>
      </c>
      <c r="M3">
        <f>Center!C2</f>
        <v>0</v>
      </c>
      <c r="N3">
        <f>Center!H2</f>
        <v>6.2826389999999996</v>
      </c>
      <c r="P3">
        <f>P2 + (Center!$D2)*COS($N3)</f>
        <v>1.5869997631787133E-3</v>
      </c>
      <c r="Q3">
        <f>Q2 + (Center!$D2)*SIN($N3)</f>
        <v>-8.6698945087858596E-7</v>
      </c>
      <c r="S3">
        <f t="shared" ref="S3:S66" si="0">P3 + $B$10/2 * SIN($N3)</f>
        <v>-5.5149932181833648E-3</v>
      </c>
      <c r="T3">
        <f t="shared" ref="T3:T66" si="1">Q3 - $B$10/2 * COS($N3)</f>
        <v>-12.999998927054525</v>
      </c>
      <c r="V3">
        <f t="shared" ref="V3:V66" si="2">P3 - $B$10/2 * SIN($N3)</f>
        <v>8.6889927445407914E-3</v>
      </c>
      <c r="W3">
        <f t="shared" ref="W3:W66" si="3">Q3 + $B$10/2 * COS($N3)</f>
        <v>12.999997193075624</v>
      </c>
    </row>
    <row r="4" spans="1:23" x14ac:dyDescent="0.25">
      <c r="L4">
        <f>Center!B3</f>
        <v>0</v>
      </c>
      <c r="M4">
        <f>Center!C3</f>
        <v>0</v>
      </c>
      <c r="N4">
        <f>Center!H3</f>
        <v>6.2826529999999998</v>
      </c>
      <c r="P4">
        <f>P3 + (Center!$D3-Center!$D2)*COS($N4)</f>
        <v>7.9369988635395218E-3</v>
      </c>
      <c r="Q4">
        <f>Q3 + (Center!$D3-Center!$D2)*SIN($N4)</f>
        <v>-4.2471398816257156E-6</v>
      </c>
      <c r="S4">
        <f t="shared" si="0"/>
        <v>1.0170058557107519E-3</v>
      </c>
      <c r="T4">
        <f t="shared" si="1"/>
        <v>-13.000002405358858</v>
      </c>
      <c r="V4">
        <f t="shared" si="2"/>
        <v>1.4856991871368292E-2</v>
      </c>
      <c r="W4">
        <f t="shared" si="3"/>
        <v>12.999993911079093</v>
      </c>
    </row>
    <row r="5" spans="1:23" x14ac:dyDescent="0.25">
      <c r="L5">
        <f>Center!B4</f>
        <v>0</v>
      </c>
      <c r="M5">
        <f>Center!C4</f>
        <v>0</v>
      </c>
      <c r="N5">
        <f>Center!H4</f>
        <v>6.2826829999999996</v>
      </c>
      <c r="P5">
        <f>P4 + (Center!$D4-Center!$D3)*COS($N5)</f>
        <v>2.2221997061397509E-2</v>
      </c>
      <c r="Q5">
        <f>Q4 + (Center!$D4-Center!$D3)*SIN($N5)</f>
        <v>-1.1422597640281671E-5</v>
      </c>
      <c r="S5">
        <f t="shared" si="0"/>
        <v>1.5692004001367589E-2</v>
      </c>
      <c r="T5">
        <f t="shared" si="1"/>
        <v>-13.000009782566408</v>
      </c>
      <c r="V5">
        <f t="shared" si="2"/>
        <v>2.8751990121427429E-2</v>
      </c>
      <c r="W5">
        <f t="shared" si="3"/>
        <v>12.999986937371126</v>
      </c>
    </row>
    <row r="6" spans="1:23" x14ac:dyDescent="0.25">
      <c r="L6">
        <f>Center!B5</f>
        <v>0</v>
      </c>
      <c r="M6">
        <f>Center!C5</f>
        <v>0</v>
      </c>
      <c r="N6">
        <f>Center!H5</f>
        <v>6.2827380000000002</v>
      </c>
      <c r="P6">
        <f>P5 + (Center!$D5-Center!$D4)*COS($N6)</f>
        <v>4.7618994520634526E-2</v>
      </c>
      <c r="Q6">
        <f>Q5 + (Center!$D5-Center!$D4)*SIN($N6)</f>
        <v>-2.2782857701401628E-5</v>
      </c>
      <c r="S6">
        <f t="shared" si="0"/>
        <v>4.1804001379926591E-2</v>
      </c>
      <c r="T6">
        <f t="shared" si="1"/>
        <v>-13.000021482313588</v>
      </c>
      <c r="V6">
        <f t="shared" si="2"/>
        <v>5.3433987661342462E-2</v>
      </c>
      <c r="W6">
        <f t="shared" si="3"/>
        <v>12.999975916598185</v>
      </c>
    </row>
    <row r="7" spans="1:23" x14ac:dyDescent="0.25">
      <c r="L7">
        <f>Center!B6</f>
        <v>0</v>
      </c>
      <c r="M7">
        <f>Center!C6</f>
        <v>0</v>
      </c>
      <c r="N7">
        <f>Center!H6</f>
        <v>6.2828239999999997</v>
      </c>
      <c r="P7">
        <f>P6 + (Center!$D6-Center!$D5)*COS($N7)</f>
        <v>8.7301991930468045E-2</v>
      </c>
      <c r="Q7">
        <f>Q6 + (Center!$D6-Center!$D5)*SIN($N7)</f>
        <v>-3.7120610196993442E-5</v>
      </c>
      <c r="S7">
        <f t="shared" si="0"/>
        <v>8.2604998698033658E-2</v>
      </c>
      <c r="T7">
        <f t="shared" si="1"/>
        <v>-13.000036272081498</v>
      </c>
      <c r="V7">
        <f t="shared" si="2"/>
        <v>9.1998985162902433E-2</v>
      </c>
      <c r="W7">
        <f t="shared" si="3"/>
        <v>12.999962030861106</v>
      </c>
    </row>
    <row r="8" spans="1:23" x14ac:dyDescent="0.25">
      <c r="L8">
        <f>Center!B7</f>
        <v>0</v>
      </c>
      <c r="M8">
        <f>Center!C7</f>
        <v>0</v>
      </c>
      <c r="N8">
        <f>Center!H7</f>
        <v>6.2829480000000002</v>
      </c>
      <c r="P8">
        <f>P7 + (Center!$D7-Center!$D6)*COS($N8)</f>
        <v>0.14444399032150082</v>
      </c>
      <c r="Q8">
        <f>Q7 + (Center!$D7-Center!$D6)*SIN($N8)</f>
        <v>-5.0680816925639361E-5</v>
      </c>
      <c r="S8">
        <f t="shared" si="0"/>
        <v>0.14135899701583429</v>
      </c>
      <c r="T8">
        <f t="shared" si="1"/>
        <v>-13.000050314771395</v>
      </c>
      <c r="V8">
        <f t="shared" si="2"/>
        <v>0.14752898362716735</v>
      </c>
      <c r="W8">
        <f t="shared" si="3"/>
        <v>12.999948953137542</v>
      </c>
    </row>
    <row r="9" spans="1:23" x14ac:dyDescent="0.25">
      <c r="L9">
        <f>Center!B8</f>
        <v>0</v>
      </c>
      <c r="M9">
        <f>Center!C8</f>
        <v>0</v>
      </c>
      <c r="N9">
        <f>Center!H8</f>
        <v>6.2831159999999997</v>
      </c>
      <c r="P9">
        <f>P8 + (Center!$D8-Center!$D7)*COS($N9)</f>
        <v>0.22222199013469809</v>
      </c>
      <c r="Q9">
        <f>Q8 + (Center!$D8-Center!$D7)*SIN($N9)</f>
        <v>-5.6071390735224021E-5</v>
      </c>
      <c r="S9">
        <f t="shared" si="0"/>
        <v>0.22132099680079131</v>
      </c>
      <c r="T9">
        <f t="shared" si="1"/>
        <v>-13.000056040168083</v>
      </c>
      <c r="V9">
        <f t="shared" si="2"/>
        <v>0.22312298346860487</v>
      </c>
      <c r="W9">
        <f t="shared" si="3"/>
        <v>12.999943897386611</v>
      </c>
    </row>
    <row r="10" spans="1:23" x14ac:dyDescent="0.25">
      <c r="A10" s="1" t="s">
        <v>13</v>
      </c>
      <c r="B10" s="2">
        <v>26</v>
      </c>
      <c r="L10">
        <f>Center!B9</f>
        <v>6.9653999999999994E-2</v>
      </c>
      <c r="M10">
        <f>Center!C9</f>
        <v>5.0000000000000004E-6</v>
      </c>
      <c r="N10">
        <f>Center!H9</f>
        <v>1.5100000000000001E-4</v>
      </c>
      <c r="P10">
        <f>P9 + (Center!$D9-Center!$D8)*COS($N10)</f>
        <v>0.32380998897654412</v>
      </c>
      <c r="Q10">
        <f>Q9 + (Center!$D9-Center!$D8)*SIN($N10)</f>
        <v>-4.0731602793517779E-5</v>
      </c>
      <c r="S10">
        <f t="shared" si="0"/>
        <v>0.32577298896908441</v>
      </c>
      <c r="T10">
        <f t="shared" si="1"/>
        <v>-13.000040583396293</v>
      </c>
      <c r="V10">
        <f t="shared" si="2"/>
        <v>0.32184698898400382</v>
      </c>
      <c r="W10">
        <f t="shared" si="3"/>
        <v>12.999959120190708</v>
      </c>
    </row>
    <row r="11" spans="1:23" x14ac:dyDescent="0.25">
      <c r="L11">
        <f>Center!B10</f>
        <v>0.19822400000000001</v>
      </c>
      <c r="M11">
        <f>Center!C10</f>
        <v>4.3000000000000002E-5</v>
      </c>
      <c r="N11">
        <f>Center!H10</f>
        <v>4.2999999999999999E-4</v>
      </c>
      <c r="P11">
        <f>P10 + (Center!$D10-Center!$D9)*COS($N11)</f>
        <v>0.45238097709015535</v>
      </c>
      <c r="Q11">
        <f>Q10 + (Center!$D10-Center!$D9)*SIN($N11)</f>
        <v>1.455392550276648E-5</v>
      </c>
      <c r="S11">
        <f t="shared" si="0"/>
        <v>0.45797097691789018</v>
      </c>
      <c r="T11">
        <f t="shared" si="1"/>
        <v>-12.999984244224516</v>
      </c>
      <c r="V11">
        <f t="shared" si="2"/>
        <v>0.44679097726242051</v>
      </c>
      <c r="W11">
        <f t="shared" si="3"/>
        <v>13.000013352075522</v>
      </c>
    </row>
    <row r="12" spans="1:23" x14ac:dyDescent="0.25">
      <c r="A12" s="1" t="s">
        <v>12</v>
      </c>
      <c r="L12">
        <f>Center!B11</f>
        <v>0.35695900000000003</v>
      </c>
      <c r="M12">
        <f>Center!C11</f>
        <v>1.3799999999999999E-4</v>
      </c>
      <c r="N12">
        <f>Center!H11</f>
        <v>7.76E-4</v>
      </c>
      <c r="P12">
        <f>P11 + (Center!$D11-Center!$D10)*COS($N12)</f>
        <v>0.61111092929845945</v>
      </c>
      <c r="Q12">
        <f>Q11 + (Center!$D11-Center!$D10)*SIN($N12)</f>
        <v>1.3772839314064755E-4</v>
      </c>
      <c r="S12">
        <f t="shared" si="0"/>
        <v>0.62119892828600087</v>
      </c>
      <c r="T12">
        <f t="shared" si="1"/>
        <v>-12.999858357463056</v>
      </c>
      <c r="V12">
        <f t="shared" si="2"/>
        <v>0.60102293031091802</v>
      </c>
      <c r="W12">
        <f t="shared" si="3"/>
        <v>13.000133814249336</v>
      </c>
    </row>
    <row r="13" spans="1:23" x14ac:dyDescent="0.25">
      <c r="L13">
        <f>Center!B12</f>
        <v>0.54901599999999995</v>
      </c>
      <c r="M13">
        <f>Center!C12</f>
        <v>3.2699999999999998E-4</v>
      </c>
      <c r="N13">
        <f>Center!H12</f>
        <v>1.1950000000000001E-3</v>
      </c>
      <c r="P13">
        <f>P12 + (Center!$D12-Center!$D11)*COS($N13)</f>
        <v>0.80317479216237897</v>
      </c>
      <c r="Q13">
        <f>Q12 + (Center!$D12-Center!$D11)*SIN($N13)</f>
        <v>3.6724481851477296E-4</v>
      </c>
      <c r="S13">
        <f t="shared" si="0"/>
        <v>0.81870978846498454</v>
      </c>
      <c r="T13">
        <f t="shared" si="1"/>
        <v>-12.999623473020089</v>
      </c>
      <c r="V13">
        <f t="shared" si="2"/>
        <v>0.7876397958597734</v>
      </c>
      <c r="W13">
        <f t="shared" si="3"/>
        <v>13.000357962657118</v>
      </c>
    </row>
    <row r="14" spans="1:23" x14ac:dyDescent="0.25">
      <c r="L14">
        <f>Center!B13</f>
        <v>0.777582</v>
      </c>
      <c r="M14">
        <f>Center!C13</f>
        <v>6.5799999999999995E-4</v>
      </c>
      <c r="N14">
        <f>Center!H13</f>
        <v>1.6949999999999999E-3</v>
      </c>
      <c r="P14">
        <f>P13 + (Center!$D13-Center!$D12)*COS($N14)</f>
        <v>1.0317454638173591</v>
      </c>
      <c r="Q14">
        <f>Q13 + (Center!$D13-Center!$D12)*SIN($N14)</f>
        <v>7.5467247799981905E-4</v>
      </c>
      <c r="S14">
        <f t="shared" si="0"/>
        <v>1.0537804532661763</v>
      </c>
      <c r="T14">
        <f t="shared" si="1"/>
        <v>-12.999226652863971</v>
      </c>
      <c r="V14">
        <f t="shared" si="2"/>
        <v>1.0097104743685419</v>
      </c>
      <c r="W14">
        <f t="shared" si="3"/>
        <v>13.000735997819969</v>
      </c>
    </row>
    <row r="15" spans="1:23" x14ac:dyDescent="0.25">
      <c r="L15">
        <f>Center!B14</f>
        <v>1.045839</v>
      </c>
      <c r="M15">
        <f>Center!C14</f>
        <v>1.191E-3</v>
      </c>
      <c r="N15">
        <f>Center!H14</f>
        <v>2.284E-3</v>
      </c>
      <c r="P15">
        <f>P14 + (Center!$D14-Center!$D13)*COS($N15)</f>
        <v>1.299998764123244</v>
      </c>
      <c r="Q15">
        <f>Q14 + (Center!$D14-Center!$D13)*SIN($N15)</f>
        <v>1.3673640812992736E-3</v>
      </c>
      <c r="S15">
        <f t="shared" si="0"/>
        <v>1.329690738307759</v>
      </c>
      <c r="T15">
        <f t="shared" si="1"/>
        <v>-12.998598727669442</v>
      </c>
      <c r="V15">
        <f t="shared" si="2"/>
        <v>1.270306789938729</v>
      </c>
      <c r="W15">
        <f t="shared" si="3"/>
        <v>13.001333455832039</v>
      </c>
    </row>
    <row r="16" spans="1:23" x14ac:dyDescent="0.25">
      <c r="L16">
        <f>Center!B15</f>
        <v>1.3569560000000001</v>
      </c>
      <c r="M16">
        <f>Center!C15</f>
        <v>2.0089999999999999E-3</v>
      </c>
      <c r="N16">
        <f>Center!H15</f>
        <v>2.97E-3</v>
      </c>
      <c r="P16">
        <f>P15 + (Center!$D15-Center!$D14)*COS($N16)</f>
        <v>1.6111083919847426</v>
      </c>
      <c r="Q16">
        <f>Q15 + (Center!$D15-Center!$D14)*SIN($N16)</f>
        <v>2.2913623928817574E-3</v>
      </c>
      <c r="S16">
        <f t="shared" si="0"/>
        <v>1.6497183352222762</v>
      </c>
      <c r="T16">
        <f t="shared" si="1"/>
        <v>-12.997651301799264</v>
      </c>
      <c r="V16">
        <f t="shared" si="2"/>
        <v>1.5724984487472091</v>
      </c>
      <c r="W16">
        <f t="shared" si="3"/>
        <v>13.002234026585027</v>
      </c>
    </row>
    <row r="17" spans="12:23" x14ac:dyDescent="0.25">
      <c r="L17">
        <f>Center!B16</f>
        <v>1.714094</v>
      </c>
      <c r="M17">
        <f>Center!C16</f>
        <v>3.2109999999999999E-3</v>
      </c>
      <c r="N17">
        <f>Center!H16</f>
        <v>3.7620000000000002E-3</v>
      </c>
      <c r="P17">
        <f>P16 + (Center!$D16-Center!$D15)*COS($N17)</f>
        <v>1.9682488647288552</v>
      </c>
      <c r="Q17">
        <f>Q16 + (Center!$D16-Center!$D15)*SIN($N17)</f>
        <v>3.6349311897013797E-3</v>
      </c>
      <c r="S17">
        <f t="shared" si="0"/>
        <v>2.0171547493707354</v>
      </c>
      <c r="T17">
        <f t="shared" si="1"/>
        <v>-12.996273076732793</v>
      </c>
      <c r="V17">
        <f t="shared" si="2"/>
        <v>1.9193429800869748</v>
      </c>
      <c r="W17">
        <f t="shared" si="3"/>
        <v>13.003542939112195</v>
      </c>
    </row>
    <row r="18" spans="12:23" x14ac:dyDescent="0.25">
      <c r="L18">
        <f>Center!B17</f>
        <v>2.1188549999999999</v>
      </c>
      <c r="M18">
        <f>Center!C17</f>
        <v>4.9160000000000002E-3</v>
      </c>
      <c r="N18">
        <f>Center!H17</f>
        <v>4.6639999999999997E-3</v>
      </c>
      <c r="P18">
        <f>P17 + (Center!$D17-Center!$D16)*COS($N18)</f>
        <v>2.3730064623639899</v>
      </c>
      <c r="Q18">
        <f>Q17 + (Center!$D17-Center!$D16)*SIN($N18)</f>
        <v>5.5227343134865063E-3</v>
      </c>
      <c r="S18">
        <f t="shared" si="0"/>
        <v>2.4336382425439638</v>
      </c>
      <c r="T18">
        <f t="shared" si="1"/>
        <v>-12.994335872118823</v>
      </c>
      <c r="V18">
        <f t="shared" si="2"/>
        <v>2.3123746821840161</v>
      </c>
      <c r="W18">
        <f t="shared" si="3"/>
        <v>13.005381340745798</v>
      </c>
    </row>
    <row r="19" spans="12:23" x14ac:dyDescent="0.25">
      <c r="L19">
        <f>Center!B18</f>
        <v>2.571224</v>
      </c>
      <c r="M19">
        <f>Center!C18</f>
        <v>7.2550000000000002E-3</v>
      </c>
      <c r="N19">
        <f>Center!H18</f>
        <v>5.679E-3</v>
      </c>
      <c r="P19">
        <f>P18 + (Center!$D18-Center!$D17)*COS($N19)</f>
        <v>2.8253801675045067</v>
      </c>
      <c r="Q19">
        <f>Q18 + (Center!$D18-Center!$D17)*SIN($N19)</f>
        <v>8.0917922033026599E-3</v>
      </c>
      <c r="S19">
        <f t="shared" si="0"/>
        <v>2.8992067706722127</v>
      </c>
      <c r="T19">
        <f t="shared" si="1"/>
        <v>-12.991698576593601</v>
      </c>
      <c r="V19">
        <f t="shared" si="2"/>
        <v>2.7515535643368008</v>
      </c>
      <c r="W19">
        <f t="shared" si="3"/>
        <v>13.007882161000206</v>
      </c>
    </row>
    <row r="20" spans="12:23" x14ac:dyDescent="0.25">
      <c r="L20">
        <f>Center!B19</f>
        <v>3.0712130000000002</v>
      </c>
      <c r="M20">
        <f>Center!C19</f>
        <v>1.0376E-2</v>
      </c>
      <c r="N20">
        <f>Center!H19</f>
        <v>6.8079999999999998E-3</v>
      </c>
      <c r="P20">
        <f>P19 + (Center!$D19-Center!$D18)*COS($N20)</f>
        <v>3.3253685803332611</v>
      </c>
      <c r="Q20">
        <f>Q19 + (Center!$D19-Center!$D18)*SIN($N20)</f>
        <v>1.1495765908108089E-2</v>
      </c>
      <c r="S20">
        <f t="shared" si="0"/>
        <v>3.4138718966582022</v>
      </c>
      <c r="T20">
        <f t="shared" si="1"/>
        <v>-12.988202967639507</v>
      </c>
      <c r="V20">
        <f t="shared" si="2"/>
        <v>3.23686526400832</v>
      </c>
      <c r="W20">
        <f t="shared" si="3"/>
        <v>13.011194499455724</v>
      </c>
    </row>
    <row r="21" spans="12:23" x14ac:dyDescent="0.25">
      <c r="L21">
        <f>Center!B20</f>
        <v>3.6188229999999999</v>
      </c>
      <c r="M21">
        <f>Center!C20</f>
        <v>1.4445E-2</v>
      </c>
      <c r="N21">
        <f>Center!H20</f>
        <v>8.0549999999999997E-3</v>
      </c>
      <c r="P21">
        <f>P20 + (Center!$D20-Center!$D19)*COS($N21)</f>
        <v>3.8729698148406841</v>
      </c>
      <c r="Q21">
        <f>Q20 + (Center!$D20-Center!$D19)*SIN($N21)</f>
        <v>1.5906789252657351E-2</v>
      </c>
      <c r="S21">
        <f t="shared" si="0"/>
        <v>3.9776836824733639</v>
      </c>
      <c r="T21">
        <f t="shared" si="1"/>
        <v>-12.983671473365149</v>
      </c>
      <c r="V21">
        <f t="shared" si="2"/>
        <v>3.7682559472080044</v>
      </c>
      <c r="W21">
        <f t="shared" si="3"/>
        <v>13.015485051870463</v>
      </c>
    </row>
    <row r="22" spans="12:23" x14ac:dyDescent="0.25">
      <c r="L22">
        <f>Center!B21</f>
        <v>4.2140399999999998</v>
      </c>
      <c r="M22">
        <f>Center!C21</f>
        <v>1.9646E-2</v>
      </c>
      <c r="N22">
        <f>Center!H21</f>
        <v>9.4210000000000006E-3</v>
      </c>
      <c r="P22">
        <f>P21 + (Center!$D21-Center!$D20)*COS($N22)</f>
        <v>4.4681813997899873</v>
      </c>
      <c r="Q22">
        <f>Q21 + (Center!$D21-Center!$D20)*SIN($N22)</f>
        <v>2.1514443498347732E-2</v>
      </c>
      <c r="S22">
        <f t="shared" si="0"/>
        <v>4.5906525881112552</v>
      </c>
      <c r="T22">
        <f t="shared" si="1"/>
        <v>-12.977908651702116</v>
      </c>
      <c r="V22">
        <f t="shared" si="2"/>
        <v>4.3457102114687194</v>
      </c>
      <c r="W22">
        <f t="shared" si="3"/>
        <v>13.02093753869881</v>
      </c>
    </row>
    <row r="23" spans="12:23" x14ac:dyDescent="0.25">
      <c r="L23">
        <f>Center!B22</f>
        <v>4.8568600000000002</v>
      </c>
      <c r="M23">
        <f>Center!C22</f>
        <v>2.6179999999999998E-2</v>
      </c>
      <c r="N23">
        <f>Center!H22</f>
        <v>1.091E-2</v>
      </c>
      <c r="P23">
        <f>P22 + (Center!$D22-Center!$D21)*COS($N23)</f>
        <v>5.111000141145837</v>
      </c>
      <c r="Q23">
        <f>Q22 + (Center!$D22-Center!$D21)*SIN($N23)</f>
        <v>2.8527874233859808E-2</v>
      </c>
      <c r="S23">
        <f t="shared" si="0"/>
        <v>5.2528273275366786</v>
      </c>
      <c r="T23">
        <f t="shared" si="1"/>
        <v>-12.970698450790275</v>
      </c>
      <c r="V23">
        <f t="shared" si="2"/>
        <v>4.9691729547549954</v>
      </c>
      <c r="W23">
        <f t="shared" si="3"/>
        <v>13.027754199257993</v>
      </c>
    </row>
    <row r="24" spans="12:23" x14ac:dyDescent="0.25">
      <c r="L24">
        <f>Center!B23</f>
        <v>5.547282</v>
      </c>
      <c r="M24">
        <f>Center!C23</f>
        <v>3.4269000000000001E-2</v>
      </c>
      <c r="N24">
        <f>Center!H23</f>
        <v>1.2525E-2</v>
      </c>
      <c r="P24">
        <f>P23 + (Center!$D23-Center!$D22)*COS($N24)</f>
        <v>5.8014219824268336</v>
      </c>
      <c r="Q24">
        <f>Q23 + (Center!$D23-Center!$D22)*SIN($N24)</f>
        <v>3.717586002002557E-2</v>
      </c>
      <c r="S24">
        <f t="shared" si="0"/>
        <v>5.9642427252479528</v>
      </c>
      <c r="T24">
        <f t="shared" si="1"/>
        <v>-12.9618044617478</v>
      </c>
      <c r="V24">
        <f t="shared" si="2"/>
        <v>5.6386012396057144</v>
      </c>
      <c r="W24">
        <f t="shared" si="3"/>
        <v>13.036156181787852</v>
      </c>
    </row>
    <row r="25" spans="12:23" x14ac:dyDescent="0.25">
      <c r="L25">
        <f>Center!B24</f>
        <v>6.2853149999999998</v>
      </c>
      <c r="M25">
        <f>Center!C24</f>
        <v>4.4156000000000001E-2</v>
      </c>
      <c r="N25">
        <f>Center!H24</f>
        <v>1.4269E-2</v>
      </c>
      <c r="P25">
        <f>P24 + (Center!$D24-Center!$D23)*COS($N25)</f>
        <v>6.539442843919506</v>
      </c>
      <c r="Q25">
        <f>Q24 + (Center!$D24-Center!$D23)*SIN($N25)</f>
        <v>4.7707394457813038E-2</v>
      </c>
      <c r="S25">
        <f t="shared" si="0"/>
        <v>6.7249335493172282</v>
      </c>
      <c r="T25">
        <f t="shared" si="1"/>
        <v>-12.950969199650183</v>
      </c>
      <c r="V25">
        <f t="shared" si="2"/>
        <v>6.3539521385217839</v>
      </c>
      <c r="W25">
        <f t="shared" si="3"/>
        <v>13.046383988565809</v>
      </c>
    </row>
    <row r="26" spans="12:23" x14ac:dyDescent="0.25">
      <c r="L26">
        <f>Center!B25</f>
        <v>7.0709309999999999</v>
      </c>
      <c r="M26">
        <f>Center!C25</f>
        <v>5.6104000000000001E-2</v>
      </c>
      <c r="N26">
        <f>Center!H25</f>
        <v>1.6147000000000002E-2</v>
      </c>
      <c r="P26">
        <f>P25 + (Center!$D25-Center!$D24)*COS($N26)</f>
        <v>7.3250544182643758</v>
      </c>
      <c r="Q26">
        <f>Q25 + (Center!$D25-Center!$D24)*SIN($N26)</f>
        <v>6.0393767122004019E-2</v>
      </c>
      <c r="S26">
        <f t="shared" si="0"/>
        <v>7.5349562968544008</v>
      </c>
      <c r="T26">
        <f t="shared" si="1"/>
        <v>-12.937911553240507</v>
      </c>
      <c r="V26">
        <f t="shared" si="2"/>
        <v>7.1151525396743507</v>
      </c>
      <c r="W26">
        <f t="shared" si="3"/>
        <v>13.058699087484516</v>
      </c>
    </row>
    <row r="27" spans="12:23" x14ac:dyDescent="0.25">
      <c r="L27">
        <f>Center!B26</f>
        <v>7.9041550000000003</v>
      </c>
      <c r="M27">
        <f>Center!C26</f>
        <v>7.0397000000000001E-2</v>
      </c>
      <c r="N27">
        <f>Center!H26</f>
        <v>1.8162999999999999E-2</v>
      </c>
      <c r="P27">
        <f>P26 + (Center!$D26-Center!$D25)*COS($N27)</f>
        <v>8.1582499660277339</v>
      </c>
      <c r="Q27">
        <f>Q26 + (Center!$D26-Center!$D25)*SIN($N27)</f>
        <v>7.5528762210194791E-2</v>
      </c>
      <c r="S27">
        <f t="shared" si="0"/>
        <v>8.3943559838459176</v>
      </c>
      <c r="T27">
        <f t="shared" si="1"/>
        <v>-12.92232698204047</v>
      </c>
      <c r="V27">
        <f t="shared" si="2"/>
        <v>7.922143948209551</v>
      </c>
      <c r="W27">
        <f t="shared" si="3"/>
        <v>13.073384506460862</v>
      </c>
    </row>
    <row r="28" spans="12:23" x14ac:dyDescent="0.25">
      <c r="L28">
        <f>Center!B27</f>
        <v>8.7849389999999996</v>
      </c>
      <c r="M28">
        <f>Center!C27</f>
        <v>8.7345000000000006E-2</v>
      </c>
      <c r="N28">
        <f>Center!H27</f>
        <v>2.0320000000000001E-2</v>
      </c>
      <c r="P28">
        <f>P27 + (Center!$D27-Center!$D26)*COS($N28)</f>
        <v>9.0390210984816655</v>
      </c>
      <c r="Q28">
        <f>Q27 + (Center!$D27-Center!$D26)*SIN($N28)</f>
        <v>9.3428495303728043E-2</v>
      </c>
      <c r="S28">
        <f t="shared" si="0"/>
        <v>9.3031629201406325</v>
      </c>
      <c r="T28">
        <f t="shared" si="1"/>
        <v>-12.903887731442879</v>
      </c>
      <c r="V28">
        <f t="shared" si="2"/>
        <v>8.7748792768226984</v>
      </c>
      <c r="W28">
        <f t="shared" si="3"/>
        <v>13.090744722050335</v>
      </c>
    </row>
    <row r="29" spans="12:23" x14ac:dyDescent="0.25">
      <c r="L29">
        <f>Center!B28</f>
        <v>9.7133040000000008</v>
      </c>
      <c r="M29">
        <f>Center!C28</f>
        <v>0.10728</v>
      </c>
      <c r="N29">
        <f>Center!H28</f>
        <v>2.2624999999999999E-2</v>
      </c>
      <c r="P29">
        <f>P28 + (Center!$D28-Center!$D27)*COS($N29)</f>
        <v>9.9673544452248581</v>
      </c>
      <c r="Q29">
        <f>Q28 + (Center!$D28-Center!$D27)*SIN($N29)</f>
        <v>0.1144356218465003</v>
      </c>
      <c r="S29">
        <f t="shared" si="0"/>
        <v>10.261454352562088</v>
      </c>
      <c r="T29">
        <f t="shared" si="1"/>
        <v>-12.882237231022586</v>
      </c>
      <c r="V29">
        <f t="shared" si="2"/>
        <v>9.6732545378876278</v>
      </c>
      <c r="W29">
        <f t="shared" si="3"/>
        <v>13.111108474715586</v>
      </c>
    </row>
    <row r="30" spans="12:23" x14ac:dyDescent="0.25">
      <c r="L30">
        <f>Center!B29</f>
        <v>10.689216999999999</v>
      </c>
      <c r="M30">
        <f>Center!C29</f>
        <v>0.13056000000000001</v>
      </c>
      <c r="N30">
        <f>Center!H29</f>
        <v>2.5080999999999999E-2</v>
      </c>
      <c r="P30">
        <f>P29 + (Center!$D29-Center!$D28)*COS($N30)</f>
        <v>10.943237421957807</v>
      </c>
      <c r="Q30">
        <f>Q29 + (Center!$D29-Center!$D28)*SIN($N30)</f>
        <v>0.13891687636582303</v>
      </c>
      <c r="S30">
        <f t="shared" si="0"/>
        <v>11.269256238736503</v>
      </c>
      <c r="T30">
        <f t="shared" si="1"/>
        <v>-12.856994470327269</v>
      </c>
      <c r="V30">
        <f t="shared" si="2"/>
        <v>10.617218605179112</v>
      </c>
      <c r="W30">
        <f t="shared" si="3"/>
        <v>13.134828223058914</v>
      </c>
    </row>
    <row r="31" spans="12:23" x14ac:dyDescent="0.25">
      <c r="L31">
        <f>Center!B30</f>
        <v>11.712669</v>
      </c>
      <c r="M31">
        <f>Center!C30</f>
        <v>0.15756999999999999</v>
      </c>
      <c r="N31">
        <f>Center!H30</f>
        <v>2.7695000000000001E-2</v>
      </c>
      <c r="P31">
        <f>P30 + (Center!$D30-Center!$D29)*COS($N31)</f>
        <v>11.966654809251128</v>
      </c>
      <c r="Q31">
        <f>Q30 + (Center!$D30-Center!$D29)*SIN($N31)</f>
        <v>0.16726766975351615</v>
      </c>
      <c r="S31">
        <f t="shared" si="0"/>
        <v>12.326643785760453</v>
      </c>
      <c r="T31">
        <f t="shared" si="1"/>
        <v>-12.827747064243201</v>
      </c>
      <c r="V31">
        <f t="shared" si="2"/>
        <v>11.606665832741804</v>
      </c>
      <c r="W31">
        <f t="shared" si="3"/>
        <v>13.162282403750233</v>
      </c>
    </row>
    <row r="32" spans="12:23" x14ac:dyDescent="0.25">
      <c r="L32">
        <f>Center!B31</f>
        <v>12.783633999999999</v>
      </c>
      <c r="M32">
        <f>Center!C31</f>
        <v>0.188723</v>
      </c>
      <c r="N32">
        <f>Center!H31</f>
        <v>3.0474000000000001E-2</v>
      </c>
      <c r="P32">
        <f>P31 + (Center!$D31-Center!$D30)*COS($N32)</f>
        <v>13.037586348618188</v>
      </c>
      <c r="Q32">
        <f>Q31 + (Center!$D31-Center!$D30)*SIN($N32)</f>
        <v>0.19991334373797712</v>
      </c>
      <c r="S32">
        <f t="shared" si="0"/>
        <v>13.433687034522707</v>
      </c>
      <c r="T32">
        <f t="shared" si="1"/>
        <v>-12.79405080299669</v>
      </c>
      <c r="V32">
        <f t="shared" si="2"/>
        <v>12.641485662713668</v>
      </c>
      <c r="W32">
        <f t="shared" si="3"/>
        <v>13.193877490472644</v>
      </c>
    </row>
    <row r="33" spans="12:23" x14ac:dyDescent="0.25">
      <c r="L33">
        <f>Center!B32</f>
        <v>13.902120999999999</v>
      </c>
      <c r="M33">
        <f>Center!C32</f>
        <v>0.224464</v>
      </c>
      <c r="N33">
        <f>Center!H32</f>
        <v>3.3422E-2</v>
      </c>
      <c r="P33">
        <f>P32 + (Center!$D32-Center!$D31)*COS($N33)</f>
        <v>14.156008402212894</v>
      </c>
      <c r="Q33">
        <f>Q32 + (Center!$D32-Center!$D31)*SIN($N33)</f>
        <v>0.23730716999314352</v>
      </c>
      <c r="S33">
        <f t="shared" si="0"/>
        <v>14.5904135177417</v>
      </c>
      <c r="T33">
        <f t="shared" si="1"/>
        <v>-12.755432810303637</v>
      </c>
      <c r="V33">
        <f t="shared" si="2"/>
        <v>13.721603286684088</v>
      </c>
      <c r="W33">
        <f t="shared" si="3"/>
        <v>13.230047150289925</v>
      </c>
    </row>
    <row r="34" spans="12:23" x14ac:dyDescent="0.25">
      <c r="L34">
        <f>Center!B33</f>
        <v>15.068066</v>
      </c>
      <c r="M34">
        <f>Center!C33</f>
        <v>0.265266</v>
      </c>
      <c r="N34">
        <f>Center!H33</f>
        <v>3.6547999999999997E-2</v>
      </c>
      <c r="P34">
        <f>P33 + (Center!$D33-Center!$D32)*COS($N34)</f>
        <v>15.321896297543224</v>
      </c>
      <c r="Q34">
        <f>Q33 + (Center!$D33-Center!$D32)*SIN($N34)</f>
        <v>0.27993702351402006</v>
      </c>
      <c r="S34">
        <f t="shared" si="0"/>
        <v>15.796914529627783</v>
      </c>
      <c r="T34">
        <f t="shared" si="1"/>
        <v>-12.711381526932939</v>
      </c>
      <c r="V34">
        <f t="shared" si="2"/>
        <v>14.846878065458666</v>
      </c>
      <c r="W34">
        <f t="shared" si="3"/>
        <v>13.271255573960978</v>
      </c>
    </row>
    <row r="35" spans="12:23" x14ac:dyDescent="0.25">
      <c r="L35">
        <f>Center!B34</f>
        <v>16.281462000000001</v>
      </c>
      <c r="M35">
        <f>Center!C34</f>
        <v>0.31163800000000003</v>
      </c>
      <c r="N35">
        <f>Center!H34</f>
        <v>3.9857999999999998E-2</v>
      </c>
      <c r="P35">
        <f>P34 + (Center!$D34-Center!$D33)*COS($N35)</f>
        <v>16.535217881332883</v>
      </c>
      <c r="Q35">
        <f>Q34 + (Center!$D34-Center!$D33)*SIN($N35)</f>
        <v>0.32832322098968181</v>
      </c>
      <c r="S35">
        <f t="shared" si="0"/>
        <v>17.053234697127188</v>
      </c>
      <c r="T35">
        <f t="shared" si="1"/>
        <v>-12.661351854952532</v>
      </c>
      <c r="V35">
        <f t="shared" si="2"/>
        <v>16.017201065538579</v>
      </c>
      <c r="W35">
        <f t="shared" si="3"/>
        <v>13.317998296931894</v>
      </c>
    </row>
    <row r="36" spans="12:23" x14ac:dyDescent="0.25">
      <c r="L36">
        <f>Center!B35</f>
        <v>17.542280999999999</v>
      </c>
      <c r="M36">
        <f>Center!C35</f>
        <v>0.36412499999999998</v>
      </c>
      <c r="N36">
        <f>Center!H35</f>
        <v>4.3361999999999998E-2</v>
      </c>
      <c r="P36">
        <f>P35 + (Center!$D35-Center!$D34)*COS($N36)</f>
        <v>17.795935711481498</v>
      </c>
      <c r="Q36">
        <f>Q35 + (Center!$D35-Center!$D34)*SIN($N36)</f>
        <v>0.38302475626401378</v>
      </c>
      <c r="S36">
        <f t="shared" si="0"/>
        <v>18.359465075495173</v>
      </c>
      <c r="T36">
        <f t="shared" si="1"/>
        <v>-12.604755448832403</v>
      </c>
      <c r="V36">
        <f t="shared" si="2"/>
        <v>17.232406347467823</v>
      </c>
      <c r="W36">
        <f t="shared" si="3"/>
        <v>13.370804961360431</v>
      </c>
    </row>
    <row r="37" spans="12:23" x14ac:dyDescent="0.25">
      <c r="L37">
        <f>Center!B36</f>
        <v>18.850470999999999</v>
      </c>
      <c r="M37">
        <f>Center!C36</f>
        <v>0.42330600000000002</v>
      </c>
      <c r="N37">
        <f>Center!H36</f>
        <v>4.7065999999999997E-2</v>
      </c>
      <c r="P37">
        <f>P36 + (Center!$D36-Center!$D35)*COS($N37)</f>
        <v>19.104009544959311</v>
      </c>
      <c r="Q37">
        <f>Q36 + (Center!$D36-Center!$D35)*SIN($N37)</f>
        <v>0.44463605998874967</v>
      </c>
      <c r="S37">
        <f t="shared" si="0"/>
        <v>19.715641671152927</v>
      </c>
      <c r="T37">
        <f t="shared" si="1"/>
        <v>-12.54096774353952</v>
      </c>
      <c r="V37">
        <f t="shared" si="2"/>
        <v>18.492377418765695</v>
      </c>
      <c r="W37">
        <f t="shared" si="3"/>
        <v>13.430239863517018</v>
      </c>
    </row>
    <row r="38" spans="12:23" x14ac:dyDescent="0.25">
      <c r="L38">
        <f>Center!B37</f>
        <v>20.205973</v>
      </c>
      <c r="M38">
        <f>Center!C37</f>
        <v>0.48980200000000002</v>
      </c>
      <c r="N38">
        <f>Center!H37</f>
        <v>5.0980999999999999E-2</v>
      </c>
      <c r="P38">
        <f>P37 + (Center!$D37-Center!$D36)*COS($N38)</f>
        <v>20.459389277267608</v>
      </c>
      <c r="Q38">
        <f>Q37 + (Center!$D37-Center!$D36)*SIN($N38)</f>
        <v>0.51379460029213508</v>
      </c>
      <c r="S38">
        <f t="shared" si="0"/>
        <v>21.121855225177306</v>
      </c>
      <c r="T38">
        <f t="shared" si="1"/>
        <v>-12.469315153070504</v>
      </c>
      <c r="V38">
        <f t="shared" si="2"/>
        <v>19.796923329357909</v>
      </c>
      <c r="W38">
        <f t="shared" si="3"/>
        <v>13.496904353654774</v>
      </c>
    </row>
    <row r="39" spans="12:23" x14ac:dyDescent="0.25">
      <c r="L39">
        <f>Center!B38</f>
        <v>21.60876</v>
      </c>
      <c r="M39">
        <f>Center!C38</f>
        <v>0.56427899999999998</v>
      </c>
      <c r="N39">
        <f>Center!H38</f>
        <v>5.5116999999999999E-2</v>
      </c>
      <c r="P39">
        <f>P38 + (Center!$D38-Center!$D37)*COS($N39)</f>
        <v>21.862018065603692</v>
      </c>
      <c r="Q39">
        <f>Q38 + (Center!$D38-Center!$D37)*SIN($N39)</f>
        <v>0.59118167140124545</v>
      </c>
      <c r="S39">
        <f t="shared" si="0"/>
        <v>22.57817633612812</v>
      </c>
      <c r="T39">
        <f t="shared" si="1"/>
        <v>-12.389077083013454</v>
      </c>
      <c r="V39">
        <f t="shared" si="2"/>
        <v>21.145859795079264</v>
      </c>
      <c r="W39">
        <f t="shared" si="3"/>
        <v>13.571440425815947</v>
      </c>
    </row>
    <row r="40" spans="12:23" x14ac:dyDescent="0.25">
      <c r="L40">
        <f>Center!B39</f>
        <v>23.058758000000001</v>
      </c>
      <c r="M40">
        <f>Center!C39</f>
        <v>0.64744299999999999</v>
      </c>
      <c r="N40">
        <f>Center!H39</f>
        <v>5.9483000000000001E-2</v>
      </c>
      <c r="P40">
        <f>P39 + (Center!$D39-Center!$D38)*COS($N40)</f>
        <v>23.311830396071638</v>
      </c>
      <c r="Q40">
        <f>Q39 + (Center!$D39-Center!$D38)*SIN($N40)</f>
        <v>0.6775227136934121</v>
      </c>
      <c r="S40">
        <f t="shared" si="0"/>
        <v>24.084653470594208</v>
      </c>
      <c r="T40">
        <f t="shared" si="1"/>
        <v>-12.299485589281719</v>
      </c>
      <c r="V40">
        <f t="shared" si="2"/>
        <v>22.539007321549068</v>
      </c>
      <c r="W40">
        <f t="shared" si="3"/>
        <v>13.654531016668543</v>
      </c>
    </row>
    <row r="41" spans="12:23" x14ac:dyDescent="0.25">
      <c r="L41">
        <f>Center!B40</f>
        <v>24.555889000000001</v>
      </c>
      <c r="M41">
        <f>Center!C40</f>
        <v>0.74005200000000004</v>
      </c>
      <c r="N41">
        <f>Center!H40</f>
        <v>6.4090999999999995E-2</v>
      </c>
      <c r="P41">
        <f>P40 + (Center!$D40-Center!$D39)*COS($N41)</f>
        <v>24.808750708269017</v>
      </c>
      <c r="Q41">
        <f>Q40 + (Center!$D40-Center!$D39)*SIN($N41)</f>
        <v>0.77359341125987868</v>
      </c>
      <c r="S41">
        <f t="shared" si="0"/>
        <v>25.641363420511727</v>
      </c>
      <c r="T41">
        <f t="shared" si="1"/>
        <v>-12.199715961117388</v>
      </c>
      <c r="V41">
        <f t="shared" si="2"/>
        <v>23.976137996026306</v>
      </c>
      <c r="W41">
        <f t="shared" si="3"/>
        <v>13.746902783637147</v>
      </c>
    </row>
    <row r="42" spans="12:23" x14ac:dyDescent="0.25">
      <c r="L42">
        <f>Center!B41</f>
        <v>26.100097999999999</v>
      </c>
      <c r="M42">
        <f>Center!C41</f>
        <v>0.84291300000000002</v>
      </c>
      <c r="N42">
        <f>Center!H41</f>
        <v>6.8953E-2</v>
      </c>
      <c r="P42">
        <f>P41 + (Center!$D41-Center!$D40)*COS($N42)</f>
        <v>26.352692075918601</v>
      </c>
      <c r="Q42">
        <f>Q41 + (Center!$D41-Center!$D40)*SIN($N42)</f>
        <v>0.88022184284047078</v>
      </c>
      <c r="S42">
        <f t="shared" si="0"/>
        <v>27.248370928754923</v>
      </c>
      <c r="T42">
        <f t="shared" si="1"/>
        <v>-12.088886044465495</v>
      </c>
      <c r="V42">
        <f t="shared" si="2"/>
        <v>25.457013223082278</v>
      </c>
      <c r="W42">
        <f t="shared" si="3"/>
        <v>13.849329730146435</v>
      </c>
    </row>
    <row r="43" spans="12:23" x14ac:dyDescent="0.25">
      <c r="L43">
        <f>Center!B42</f>
        <v>27.691247000000001</v>
      </c>
      <c r="M43">
        <f>Center!C42</f>
        <v>0.95688700000000004</v>
      </c>
      <c r="N43">
        <f>Center!H42</f>
        <v>7.4081999999999995E-2</v>
      </c>
      <c r="P43">
        <f>P42 + (Center!$D42-Center!$D41)*COS($N43)</f>
        <v>27.943554630645473</v>
      </c>
      <c r="Q43">
        <f>Q42 + (Center!$D42-Center!$D41)*SIN($N43)</f>
        <v>0.99829219734106445</v>
      </c>
      <c r="S43">
        <f t="shared" si="0"/>
        <v>28.90573996506436</v>
      </c>
      <c r="T43">
        <f t="shared" si="1"/>
        <v>-11.966051186811843</v>
      </c>
      <c r="V43">
        <f t="shared" si="2"/>
        <v>26.981369296226585</v>
      </c>
      <c r="W43">
        <f t="shared" si="3"/>
        <v>13.96263558149397</v>
      </c>
    </row>
    <row r="44" spans="12:23" x14ac:dyDescent="0.25">
      <c r="L44">
        <f>Center!B43</f>
        <v>29.329260999999999</v>
      </c>
      <c r="M44">
        <f>Center!C43</f>
        <v>1.0828960000000001</v>
      </c>
      <c r="N44">
        <f>Center!H43</f>
        <v>7.9491999999999993E-2</v>
      </c>
      <c r="P44">
        <f>P43 + (Center!$D43-Center!$D42)*COS($N44)</f>
        <v>29.581223774665172</v>
      </c>
      <c r="Q44">
        <f>Q43 + (Center!$D43-Center!$D42)*SIN($N44)</f>
        <v>1.1287486926748598</v>
      </c>
      <c r="S44">
        <f t="shared" si="0"/>
        <v>30.613531784028947</v>
      </c>
      <c r="T44">
        <f t="shared" si="1"/>
        <v>-11.830199573824371</v>
      </c>
      <c r="V44">
        <f t="shared" si="2"/>
        <v>28.548915765301398</v>
      </c>
      <c r="W44">
        <f t="shared" si="3"/>
        <v>14.087696959174091</v>
      </c>
    </row>
    <row r="45" spans="12:23" x14ac:dyDescent="0.25">
      <c r="L45">
        <f>Center!B44</f>
        <v>31.012425</v>
      </c>
      <c r="M45">
        <f>Center!C44</f>
        <v>1.2217849999999999</v>
      </c>
      <c r="N45">
        <f>Center!H44</f>
        <v>8.5192000000000004E-2</v>
      </c>
      <c r="P45">
        <f>P44 + (Center!$D44-Center!$D43)*COS($N45)</f>
        <v>31.263987775138204</v>
      </c>
      <c r="Q45">
        <f>Q44 + (Center!$D44-Center!$D43)*SIN($N45)</f>
        <v>1.2724545486202414</v>
      </c>
      <c r="S45">
        <f t="shared" si="0"/>
        <v>32.370144619839046</v>
      </c>
      <c r="T45">
        <f t="shared" si="1"/>
        <v>-11.680399076543655</v>
      </c>
      <c r="V45">
        <f t="shared" si="2"/>
        <v>30.157830930437363</v>
      </c>
      <c r="W45">
        <f t="shared" si="3"/>
        <v>14.225308173784139</v>
      </c>
    </row>
    <row r="46" spans="12:23" x14ac:dyDescent="0.25">
      <c r="L46">
        <f>Center!B45</f>
        <v>32.737453000000002</v>
      </c>
      <c r="M46">
        <f>Center!C45</f>
        <v>1.374288</v>
      </c>
      <c r="N46">
        <f>Center!H45</f>
        <v>9.1187000000000004E-2</v>
      </c>
      <c r="P46">
        <f>P45 + (Center!$D45-Center!$D44)*COS($N46)</f>
        <v>32.988538968940688</v>
      </c>
      <c r="Q46">
        <f>Q45 + (Center!$D45-Center!$D44)*SIN($N46)</f>
        <v>1.4301485195589856</v>
      </c>
      <c r="S46">
        <f t="shared" si="0"/>
        <v>34.172327828394486</v>
      </c>
      <c r="T46">
        <f t="shared" si="1"/>
        <v>-11.515840972798602</v>
      </c>
      <c r="V46">
        <f t="shared" si="2"/>
        <v>31.804750109486889</v>
      </c>
      <c r="W46">
        <f t="shared" si="3"/>
        <v>14.376138011916572</v>
      </c>
    </row>
    <row r="47" spans="12:23" x14ac:dyDescent="0.25">
      <c r="L47">
        <f>Center!B46</f>
        <v>34.501002</v>
      </c>
      <c r="M47">
        <f>Center!C46</f>
        <v>1.54112</v>
      </c>
      <c r="N47">
        <f>Center!H46</f>
        <v>9.7479999999999997E-2</v>
      </c>
      <c r="P47">
        <f>P46 + (Center!$D46-Center!$D45)*COS($N47)</f>
        <v>34.751558261904407</v>
      </c>
      <c r="Q47">
        <f>Q46 + (Center!$D46-Center!$D45)*SIN($N47)</f>
        <v>1.6025540724820808</v>
      </c>
      <c r="S47">
        <f t="shared" si="0"/>
        <v>36.016792255476958</v>
      </c>
      <c r="T47">
        <f t="shared" si="1"/>
        <v>-11.335729544037866</v>
      </c>
      <c r="V47">
        <f t="shared" si="2"/>
        <v>33.486324268331856</v>
      </c>
      <c r="W47">
        <f t="shared" si="3"/>
        <v>14.540837689002027</v>
      </c>
    </row>
    <row r="48" spans="12:23" x14ac:dyDescent="0.25">
      <c r="L48">
        <f>Center!B47</f>
        <v>36.299771</v>
      </c>
      <c r="M48">
        <f>Center!C47</f>
        <v>1.722985</v>
      </c>
      <c r="N48">
        <f>Center!H47</f>
        <v>0.104075</v>
      </c>
      <c r="P48">
        <f>P47 + (Center!$D47-Center!$D46)*COS($N48)</f>
        <v>36.549711671911446</v>
      </c>
      <c r="Q48">
        <f>Q47 + (Center!$D47-Center!$D46)*SIN($N48)</f>
        <v>1.7903755147511859</v>
      </c>
      <c r="S48">
        <f t="shared" si="0"/>
        <v>37.900245512433663</v>
      </c>
      <c r="T48">
        <f t="shared" si="1"/>
        <v>-11.139282576072574</v>
      </c>
      <c r="V48">
        <f t="shared" si="2"/>
        <v>35.199177831389228</v>
      </c>
      <c r="W48">
        <f t="shared" si="3"/>
        <v>14.720033605574947</v>
      </c>
    </row>
    <row r="49" spans="12:23" x14ac:dyDescent="0.25">
      <c r="L49">
        <f>Center!B48</f>
        <v>38.130403999999999</v>
      </c>
      <c r="M49">
        <f>Center!C48</f>
        <v>1.9205589999999999</v>
      </c>
      <c r="N49">
        <f>Center!H48</f>
        <v>0.11097700000000001</v>
      </c>
      <c r="P49">
        <f>P48 + (Center!$D48-Center!$D47)*COS($N49)</f>
        <v>38.379654860498405</v>
      </c>
      <c r="Q49">
        <f>Q48 + (Center!$D48-Center!$D47)*SIN($N49)</f>
        <v>1.9942949582679774</v>
      </c>
      <c r="S49">
        <f t="shared" si="0"/>
        <v>39.819396324660801</v>
      </c>
      <c r="T49">
        <f t="shared" si="1"/>
        <v>-10.925733854252973</v>
      </c>
      <c r="V49">
        <f t="shared" si="2"/>
        <v>36.93991339633601</v>
      </c>
      <c r="W49">
        <f t="shared" si="3"/>
        <v>14.914323770788927</v>
      </c>
    </row>
    <row r="50" spans="12:23" x14ac:dyDescent="0.25">
      <c r="L50">
        <f>Center!B49</f>
        <v>39.989561000000002</v>
      </c>
      <c r="M50">
        <f>Center!C49</f>
        <v>2.1344919999999998</v>
      </c>
      <c r="N50">
        <f>Center!H49</f>
        <v>0.118189</v>
      </c>
      <c r="P50">
        <f>P49 + (Center!$D49-Center!$D48)*COS($N50)</f>
        <v>40.238028409627113</v>
      </c>
      <c r="Q50">
        <f>Q49 + (Center!$D49-Center!$D48)*SIN($N50)</f>
        <v>2.2149627038488786</v>
      </c>
      <c r="S50">
        <f t="shared" si="0"/>
        <v>41.770910871399224</v>
      </c>
      <c r="T50">
        <f t="shared" si="1"/>
        <v>-10.694346780333127</v>
      </c>
      <c r="V50">
        <f t="shared" si="2"/>
        <v>38.705145947855002</v>
      </c>
      <c r="W50">
        <f t="shared" si="3"/>
        <v>15.124272188030883</v>
      </c>
    </row>
    <row r="51" spans="12:23" x14ac:dyDescent="0.25">
      <c r="L51">
        <f>Center!B50</f>
        <v>41.873876000000003</v>
      </c>
      <c r="M51">
        <f>Center!C50</f>
        <v>2.3653970000000002</v>
      </c>
      <c r="N51">
        <f>Center!H50</f>
        <v>0.12571299999999999</v>
      </c>
      <c r="P51">
        <f>P50 + (Center!$D50-Center!$D49)*COS($N51)</f>
        <v>42.121459133000585</v>
      </c>
      <c r="Q51">
        <f>Q50 + (Center!$D50-Center!$D49)*SIN($N51)</f>
        <v>2.4529896602989409</v>
      </c>
      <c r="S51">
        <f t="shared" si="0"/>
        <v>43.75142693443189</v>
      </c>
      <c r="T51">
        <f t="shared" si="1"/>
        <v>-10.444421125060156</v>
      </c>
      <c r="V51">
        <f t="shared" si="2"/>
        <v>40.491491331569279</v>
      </c>
      <c r="W51">
        <f t="shared" si="3"/>
        <v>15.350400445658039</v>
      </c>
    </row>
    <row r="52" spans="12:23" x14ac:dyDescent="0.25">
      <c r="L52">
        <f>Center!B51</f>
        <v>43.779963000000002</v>
      </c>
      <c r="M52">
        <f>Center!C51</f>
        <v>2.613845</v>
      </c>
      <c r="N52">
        <f>Center!H51</f>
        <v>0.133552</v>
      </c>
      <c r="P52">
        <f>P51 + (Center!$D51-Center!$D50)*COS($N52)</f>
        <v>44.026564090348188</v>
      </c>
      <c r="Q52">
        <f>Q51 + (Center!$D51-Center!$D50)*SIN($N52)</f>
        <v>2.7089437944198416</v>
      </c>
      <c r="S52">
        <f t="shared" si="0"/>
        <v>45.757583579029365</v>
      </c>
      <c r="T52">
        <f t="shared" si="1"/>
        <v>-10.175293533796602</v>
      </c>
      <c r="V52">
        <f t="shared" si="2"/>
        <v>42.295544601667011</v>
      </c>
      <c r="W52">
        <f t="shared" si="3"/>
        <v>15.593181122636285</v>
      </c>
    </row>
    <row r="53" spans="12:23" x14ac:dyDescent="0.25">
      <c r="L53">
        <f>Center!B52</f>
        <v>45.704450999999999</v>
      </c>
      <c r="M53">
        <f>Center!C52</f>
        <v>2.8803570000000001</v>
      </c>
      <c r="N53">
        <f>Center!H52</f>
        <v>0.141707</v>
      </c>
      <c r="P53">
        <f>P52 + (Center!$D52-Center!$D51)*COS($N53)</f>
        <v>45.949947568676997</v>
      </c>
      <c r="Q53">
        <f>Q52 + (Center!$D52-Center!$D51)*SIN($N53)</f>
        <v>2.9833398648286162</v>
      </c>
      <c r="S53">
        <f t="shared" si="0"/>
        <v>47.785979288604068</v>
      </c>
      <c r="T53">
        <f t="shared" si="1"/>
        <v>-9.8863527314777002</v>
      </c>
      <c r="V53">
        <f t="shared" si="2"/>
        <v>44.113915848749926</v>
      </c>
      <c r="W53">
        <f t="shared" si="3"/>
        <v>15.853032461134934</v>
      </c>
    </row>
    <row r="54" spans="12:23" x14ac:dyDescent="0.25">
      <c r="L54">
        <f>Center!B53</f>
        <v>47.643925000000003</v>
      </c>
      <c r="M54">
        <f>Center!C53</f>
        <v>3.1653980000000002</v>
      </c>
      <c r="N54">
        <f>Center!H53</f>
        <v>0.15018100000000001</v>
      </c>
      <c r="P54">
        <f>P53 + (Center!$D53-Center!$D52)*COS($N54)</f>
        <v>47.888199266867041</v>
      </c>
      <c r="Q54">
        <f>Q53 + (Center!$D53-Center!$D52)*SIN($N54)</f>
        <v>3.2766368047246717</v>
      </c>
      <c r="S54">
        <f t="shared" si="0"/>
        <v>49.833221535535181</v>
      </c>
      <c r="T54">
        <f t="shared" si="1"/>
        <v>-9.5770353699647472</v>
      </c>
      <c r="V54">
        <f t="shared" si="2"/>
        <v>45.943176998198901</v>
      </c>
      <c r="W54">
        <f t="shared" si="3"/>
        <v>16.130308979414092</v>
      </c>
    </row>
    <row r="55" spans="12:23" x14ac:dyDescent="0.25">
      <c r="L55">
        <f>Center!B54</f>
        <v>49.594993000000002</v>
      </c>
      <c r="M55">
        <f>Center!C54</f>
        <v>3.4693679999999998</v>
      </c>
      <c r="N55">
        <f>Center!H54</f>
        <v>0.158972</v>
      </c>
      <c r="P55">
        <f>P54 + (Center!$D54-Center!$D53)*COS($N55)</f>
        <v>49.837903590942283</v>
      </c>
      <c r="Q55">
        <f>Q54 + (Center!$D54-Center!$D53)*SIN($N55)</f>
        <v>3.5892228829356192</v>
      </c>
      <c r="S55">
        <f t="shared" si="0"/>
        <v>51.895845879464233</v>
      </c>
      <c r="T55">
        <f t="shared" si="1"/>
        <v>-9.2468541477273316</v>
      </c>
      <c r="V55">
        <f t="shared" si="2"/>
        <v>47.779961302420332</v>
      </c>
      <c r="W55">
        <f t="shared" si="3"/>
        <v>16.425299913598572</v>
      </c>
    </row>
    <row r="56" spans="12:23" x14ac:dyDescent="0.25">
      <c r="L56">
        <f>Center!B55</f>
        <v>51.554212999999997</v>
      </c>
      <c r="M56">
        <f>Center!C55</f>
        <v>3.792592</v>
      </c>
      <c r="N56">
        <f>Center!H55</f>
        <v>0.16807900000000001</v>
      </c>
      <c r="P56">
        <f>P55 + (Center!$D55-Center!$D54)*COS($N56)</f>
        <v>51.795635790872794</v>
      </c>
      <c r="Q56">
        <f>Q55 + (Center!$D55-Center!$D54)*SIN($N56)</f>
        <v>3.9214106228963876</v>
      </c>
      <c r="S56">
        <f t="shared" si="0"/>
        <v>53.970389277395277</v>
      </c>
      <c r="T56">
        <f t="shared" si="1"/>
        <v>-8.895392694345329</v>
      </c>
      <c r="V56">
        <f t="shared" si="2"/>
        <v>49.62088230435031</v>
      </c>
      <c r="W56">
        <f t="shared" si="3"/>
        <v>16.738213940138106</v>
      </c>
    </row>
    <row r="57" spans="12:23" x14ac:dyDescent="0.25">
      <c r="L57">
        <f>Center!B56</f>
        <v>53.518171000000002</v>
      </c>
      <c r="M57">
        <f>Center!C56</f>
        <v>4.1353140000000002</v>
      </c>
      <c r="N57">
        <f>Center!H56</f>
        <v>0.17750099999999999</v>
      </c>
      <c r="P57">
        <f>P56 + (Center!$D56-Center!$D55)*COS($N57)</f>
        <v>53.757961592327682</v>
      </c>
      <c r="Q57">
        <f>Q56 + (Center!$D56-Center!$D55)*SIN($N57)</f>
        <v>4.2734301840637228</v>
      </c>
      <c r="S57">
        <f t="shared" si="0"/>
        <v>56.05337668282769</v>
      </c>
      <c r="T57">
        <f t="shared" si="1"/>
        <v>-8.522314013219404</v>
      </c>
      <c r="V57">
        <f t="shared" si="2"/>
        <v>51.462546501827674</v>
      </c>
      <c r="W57">
        <f t="shared" si="3"/>
        <v>17.069174381346851</v>
      </c>
    </row>
    <row r="58" spans="12:23" x14ac:dyDescent="0.25">
      <c r="L58">
        <f>Center!B57</f>
        <v>55.483440999999999</v>
      </c>
      <c r="M58">
        <f>Center!C57</f>
        <v>4.4976909999999997</v>
      </c>
      <c r="N58">
        <f>Center!H57</f>
        <v>0.18723300000000001</v>
      </c>
      <c r="P58">
        <f>P57 + (Center!$D57-Center!$D56)*COS($N58)</f>
        <v>55.721448423773147</v>
      </c>
      <c r="Q58">
        <f>Q57 + (Center!$D57-Center!$D56)*SIN($N58)</f>
        <v>4.6454167178378079</v>
      </c>
      <c r="S58">
        <f t="shared" si="0"/>
        <v>58.141281030478119</v>
      </c>
      <c r="T58">
        <f t="shared" si="1"/>
        <v>-8.127382903056878</v>
      </c>
      <c r="V58">
        <f t="shared" si="2"/>
        <v>53.301615817068175</v>
      </c>
      <c r="W58">
        <f t="shared" si="3"/>
        <v>17.418216338732492</v>
      </c>
    </row>
    <row r="59" spans="12:23" x14ac:dyDescent="0.25">
      <c r="L59">
        <f>Center!B58</f>
        <v>57.446593999999997</v>
      </c>
      <c r="M59">
        <f>Center!C58</f>
        <v>4.8797800000000002</v>
      </c>
      <c r="N59">
        <f>Center!H58</f>
        <v>0.197271</v>
      </c>
      <c r="P59">
        <f>P58 + (Center!$D58-Center!$D57)*COS($N59)</f>
        <v>57.682658616333704</v>
      </c>
      <c r="Q59">
        <f>Q58 + (Center!$D58-Center!$D57)*SIN($N59)</f>
        <v>5.037404703108515</v>
      </c>
      <c r="S59">
        <f t="shared" si="0"/>
        <v>60.2305805205933</v>
      </c>
      <c r="T59">
        <f t="shared" si="1"/>
        <v>-7.710461548535096</v>
      </c>
      <c r="V59">
        <f t="shared" si="2"/>
        <v>55.134736712074108</v>
      </c>
      <c r="W59">
        <f t="shared" si="3"/>
        <v>17.785270954752125</v>
      </c>
    </row>
    <row r="60" spans="12:23" x14ac:dyDescent="0.25">
      <c r="L60">
        <f>Center!B59</f>
        <v>59.405754000000002</v>
      </c>
      <c r="M60">
        <f>Center!C59</f>
        <v>5.2818529999999999</v>
      </c>
      <c r="N60">
        <f>Center!H59</f>
        <v>0.20761499999999999</v>
      </c>
      <c r="P60">
        <f>P59 + (Center!$D59-Center!$D58)*COS($N60)</f>
        <v>59.639709235304316</v>
      </c>
      <c r="Q60">
        <f>Q59 + (Center!$D59-Center!$D58)*SIN($N60)</f>
        <v>5.449658113994019</v>
      </c>
      <c r="S60">
        <f t="shared" si="0"/>
        <v>62.319356406060088</v>
      </c>
      <c r="T60">
        <f t="shared" si="1"/>
        <v>-7.2711709093149803</v>
      </c>
      <c r="V60">
        <f t="shared" si="2"/>
        <v>56.960062064548545</v>
      </c>
      <c r="W60">
        <f t="shared" si="3"/>
        <v>18.17048713730302</v>
      </c>
    </row>
    <row r="61" spans="12:23" x14ac:dyDescent="0.25">
      <c r="L61">
        <f>Center!B60</f>
        <v>61.360585</v>
      </c>
      <c r="M61">
        <f>Center!C60</f>
        <v>5.7044790000000001</v>
      </c>
      <c r="N61">
        <f>Center!H60</f>
        <v>0.218276</v>
      </c>
      <c r="P61">
        <f>P60 + (Center!$D60-Center!$D59)*COS($N61)</f>
        <v>61.592253688794912</v>
      </c>
      <c r="Q61">
        <f>Q60 + (Center!$D60-Center!$D59)*SIN($N61)</f>
        <v>5.8827518188006209</v>
      </c>
      <c r="S61">
        <f t="shared" si="0"/>
        <v>64.407362770037821</v>
      </c>
      <c r="T61">
        <f t="shared" si="1"/>
        <v>-6.8087871288882553</v>
      </c>
      <c r="V61">
        <f t="shared" si="2"/>
        <v>58.777144607551996</v>
      </c>
      <c r="W61">
        <f t="shared" si="3"/>
        <v>18.574290766489497</v>
      </c>
    </row>
    <row r="62" spans="12:23" x14ac:dyDescent="0.25">
      <c r="L62">
        <f>Center!B61</f>
        <v>63.310729000000002</v>
      </c>
      <c r="M62">
        <f>Center!C61</f>
        <v>6.1482349999999997</v>
      </c>
      <c r="N62">
        <f>Center!H61</f>
        <v>0.22926099999999999</v>
      </c>
      <c r="P62">
        <f>P61 + (Center!$D61-Center!$D60)*COS($N62)</f>
        <v>63.539922897815138</v>
      </c>
      <c r="Q62">
        <f>Q61 + (Center!$D61-Center!$D60)*SIN($N62)</f>
        <v>6.3372676625668571</v>
      </c>
      <c r="S62">
        <f t="shared" si="0"/>
        <v>66.494275882295682</v>
      </c>
      <c r="T62">
        <f t="shared" si="1"/>
        <v>-6.3225821960646016</v>
      </c>
      <c r="V62">
        <f t="shared" si="2"/>
        <v>60.585569913334602</v>
      </c>
      <c r="W62">
        <f t="shared" si="3"/>
        <v>18.997117521198316</v>
      </c>
    </row>
    <row r="63" spans="12:23" x14ac:dyDescent="0.25">
      <c r="L63">
        <f>Center!B62</f>
        <v>65.255801000000005</v>
      </c>
      <c r="M63">
        <f>Center!C62</f>
        <v>6.6137119999999996</v>
      </c>
      <c r="N63">
        <f>Center!H62</f>
        <v>0.24058099999999999</v>
      </c>
      <c r="P63">
        <f>P62 + (Center!$D62-Center!$D61)*COS($N63)</f>
        <v>65.482322309197016</v>
      </c>
      <c r="Q63">
        <f>Q62 + (Center!$D62-Center!$D61)*SIN($N63)</f>
        <v>6.8138015298452697</v>
      </c>
      <c r="S63">
        <f t="shared" si="0"/>
        <v>68.579792446506701</v>
      </c>
      <c r="T63">
        <f t="shared" si="1"/>
        <v>-5.8117946441369615</v>
      </c>
      <c r="V63">
        <f t="shared" si="2"/>
        <v>62.384852171887331</v>
      </c>
      <c r="W63">
        <f t="shared" si="3"/>
        <v>19.439397703827503</v>
      </c>
    </row>
    <row r="64" spans="12:23" x14ac:dyDescent="0.25">
      <c r="L64">
        <f>Center!B63</f>
        <v>67.195389000000006</v>
      </c>
      <c r="M64">
        <f>Center!C63</f>
        <v>7.1015069999999998</v>
      </c>
      <c r="N64">
        <f>Center!H63</f>
        <v>0.25224600000000003</v>
      </c>
      <c r="P64">
        <f>P63 + (Center!$D63-Center!$D62)*COS($N64)</f>
        <v>67.419030927275543</v>
      </c>
      <c r="Q64">
        <f>Q63 + (Center!$D63-Center!$D62)*SIN($N64)</f>
        <v>7.312960551260681</v>
      </c>
      <c r="S64">
        <f t="shared" si="0"/>
        <v>70.663564566475713</v>
      </c>
      <c r="T64">
        <f t="shared" si="1"/>
        <v>-5.2756454662496965</v>
      </c>
      <c r="V64">
        <f t="shared" si="2"/>
        <v>64.174497288075372</v>
      </c>
      <c r="W64">
        <f t="shared" si="3"/>
        <v>19.901566568771059</v>
      </c>
    </row>
    <row r="65" spans="12:23" x14ac:dyDescent="0.25">
      <c r="L65">
        <f>Center!B64</f>
        <v>69.129057000000003</v>
      </c>
      <c r="M65">
        <f>Center!C64</f>
        <v>7.6122300000000003</v>
      </c>
      <c r="N65">
        <f>Center!H64</f>
        <v>0.26426300000000003</v>
      </c>
      <c r="P65">
        <f>P64 + (Center!$D64-Center!$D63)*COS($N65)</f>
        <v>69.349601459056203</v>
      </c>
      <c r="Q65">
        <f>Q64 + (Center!$D64-Center!$D63)*SIN($N65)</f>
        <v>7.8353563990812223</v>
      </c>
      <c r="S65">
        <f t="shared" si="0"/>
        <v>72.745174469889719</v>
      </c>
      <c r="T65">
        <f t="shared" si="1"/>
        <v>-4.7133520574930632</v>
      </c>
      <c r="V65">
        <f t="shared" si="2"/>
        <v>65.954028448222687</v>
      </c>
      <c r="W65">
        <f t="shared" si="3"/>
        <v>20.38406485565551</v>
      </c>
    </row>
    <row r="66" spans="12:23" x14ac:dyDescent="0.25">
      <c r="L66">
        <f>Center!B65</f>
        <v>71.056369000000004</v>
      </c>
      <c r="M66">
        <f>Center!C65</f>
        <v>8.1465049999999994</v>
      </c>
      <c r="N66">
        <f>Center!H65</f>
        <v>0.27664299999999997</v>
      </c>
      <c r="P66">
        <f>P65 + (Center!$D65-Center!$D64)*COS($N66)</f>
        <v>71.273556953462148</v>
      </c>
      <c r="Q66">
        <f>Q65 + (Center!$D65-Center!$D64)*SIN($N66)</f>
        <v>8.381612067743065</v>
      </c>
      <c r="S66">
        <f t="shared" si="0"/>
        <v>74.824218799764125</v>
      </c>
      <c r="T66">
        <f t="shared" si="1"/>
        <v>-4.1240986458955415</v>
      </c>
      <c r="V66">
        <f t="shared" si="2"/>
        <v>67.72289510716017</v>
      </c>
      <c r="W66">
        <f t="shared" si="3"/>
        <v>20.88732278138167</v>
      </c>
    </row>
    <row r="67" spans="12:23" x14ac:dyDescent="0.25">
      <c r="L67">
        <f>Center!B66</f>
        <v>72.976809000000003</v>
      </c>
      <c r="M67">
        <f>Center!C66</f>
        <v>8.7049509999999994</v>
      </c>
      <c r="N67">
        <f>Center!H66</f>
        <v>0.28939399999999998</v>
      </c>
      <c r="P67">
        <f>P66 + (Center!$D66-Center!$D65)*COS($N67)</f>
        <v>73.190390926661522</v>
      </c>
      <c r="Q67">
        <f>Q66 + (Center!$D66-Center!$D65)*SIN($N67)</f>
        <v>8.9523550214347516</v>
      </c>
      <c r="S67">
        <f t="shared" ref="S67:S130" si="4">P67 + $B$10/2 * SIN($N67)</f>
        <v>76.900220125657484</v>
      </c>
      <c r="T67">
        <f t="shared" ref="T67:T130" si="5">Q67 - $B$10/2 * COS($N67)</f>
        <v>-3.5070658043611669</v>
      </c>
      <c r="V67">
        <f t="shared" ref="V67:V130" si="6">P67 - $B$10/2 * SIN($N67)</f>
        <v>69.48056172766556</v>
      </c>
      <c r="W67">
        <f t="shared" ref="W67:W130" si="7">Q67 + $B$10/2 * COS($N67)</f>
        <v>21.411775847230672</v>
      </c>
    </row>
    <row r="68" spans="12:23" x14ac:dyDescent="0.25">
      <c r="L68">
        <f>Center!B67</f>
        <v>74.889850999999993</v>
      </c>
      <c r="M68">
        <f>Center!C67</f>
        <v>9.2881979999999995</v>
      </c>
      <c r="N68">
        <f>Center!H67</f>
        <v>0.30252499999999999</v>
      </c>
      <c r="P68">
        <f>P67 + (Center!$D67-Center!$D66)*COS($N68)</f>
        <v>75.099565438590929</v>
      </c>
      <c r="Q68">
        <f>Q67 + (Center!$D67-Center!$D66)*SIN($N68)</f>
        <v>9.5482179947760208</v>
      </c>
      <c r="S68">
        <f t="shared" si="4"/>
        <v>78.972674765309179</v>
      </c>
      <c r="T68">
        <f t="shared" si="5"/>
        <v>-2.8614163327651472</v>
      </c>
      <c r="V68">
        <f t="shared" si="6"/>
        <v>71.226456111872679</v>
      </c>
      <c r="W68">
        <f t="shared" si="7"/>
        <v>21.957852322317187</v>
      </c>
    </row>
    <row r="69" spans="12:23" x14ac:dyDescent="0.25">
      <c r="L69">
        <f>Center!B68</f>
        <v>76.794967999999997</v>
      </c>
      <c r="M69">
        <f>Center!C68</f>
        <v>9.8968880000000006</v>
      </c>
      <c r="N69">
        <f>Center!H68</f>
        <v>0.31604500000000002</v>
      </c>
      <c r="P69">
        <f>P68 + (Center!$D68-Center!$D67)*COS($N69)</f>
        <v>77.000509641818695</v>
      </c>
      <c r="Q69">
        <f>Q68 + (Center!$D68-Center!$D67)*SIN($N69)</f>
        <v>10.169837762974183</v>
      </c>
      <c r="S69">
        <f t="shared" si="4"/>
        <v>81.04103813510676</v>
      </c>
      <c r="T69">
        <f t="shared" si="5"/>
        <v>-2.1862995580063238</v>
      </c>
      <c r="V69">
        <f t="shared" si="6"/>
        <v>72.95998114853063</v>
      </c>
      <c r="W69">
        <f t="shared" si="7"/>
        <v>22.525975083954691</v>
      </c>
    </row>
    <row r="70" spans="12:23" x14ac:dyDescent="0.25">
      <c r="L70">
        <f>Center!B69</f>
        <v>78.691540000000003</v>
      </c>
      <c r="M70">
        <f>Center!C69</f>
        <v>10.531648000000001</v>
      </c>
      <c r="N70">
        <f>Center!H69</f>
        <v>0.329961</v>
      </c>
      <c r="P70">
        <f>P69 + (Center!$D69-Center!$D68)*COS($N70)</f>
        <v>78.892619602792749</v>
      </c>
      <c r="Q70">
        <f>Q69 + (Center!$D69-Center!$D68)*SIN($N70)</f>
        <v>10.817850027968273</v>
      </c>
      <c r="S70">
        <f t="shared" si="4"/>
        <v>83.104699325254344</v>
      </c>
      <c r="T70">
        <f t="shared" si="5"/>
        <v>-1.4808647183630654</v>
      </c>
      <c r="V70">
        <f t="shared" si="6"/>
        <v>74.680539880331153</v>
      </c>
      <c r="W70">
        <f t="shared" si="7"/>
        <v>23.116564774299611</v>
      </c>
    </row>
    <row r="71" spans="12:23" x14ac:dyDescent="0.25">
      <c r="L71">
        <f>Center!B70</f>
        <v>80.578971999999993</v>
      </c>
      <c r="M71">
        <f>Center!C70</f>
        <v>11.193123</v>
      </c>
      <c r="N71">
        <f>Center!H70</f>
        <v>0.344281</v>
      </c>
      <c r="P71">
        <f>P70 + (Center!$D70-Center!$D69)*COS($N71)</f>
        <v>80.775256348286476</v>
      </c>
      <c r="Q71">
        <f>Q70 + (Center!$D70-Center!$D69)*SIN($N71)</f>
        <v>11.492889941245121</v>
      </c>
      <c r="S71">
        <f t="shared" si="4"/>
        <v>85.16301578458598</v>
      </c>
      <c r="T71">
        <f t="shared" si="5"/>
        <v>-0.74424890446406167</v>
      </c>
      <c r="V71">
        <f t="shared" si="6"/>
        <v>76.387496911986972</v>
      </c>
      <c r="W71">
        <f t="shared" si="7"/>
        <v>23.730028786954303</v>
      </c>
    </row>
    <row r="72" spans="12:23" x14ac:dyDescent="0.25">
      <c r="L72">
        <f>Center!B71</f>
        <v>82.456593999999996</v>
      </c>
      <c r="M72">
        <f>Center!C71</f>
        <v>11.881940999999999</v>
      </c>
      <c r="N72">
        <f>Center!H71</f>
        <v>0.359012</v>
      </c>
      <c r="P72">
        <f>P71 + (Center!$D71-Center!$D70)*COS($N72)</f>
        <v>82.647745175844051</v>
      </c>
      <c r="Q72">
        <f>Q71 + (Center!$D71-Center!$D70)*SIN($N72)</f>
        <v>12.19558873210223</v>
      </c>
      <c r="S72">
        <f t="shared" si="4"/>
        <v>87.215287316415271</v>
      </c>
      <c r="T72">
        <f t="shared" si="5"/>
        <v>2.4411352977969258E-2</v>
      </c>
      <c r="V72">
        <f t="shared" si="6"/>
        <v>78.080203035272831</v>
      </c>
      <c r="W72">
        <f t="shared" si="7"/>
        <v>24.366766111226489</v>
      </c>
    </row>
    <row r="73" spans="12:23" x14ac:dyDescent="0.25">
      <c r="L73">
        <f>Center!B72</f>
        <v>84.323704000000006</v>
      </c>
      <c r="M73">
        <f>Center!C72</f>
        <v>12.598727</v>
      </c>
      <c r="N73">
        <f>Center!H72</f>
        <v>0.37416100000000002</v>
      </c>
      <c r="P73">
        <f>P72 + (Center!$D72-Center!$D71)*COS($N73)</f>
        <v>84.509374369896562</v>
      </c>
      <c r="Q73">
        <f>Q72 + (Center!$D72-Center!$D71)*SIN($N73)</f>
        <v>12.92657214084103</v>
      </c>
      <c r="S73">
        <f t="shared" si="4"/>
        <v>89.26076652669876</v>
      </c>
      <c r="T73">
        <f t="shared" si="5"/>
        <v>0.82598237949970077</v>
      </c>
      <c r="V73">
        <f t="shared" si="6"/>
        <v>79.757982213094365</v>
      </c>
      <c r="W73">
        <f t="shared" si="7"/>
        <v>25.027161902182357</v>
      </c>
    </row>
    <row r="74" spans="12:23" x14ac:dyDescent="0.25">
      <c r="L74">
        <f>Center!B73</f>
        <v>86.179597999999999</v>
      </c>
      <c r="M74">
        <f>Center!C73</f>
        <v>13.344109</v>
      </c>
      <c r="N74">
        <f>Center!H73</f>
        <v>0.38973099999999999</v>
      </c>
      <c r="P74">
        <f>P73 + (Center!$D73-Center!$D72)*COS($N74)</f>
        <v>86.359396964048713</v>
      </c>
      <c r="Q74">
        <f>Q73 + (Center!$D73-Center!$D72)*SIN($N74)</f>
        <v>13.686451342508336</v>
      </c>
      <c r="S74">
        <f t="shared" si="4"/>
        <v>91.298611774886211</v>
      </c>
      <c r="T74">
        <f t="shared" si="5"/>
        <v>1.6613044805193518</v>
      </c>
      <c r="V74">
        <f t="shared" si="6"/>
        <v>81.420182153211215</v>
      </c>
      <c r="W74">
        <f t="shared" si="7"/>
        <v>25.711598204497321</v>
      </c>
    </row>
    <row r="75" spans="12:23" x14ac:dyDescent="0.25">
      <c r="L75">
        <f>Center!B74</f>
        <v>88.023494999999997</v>
      </c>
      <c r="M75">
        <f>Center!C74</f>
        <v>14.118688000000001</v>
      </c>
      <c r="N75">
        <f>Center!H74</f>
        <v>0.40572799999999998</v>
      </c>
      <c r="P75">
        <f>P74 + (Center!$D74-Center!$D73)*COS($N75)</f>
        <v>88.197027580006292</v>
      </c>
      <c r="Q75">
        <f>Q74 + (Center!$D74-Center!$D73)*SIN($N75)</f>
        <v>14.475826867398336</v>
      </c>
      <c r="S75">
        <f t="shared" si="4"/>
        <v>93.327968491791296</v>
      </c>
      <c r="T75">
        <f t="shared" si="5"/>
        <v>2.5312278636740615</v>
      </c>
      <c r="V75">
        <f t="shared" si="6"/>
        <v>83.066086668221288</v>
      </c>
      <c r="W75">
        <f t="shared" si="7"/>
        <v>26.42042587112261</v>
      </c>
    </row>
    <row r="76" spans="12:23" x14ac:dyDescent="0.25">
      <c r="L76">
        <f>Center!B75</f>
        <v>89.854588000000007</v>
      </c>
      <c r="M76">
        <f>Center!C75</f>
        <v>14.923054</v>
      </c>
      <c r="N76">
        <f>Center!H75</f>
        <v>0.422153</v>
      </c>
      <c r="P76">
        <f>P75 + (Center!$D75-Center!$D74)*COS($N76)</f>
        <v>90.021445412937467</v>
      </c>
      <c r="Q76">
        <f>Q75 + (Center!$D75-Center!$D74)*SIN($N76)</f>
        <v>15.295277641321164</v>
      </c>
      <c r="S76">
        <f t="shared" si="4"/>
        <v>95.347875443435854</v>
      </c>
      <c r="T76">
        <f t="shared" si="5"/>
        <v>3.4365617272685398</v>
      </c>
      <c r="V76">
        <f t="shared" si="6"/>
        <v>84.695015382439081</v>
      </c>
      <c r="W76">
        <f t="shared" si="7"/>
        <v>27.153993555373788</v>
      </c>
    </row>
    <row r="77" spans="12:23" x14ac:dyDescent="0.25">
      <c r="L77">
        <f>Center!B76</f>
        <v>91.672040999999993</v>
      </c>
      <c r="M77">
        <f>Center!C76</f>
        <v>15.757777000000001</v>
      </c>
      <c r="N77">
        <f>Center!H76</f>
        <v>0.43901000000000001</v>
      </c>
      <c r="P77">
        <f>P76 + (Center!$D76-Center!$D75)*COS($N77)</f>
        <v>91.831791212633433</v>
      </c>
      <c r="Q77">
        <f>Q76 + (Center!$D76-Center!$D75)*SIN($N77)</f>
        <v>16.145364745989379</v>
      </c>
      <c r="S77">
        <f t="shared" si="4"/>
        <v>97.357357392976823</v>
      </c>
      <c r="T77">
        <f t="shared" si="5"/>
        <v>4.3781170479656257</v>
      </c>
      <c r="V77">
        <f t="shared" si="6"/>
        <v>86.306225032290044</v>
      </c>
      <c r="W77">
        <f t="shared" si="7"/>
        <v>27.912612444013135</v>
      </c>
    </row>
    <row r="78" spans="12:23" x14ac:dyDescent="0.25">
      <c r="L78">
        <f>Center!B77</f>
        <v>93.474979000000005</v>
      </c>
      <c r="M78">
        <f>Center!C77</f>
        <v>16.623403</v>
      </c>
      <c r="N78">
        <f>Center!H77</f>
        <v>0.45629700000000001</v>
      </c>
      <c r="P78">
        <f>P77 + (Center!$D77-Center!$D76)*COS($N78)</f>
        <v>93.627171793005573</v>
      </c>
      <c r="Q78">
        <f>Q77 + (Center!$D77-Center!$D76)*SIN($N78)</f>
        <v>17.026618722787543</v>
      </c>
      <c r="S78">
        <f t="shared" si="4"/>
        <v>99.355322642193627</v>
      </c>
      <c r="T78">
        <f t="shared" si="5"/>
        <v>5.3566449503685956</v>
      </c>
      <c r="V78">
        <f t="shared" si="6"/>
        <v>87.899020943817519</v>
      </c>
      <c r="W78">
        <f t="shared" si="7"/>
        <v>28.696592495206488</v>
      </c>
    </row>
    <row r="79" spans="12:23" x14ac:dyDescent="0.25">
      <c r="L79">
        <f>Center!B78</f>
        <v>95.26249</v>
      </c>
      <c r="M79">
        <f>Center!C78</f>
        <v>17.52045</v>
      </c>
      <c r="N79">
        <f>Center!H78</f>
        <v>0.47401300000000002</v>
      </c>
      <c r="P79">
        <f>P78 + (Center!$D78-Center!$D77)*COS($N79)</f>
        <v>95.406659155878728</v>
      </c>
      <c r="Q79">
        <f>Q78 + (Center!$D78-Center!$D77)*SIN($N79)</f>
        <v>17.939539708073088</v>
      </c>
      <c r="S79">
        <f t="shared" si="4"/>
        <v>101.34064556023478</v>
      </c>
      <c r="T79">
        <f t="shared" si="5"/>
        <v>6.3728718493975549</v>
      </c>
      <c r="V79">
        <f t="shared" si="6"/>
        <v>89.47267275152268</v>
      </c>
      <c r="W79">
        <f t="shared" si="7"/>
        <v>29.506207566748621</v>
      </c>
    </row>
    <row r="80" spans="12:23" x14ac:dyDescent="0.25">
      <c r="L80">
        <f>Center!B79</f>
        <v>97.033631</v>
      </c>
      <c r="M80">
        <f>Center!C79</f>
        <v>18.449399</v>
      </c>
      <c r="N80">
        <f>Center!H79</f>
        <v>0.49215500000000001</v>
      </c>
      <c r="P80">
        <f>P79 + (Center!$D79-Center!$D78)*COS($N80)</f>
        <v>97.169292379516676</v>
      </c>
      <c r="Q80">
        <f>Q79 + (Center!$D79-Center!$D78)*SIN($N80)</f>
        <v>18.884592150495045</v>
      </c>
      <c r="S80">
        <f t="shared" si="4"/>
        <v>103.3121332552594</v>
      </c>
      <c r="T80">
        <f t="shared" si="5"/>
        <v>7.4274761968484011</v>
      </c>
      <c r="V80">
        <f t="shared" si="6"/>
        <v>91.026451503773956</v>
      </c>
      <c r="W80">
        <f t="shared" si="7"/>
        <v>30.341708104141688</v>
      </c>
    </row>
    <row r="81" spans="12:23" x14ac:dyDescent="0.25">
      <c r="L81">
        <f>Center!B80</f>
        <v>98.787425999999996</v>
      </c>
      <c r="M81">
        <f>Center!C80</f>
        <v>19.410693999999999</v>
      </c>
      <c r="N81">
        <f>Center!H80</f>
        <v>0.51071599999999995</v>
      </c>
      <c r="P81">
        <f>P80 + (Center!$D80-Center!$D79)*COS($N81)</f>
        <v>98.914081877632682</v>
      </c>
      <c r="Q81">
        <f>Q80 + (Center!$D80-Center!$D79)*SIN($N81)</f>
        <v>19.862196164022041</v>
      </c>
      <c r="S81">
        <f t="shared" si="4"/>
        <v>105.26850796555816</v>
      </c>
      <c r="T81">
        <f t="shared" si="5"/>
        <v>8.5210644262679924</v>
      </c>
      <c r="V81">
        <f t="shared" si="6"/>
        <v>92.559655789707207</v>
      </c>
      <c r="W81">
        <f t="shared" si="7"/>
        <v>31.203327901776092</v>
      </c>
    </row>
    <row r="82" spans="12:23" x14ac:dyDescent="0.25">
      <c r="L82">
        <f>Center!B81</f>
        <v>100.52287</v>
      </c>
      <c r="M82">
        <f>Center!C81</f>
        <v>20.404733</v>
      </c>
      <c r="N82">
        <f>Center!H81</f>
        <v>0.52968999999999999</v>
      </c>
      <c r="P82">
        <f>P81 + (Center!$D81-Center!$D80)*COS($N82)</f>
        <v>100.64000936641297</v>
      </c>
      <c r="Q82">
        <f>Q81 + (Center!$D81-Center!$D80)*SIN($N82)</f>
        <v>20.872727857474832</v>
      </c>
      <c r="S82">
        <f t="shared" si="4"/>
        <v>107.2084653738561</v>
      </c>
      <c r="T82">
        <f t="shared" si="5"/>
        <v>9.6541991804029461</v>
      </c>
      <c r="V82">
        <f t="shared" si="6"/>
        <v>94.071553358969837</v>
      </c>
      <c r="W82">
        <f t="shared" si="7"/>
        <v>32.091256534546716</v>
      </c>
    </row>
    <row r="83" spans="12:23" x14ac:dyDescent="0.25">
      <c r="L83">
        <f>Center!B82</f>
        <v>102.238933</v>
      </c>
      <c r="M83">
        <f>Center!C82</f>
        <v>21.431863</v>
      </c>
      <c r="N83">
        <f>Center!H82</f>
        <v>0.54906500000000003</v>
      </c>
      <c r="P83">
        <f>P82 + (Center!$D82-Center!$D81)*COS($N83)</f>
        <v>102.34603509020947</v>
      </c>
      <c r="Q83">
        <f>Q82 + (Center!$D82-Center!$D81)*SIN($N83)</f>
        <v>21.916507637765974</v>
      </c>
      <c r="S83">
        <f t="shared" si="4"/>
        <v>109.13060366210189</v>
      </c>
      <c r="T83">
        <f t="shared" si="5"/>
        <v>10.827340433088718</v>
      </c>
      <c r="V83">
        <f t="shared" si="6"/>
        <v>95.561466518317047</v>
      </c>
      <c r="W83">
        <f t="shared" si="7"/>
        <v>33.005674842443227</v>
      </c>
    </row>
    <row r="84" spans="12:23" x14ac:dyDescent="0.25">
      <c r="L84">
        <f>Center!B83</f>
        <v>103.93456399999999</v>
      </c>
      <c r="M84">
        <f>Center!C83</f>
        <v>22.492380000000001</v>
      </c>
      <c r="N84">
        <f>Center!H83</f>
        <v>0.56883099999999998</v>
      </c>
      <c r="P84">
        <f>P83 + (Center!$D83-Center!$D82)*COS($N84)</f>
        <v>104.03109754946769</v>
      </c>
      <c r="Q84">
        <f>Q83 + (Center!$D83-Center!$D82)*SIN($N84)</f>
        <v>22.993802633762272</v>
      </c>
      <c r="S84">
        <f t="shared" si="4"/>
        <v>111.03351502344361</v>
      </c>
      <c r="T84">
        <f t="shared" si="5"/>
        <v>12.04089664858388</v>
      </c>
      <c r="V84">
        <f t="shared" si="6"/>
        <v>97.028680075491764</v>
      </c>
      <c r="W84">
        <f t="shared" si="7"/>
        <v>33.946708618940661</v>
      </c>
    </row>
    <row r="85" spans="12:23" x14ac:dyDescent="0.25">
      <c r="L85">
        <f>Center!B84</f>
        <v>105.60869599999999</v>
      </c>
      <c r="M85">
        <f>Center!C84</f>
        <v>23.586517000000001</v>
      </c>
      <c r="N85">
        <f>Center!H84</f>
        <v>0.58896999999999999</v>
      </c>
      <c r="P85">
        <f>P84 + (Center!$D84-Center!$D83)*COS($N85)</f>
        <v>105.69412412962768</v>
      </c>
      <c r="Q85">
        <f>Q84 + (Center!$D84-Center!$D83)*SIN($N85)</f>
        <v>24.104812351848199</v>
      </c>
      <c r="S85">
        <f t="shared" si="4"/>
        <v>112.91568729718621</v>
      </c>
      <c r="T85">
        <f t="shared" si="5"/>
        <v>13.295139580808273</v>
      </c>
      <c r="V85">
        <f t="shared" si="6"/>
        <v>98.472560962069153</v>
      </c>
      <c r="W85">
        <f t="shared" si="7"/>
        <v>34.914485122888124</v>
      </c>
    </row>
    <row r="86" spans="12:23" x14ac:dyDescent="0.25">
      <c r="L86">
        <f>Center!B85</f>
        <v>107.26025</v>
      </c>
      <c r="M86">
        <f>Center!C85</f>
        <v>24.714442999999999</v>
      </c>
      <c r="N86">
        <f>Center!H85</f>
        <v>0.60946699999999998</v>
      </c>
      <c r="P86">
        <f>P85 + (Center!$D85-Center!$D84)*COS($N86)</f>
        <v>107.33403060914921</v>
      </c>
      <c r="Q86">
        <f>Q85 + (Center!$D85-Center!$D84)*SIN($N86)</f>
        <v>25.24967336455817</v>
      </c>
      <c r="S86">
        <f t="shared" si="4"/>
        <v>114.77562719176402</v>
      </c>
      <c r="T86">
        <f t="shared" si="5"/>
        <v>14.590281247668216</v>
      </c>
      <c r="V86">
        <f t="shared" si="6"/>
        <v>99.892434026534403</v>
      </c>
      <c r="W86">
        <f t="shared" si="7"/>
        <v>35.909065481448124</v>
      </c>
    </row>
    <row r="87" spans="12:23" x14ac:dyDescent="0.25">
      <c r="L87">
        <f>Center!B86</f>
        <v>108.88814499999999</v>
      </c>
      <c r="M87">
        <f>Center!C86</f>
        <v>25.876259999999998</v>
      </c>
      <c r="N87">
        <f>Center!H86</f>
        <v>0.630301</v>
      </c>
      <c r="P87">
        <f>P86 + (Center!$D86-Center!$D85)*COS($N87)</f>
        <v>108.94973088742648</v>
      </c>
      <c r="Q87">
        <f>Q86 + (Center!$D86-Center!$D85)*SIN($N87)</f>
        <v>26.428449259618265</v>
      </c>
      <c r="S87">
        <f t="shared" si="4"/>
        <v>116.61177420531709</v>
      </c>
      <c r="T87">
        <f t="shared" si="5"/>
        <v>15.926397450815957</v>
      </c>
      <c r="V87">
        <f t="shared" si="6"/>
        <v>101.28768756953588</v>
      </c>
      <c r="W87">
        <f t="shared" si="7"/>
        <v>36.930501068420575</v>
      </c>
    </row>
    <row r="88" spans="12:23" x14ac:dyDescent="0.25">
      <c r="L88">
        <f>Center!B87</f>
        <v>110.49129000000001</v>
      </c>
      <c r="M88">
        <f>Center!C87</f>
        <v>27.071991000000001</v>
      </c>
      <c r="N88">
        <f>Center!H87</f>
        <v>0.65144899999999994</v>
      </c>
      <c r="P88">
        <f>P87 + (Center!$D87-Center!$D86)*COS($N88)</f>
        <v>110.54014298347644</v>
      </c>
      <c r="Q88">
        <f>Q87 + (Center!$D87-Center!$D86)*SIN($N88)</f>
        <v>27.641127850481464</v>
      </c>
      <c r="S88">
        <f t="shared" si="4"/>
        <v>118.42255382408725</v>
      </c>
      <c r="T88">
        <f t="shared" si="5"/>
        <v>17.303449226156687</v>
      </c>
      <c r="V88">
        <f t="shared" si="6"/>
        <v>102.65773214286564</v>
      </c>
      <c r="W88">
        <f t="shared" si="7"/>
        <v>37.978806474806241</v>
      </c>
    </row>
    <row r="89" spans="12:23" x14ac:dyDescent="0.25">
      <c r="L89">
        <f>Center!B88</f>
        <v>112.06861000000001</v>
      </c>
      <c r="M89">
        <f>Center!C88</f>
        <v>28.301583999999998</v>
      </c>
      <c r="N89">
        <f>Center!H88</f>
        <v>0.67288499999999996</v>
      </c>
      <c r="P89">
        <f>P88 + (Center!$D88-Center!$D87)*COS($N89)</f>
        <v>112.10419670714386</v>
      </c>
      <c r="Q89">
        <f>Q88 + (Center!$D88-Center!$D87)*SIN($N89)</f>
        <v>28.887617300690373</v>
      </c>
      <c r="S89">
        <f t="shared" si="4"/>
        <v>120.20637813350174</v>
      </c>
      <c r="T89">
        <f t="shared" si="5"/>
        <v>18.721268096852196</v>
      </c>
      <c r="V89">
        <f t="shared" si="6"/>
        <v>104.00201528078597</v>
      </c>
      <c r="W89">
        <f t="shared" si="7"/>
        <v>39.053966504528546</v>
      </c>
    </row>
    <row r="90" spans="12:23" x14ac:dyDescent="0.25">
      <c r="L90">
        <f>Center!B89</f>
        <v>113.619043</v>
      </c>
      <c r="M90">
        <f>Center!C89</f>
        <v>29.564910000000001</v>
      </c>
      <c r="N90">
        <f>Center!H89</f>
        <v>0.69458200000000003</v>
      </c>
      <c r="P90">
        <f>P89 + (Center!$D89-Center!$D88)*COS($N90)</f>
        <v>113.64083933874244</v>
      </c>
      <c r="Q90">
        <f>Q89 + (Center!$D89-Center!$D88)*SIN($N90)</f>
        <v>30.167745974985962</v>
      </c>
      <c r="S90">
        <f t="shared" si="4"/>
        <v>121.96167572166377</v>
      </c>
      <c r="T90">
        <f t="shared" si="5"/>
        <v>20.17956886959518</v>
      </c>
      <c r="V90">
        <f t="shared" si="6"/>
        <v>105.32000295582111</v>
      </c>
      <c r="W90">
        <f t="shared" si="7"/>
        <v>40.155923080376745</v>
      </c>
    </row>
    <row r="91" spans="12:23" x14ac:dyDescent="0.25">
      <c r="L91">
        <f>Center!B90</f>
        <v>115.14155</v>
      </c>
      <c r="M91">
        <f>Center!C90</f>
        <v>30.861756</v>
      </c>
      <c r="N91">
        <f>Center!H90</f>
        <v>0.71651100000000001</v>
      </c>
      <c r="P91">
        <f>P90 + (Center!$D90-Center!$D89)*COS($N91)</f>
        <v>115.14904282211729</v>
      </c>
      <c r="Q91">
        <f>Q90 + (Center!$D90-Center!$D89)*SIN($N91)</f>
        <v>31.48126120243327</v>
      </c>
      <c r="S91">
        <f t="shared" si="4"/>
        <v>123.6868918005248</v>
      </c>
      <c r="T91">
        <f t="shared" si="5"/>
        <v>21.677938560496717</v>
      </c>
      <c r="V91">
        <f t="shared" si="6"/>
        <v>106.61119384370978</v>
      </c>
      <c r="W91">
        <f t="shared" si="7"/>
        <v>41.28458384436982</v>
      </c>
    </row>
    <row r="92" spans="12:23" x14ac:dyDescent="0.25">
      <c r="L92">
        <f>Center!B91</f>
        <v>116.63511800000001</v>
      </c>
      <c r="M92">
        <f>Center!C91</f>
        <v>32.191825000000001</v>
      </c>
      <c r="N92">
        <f>Center!H91</f>
        <v>0.73863699999999999</v>
      </c>
      <c r="P92">
        <f>P91 + (Center!$D91-Center!$D90)*COS($N92)</f>
        <v>116.62781667595065</v>
      </c>
      <c r="Q92">
        <f>Q91 + (Center!$D91-Center!$D90)*SIN($N92)</f>
        <v>32.82782270835078</v>
      </c>
      <c r="S92">
        <f t="shared" si="4"/>
        <v>125.38046646441447</v>
      </c>
      <c r="T92">
        <f t="shared" si="5"/>
        <v>23.215792658433937</v>
      </c>
      <c r="V92">
        <f t="shared" si="6"/>
        <v>107.87516688748684</v>
      </c>
      <c r="W92">
        <f t="shared" si="7"/>
        <v>42.439852758267619</v>
      </c>
    </row>
    <row r="93" spans="12:23" x14ac:dyDescent="0.25">
      <c r="L93">
        <f>Center!B92</f>
        <v>118.098776</v>
      </c>
      <c r="M93">
        <f>Center!C92</f>
        <v>33.554738</v>
      </c>
      <c r="N93">
        <f>Center!H92</f>
        <v>0.76092899999999997</v>
      </c>
      <c r="P93">
        <f>P92 + (Center!$D92-Center!$D91)*COS($N93)</f>
        <v>118.07620805600841</v>
      </c>
      <c r="Q93">
        <f>Q92 + (Center!$D92-Center!$D91)*SIN($N93)</f>
        <v>34.207011749118713</v>
      </c>
      <c r="S93">
        <f t="shared" si="4"/>
        <v>127.04093682099997</v>
      </c>
      <c r="T93">
        <f t="shared" si="5"/>
        <v>24.792467778743259</v>
      </c>
      <c r="V93">
        <f t="shared" si="6"/>
        <v>109.11147929101685</v>
      </c>
      <c r="W93">
        <f t="shared" si="7"/>
        <v>43.621555719494168</v>
      </c>
    </row>
    <row r="94" spans="12:23" x14ac:dyDescent="0.25">
      <c r="L94">
        <f>Center!B93</f>
        <v>119.531598</v>
      </c>
      <c r="M94">
        <f>Center!C93</f>
        <v>34.950035</v>
      </c>
      <c r="N94">
        <f>Center!H93</f>
        <v>0.78334999999999999</v>
      </c>
      <c r="P94">
        <f>P93 + (Center!$D93-Center!$D92)*COS($N94)</f>
        <v>119.49331519051795</v>
      </c>
      <c r="Q94">
        <f>Q93 + (Center!$D93-Center!$D92)*SIN($N94)</f>
        <v>35.618325806769299</v>
      </c>
      <c r="S94">
        <f t="shared" si="4"/>
        <v>128.66685656524675</v>
      </c>
      <c r="T94">
        <f t="shared" si="5"/>
        <v>26.407129432457296</v>
      </c>
      <c r="V94">
        <f t="shared" si="6"/>
        <v>110.31977381578913</v>
      </c>
      <c r="W94">
        <f t="shared" si="7"/>
        <v>44.829522181081302</v>
      </c>
    </row>
    <row r="95" spans="12:23" x14ac:dyDescent="0.25">
      <c r="L95">
        <f>Center!B94</f>
        <v>120.93270800000001</v>
      </c>
      <c r="M95">
        <f>Center!C94</f>
        <v>36.377172000000002</v>
      </c>
      <c r="N95">
        <f>Center!H94</f>
        <v>0.80586400000000002</v>
      </c>
      <c r="P95">
        <f>P94 + (Center!$D94-Center!$D93)*COS($N95)</f>
        <v>120.87829154796077</v>
      </c>
      <c r="Q95">
        <f>Q94 + (Center!$D94-Center!$D93)*SIN($N95)</f>
        <v>37.061184250735444</v>
      </c>
      <c r="S95">
        <f t="shared" si="4"/>
        <v>130.25687143374071</v>
      </c>
      <c r="T95">
        <f t="shared" si="5"/>
        <v>28.058837927357075</v>
      </c>
      <c r="V95">
        <f t="shared" si="6"/>
        <v>111.49971166218083</v>
      </c>
      <c r="W95">
        <f t="shared" si="7"/>
        <v>46.063530574113813</v>
      </c>
    </row>
    <row r="96" spans="12:23" x14ac:dyDescent="0.25">
      <c r="L96">
        <f>Center!B95</f>
        <v>122.301288</v>
      </c>
      <c r="M96">
        <f>Center!C95</f>
        <v>37.835527999999996</v>
      </c>
      <c r="N96">
        <f>Center!H95</f>
        <v>0.82843199999999995</v>
      </c>
      <c r="P96">
        <f>P95 + (Center!$D95-Center!$D94)*COS($N96)</f>
        <v>122.23035556066944</v>
      </c>
      <c r="Q96">
        <f>Q95 + (Center!$D95-Center!$D94)*SIN($N96)</f>
        <v>38.534928769143619</v>
      </c>
      <c r="S96">
        <f t="shared" si="4"/>
        <v>131.80969493032259</v>
      </c>
      <c r="T96">
        <f t="shared" si="5"/>
        <v>29.746512686537315</v>
      </c>
      <c r="V96">
        <f t="shared" si="6"/>
        <v>112.65101619101628</v>
      </c>
      <c r="W96">
        <f t="shared" si="7"/>
        <v>47.323344851749923</v>
      </c>
    </row>
    <row r="97" spans="12:23" x14ac:dyDescent="0.25">
      <c r="L97">
        <f>Center!B96</f>
        <v>123.63659199999999</v>
      </c>
      <c r="M97">
        <f>Center!C96</f>
        <v>39.324412000000002</v>
      </c>
      <c r="N97">
        <f>Center!H96</f>
        <v>0.85101700000000002</v>
      </c>
      <c r="P97">
        <f>P96 + (Center!$D96-Center!$D95)*COS($N97)</f>
        <v>123.54879306574551</v>
      </c>
      <c r="Q97">
        <f>Q96 + (Center!$D96-Center!$D95)*SIN($N97)</f>
        <v>40.038831207870537</v>
      </c>
      <c r="S97">
        <f t="shared" si="4"/>
        <v>133.32415891747047</v>
      </c>
      <c r="T97">
        <f t="shared" si="5"/>
        <v>31.468987424876037</v>
      </c>
      <c r="V97">
        <f t="shared" si="6"/>
        <v>113.77342721402056</v>
      </c>
      <c r="W97">
        <f t="shared" si="7"/>
        <v>48.60867499086504</v>
      </c>
    </row>
    <row r="98" spans="12:23" x14ac:dyDescent="0.25">
      <c r="L98">
        <f>Center!B97</f>
        <v>124.937944</v>
      </c>
      <c r="M98">
        <f>Center!C97</f>
        <v>40.843063999999998</v>
      </c>
      <c r="N98">
        <f>Center!H97</f>
        <v>0.87358100000000005</v>
      </c>
      <c r="P98">
        <f>P97 + (Center!$D97-Center!$D96)*COS($N98)</f>
        <v>124.83296377911444</v>
      </c>
      <c r="Q98">
        <f>Q97 + (Center!$D97-Center!$D96)*SIN($N98)</f>
        <v>41.572097518374214</v>
      </c>
      <c r="S98">
        <f t="shared" si="4"/>
        <v>134.79919479738834</v>
      </c>
      <c r="T98">
        <f t="shared" si="5"/>
        <v>33.224987881476245</v>
      </c>
      <c r="V98">
        <f t="shared" si="6"/>
        <v>114.86673276084052</v>
      </c>
      <c r="W98">
        <f t="shared" si="7"/>
        <v>49.919207155272183</v>
      </c>
    </row>
    <row r="99" spans="12:23" x14ac:dyDescent="0.25">
      <c r="L99">
        <f>Center!B98</f>
        <v>126.204742</v>
      </c>
      <c r="M99">
        <f>Center!C98</f>
        <v>42.390656999999997</v>
      </c>
      <c r="N99">
        <f>Center!H98</f>
        <v>0.89608600000000005</v>
      </c>
      <c r="P99">
        <f>P98 + (Center!$D98-Center!$D97)*COS($N99)</f>
        <v>126.08230606037111</v>
      </c>
      <c r="Q99">
        <f>Q98 + (Center!$D98-Center!$D97)*SIN($N99)</f>
        <v>43.133873387141676</v>
      </c>
      <c r="S99">
        <f t="shared" si="4"/>
        <v>136.23384920735961</v>
      </c>
      <c r="T99">
        <f t="shared" si="5"/>
        <v>35.013148558973285</v>
      </c>
      <c r="V99">
        <f t="shared" si="6"/>
        <v>115.93076291338259</v>
      </c>
      <c r="W99">
        <f t="shared" si="7"/>
        <v>51.254598215310068</v>
      </c>
    </row>
    <row r="100" spans="12:23" x14ac:dyDescent="0.25">
      <c r="L100">
        <f>Center!B99</f>
        <v>127.436465</v>
      </c>
      <c r="M100">
        <f>Center!C99</f>
        <v>43.96631</v>
      </c>
      <c r="N100">
        <f>Center!H99</f>
        <v>0.91849499999999995</v>
      </c>
      <c r="P100">
        <f>P99 + (Center!$D99-Center!$D98)*COS($N100)</f>
        <v>127.29633976143278</v>
      </c>
      <c r="Q100">
        <f>Q99 + (Center!$D99-Center!$D98)*SIN($N100)</f>
        <v>44.723251307174081</v>
      </c>
      <c r="S100">
        <f t="shared" si="4"/>
        <v>137.62729624164339</v>
      </c>
      <c r="T100">
        <f t="shared" si="5"/>
        <v>36.832032250273279</v>
      </c>
      <c r="V100">
        <f t="shared" si="6"/>
        <v>116.96538328122216</v>
      </c>
      <c r="W100">
        <f t="shared" si="7"/>
        <v>52.614470364074883</v>
      </c>
    </row>
    <row r="101" spans="12:23" x14ac:dyDescent="0.25">
      <c r="L101">
        <f>Center!B100</f>
        <v>128.63267400000001</v>
      </c>
      <c r="M101">
        <f>Center!C100</f>
        <v>45.569091999999998</v>
      </c>
      <c r="N101">
        <f>Center!H100</f>
        <v>0.94077200000000005</v>
      </c>
      <c r="P101">
        <f>P100 + (Center!$D100-Center!$D99)*COS($N101)</f>
        <v>128.47466859040759</v>
      </c>
      <c r="Q101">
        <f>Q100 + (Center!$D100-Center!$D99)*SIN($N101)</f>
        <v>46.33927765931282</v>
      </c>
      <c r="S101">
        <f t="shared" si="4"/>
        <v>138.97883987930939</v>
      </c>
      <c r="T101">
        <f t="shared" si="5"/>
        <v>38.68014027097653</v>
      </c>
      <c r="V101">
        <f t="shared" si="6"/>
        <v>117.97049730150579</v>
      </c>
      <c r="W101">
        <f t="shared" si="7"/>
        <v>53.998415047649111</v>
      </c>
    </row>
    <row r="102" spans="12:23" x14ac:dyDescent="0.25">
      <c r="L102">
        <f>Center!B101</f>
        <v>129.79301699999999</v>
      </c>
      <c r="M102">
        <f>Center!C101</f>
        <v>47.198028000000001</v>
      </c>
      <c r="N102">
        <f>Center!H101</f>
        <v>0.96288200000000002</v>
      </c>
      <c r="P102">
        <f>P101 + (Center!$D101-Center!$D100)*COS($N102)</f>
        <v>129.61698198527921</v>
      </c>
      <c r="Q102">
        <f>Q101 + (Center!$D101-Center!$D100)*SIN($N102)</f>
        <v>47.980959756400097</v>
      </c>
      <c r="S102">
        <f t="shared" si="4"/>
        <v>140.28791561634651</v>
      </c>
      <c r="T102">
        <f t="shared" si="5"/>
        <v>40.555922689734587</v>
      </c>
      <c r="V102">
        <f t="shared" si="6"/>
        <v>118.94604835421191</v>
      </c>
      <c r="W102">
        <f t="shared" si="7"/>
        <v>55.405996823065607</v>
      </c>
    </row>
    <row r="103" spans="12:23" x14ac:dyDescent="0.25">
      <c r="L103">
        <f>Center!B102</f>
        <v>130.917226</v>
      </c>
      <c r="M103">
        <f>Center!C102</f>
        <v>48.852113000000003</v>
      </c>
      <c r="N103">
        <f>Center!H102</f>
        <v>0.984792</v>
      </c>
      <c r="P103">
        <f>P102 + (Center!$D102-Center!$D101)*COS($N103)</f>
        <v>130.72305483144413</v>
      </c>
      <c r="Q103">
        <f>Q102 + (Center!$D102-Center!$D101)*SIN($N103)</f>
        <v>49.647273910146815</v>
      </c>
      <c r="S103">
        <f t="shared" si="4"/>
        <v>141.55409683079779</v>
      </c>
      <c r="T103">
        <f t="shared" si="5"/>
        <v>42.457800410074839</v>
      </c>
      <c r="V103">
        <f t="shared" si="6"/>
        <v>119.89201283209047</v>
      </c>
      <c r="W103">
        <f t="shared" si="7"/>
        <v>56.836747410218791</v>
      </c>
    </row>
    <row r="104" spans="12:23" x14ac:dyDescent="0.25">
      <c r="L104">
        <f>Center!B103</f>
        <v>132.005122</v>
      </c>
      <c r="M104">
        <f>Center!C103</f>
        <v>50.530315999999999</v>
      </c>
      <c r="N104">
        <f>Center!H103</f>
        <v>1.0064709999999999</v>
      </c>
      <c r="P104">
        <f>P103 + (Center!$D103-Center!$D102)*COS($N104)</f>
        <v>131.7927465772442</v>
      </c>
      <c r="Q104">
        <f>Q103 + (Center!$D103-Center!$D102)*SIN($N104)</f>
        <v>51.337173187904867</v>
      </c>
      <c r="S104">
        <f t="shared" si="4"/>
        <v>142.77709188267156</v>
      </c>
      <c r="T104">
        <f t="shared" si="5"/>
        <v>44.38417684020439</v>
      </c>
      <c r="V104">
        <f t="shared" si="6"/>
        <v>120.80840127181685</v>
      </c>
      <c r="W104">
        <f t="shared" si="7"/>
        <v>58.290169535605344</v>
      </c>
    </row>
    <row r="105" spans="12:23" x14ac:dyDescent="0.25">
      <c r="L105">
        <f>Center!B104</f>
        <v>133.056589</v>
      </c>
      <c r="M105">
        <f>Center!C104</f>
        <v>52.231555</v>
      </c>
      <c r="N105">
        <f>Center!H104</f>
        <v>1.0278910000000001</v>
      </c>
      <c r="P105">
        <f>P104 + (Center!$D104-Center!$D103)*COS($N105)</f>
        <v>132.82599806178774</v>
      </c>
      <c r="Q105">
        <f>Q104 + (Center!$D104-Center!$D103)*SIN($N105)</f>
        <v>53.049595848841285</v>
      </c>
      <c r="S105">
        <f t="shared" si="4"/>
        <v>143.95674535787447</v>
      </c>
      <c r="T105">
        <f t="shared" si="5"/>
        <v>46.333461199308246</v>
      </c>
      <c r="V105">
        <f t="shared" si="6"/>
        <v>121.69525076570102</v>
      </c>
      <c r="W105">
        <f t="shared" si="7"/>
        <v>59.765730498374324</v>
      </c>
    </row>
    <row r="106" spans="12:23" x14ac:dyDescent="0.25">
      <c r="L106">
        <f>Center!B105</f>
        <v>134.07162299999999</v>
      </c>
      <c r="M106">
        <f>Center!C105</f>
        <v>53.954787000000003</v>
      </c>
      <c r="N106">
        <f>Center!H105</f>
        <v>1.0490250000000001</v>
      </c>
      <c r="P106">
        <f>P105 + (Center!$D105-Center!$D104)*COS($N106)</f>
        <v>133.82283115958967</v>
      </c>
      <c r="Q106">
        <f>Q105 + (Center!$D105-Center!$D104)*SIN($N106)</f>
        <v>54.783471212045519</v>
      </c>
      <c r="S106">
        <f t="shared" si="4"/>
        <v>145.09302102041718</v>
      </c>
      <c r="T106">
        <f t="shared" si="5"/>
        <v>48.304056076332984</v>
      </c>
      <c r="V106">
        <f t="shared" si="6"/>
        <v>122.55264129876215</v>
      </c>
      <c r="W106">
        <f t="shared" si="7"/>
        <v>61.262886347758055</v>
      </c>
    </row>
    <row r="107" spans="12:23" x14ac:dyDescent="0.25">
      <c r="L107">
        <f>Center!B106</f>
        <v>135.05029300000001</v>
      </c>
      <c r="M107">
        <f>Center!C106</f>
        <v>55.698956000000003</v>
      </c>
      <c r="N107">
        <f>Center!H106</f>
        <v>1.069849</v>
      </c>
      <c r="P107">
        <f>P106 + (Center!$D106-Center!$D105)*COS($N107)</f>
        <v>134.78334452125071</v>
      </c>
      <c r="Q107">
        <f>Q106 + (Center!$D106-Center!$D105)*SIN($N107)</f>
        <v>56.537727203077218</v>
      </c>
      <c r="S107">
        <f t="shared" si="4"/>
        <v>146.18600846295675</v>
      </c>
      <c r="T107">
        <f t="shared" si="5"/>
        <v>50.294390352280459</v>
      </c>
      <c r="V107">
        <f t="shared" si="6"/>
        <v>123.38068057954467</v>
      </c>
      <c r="W107">
        <f t="shared" si="7"/>
        <v>62.781064053873976</v>
      </c>
    </row>
    <row r="108" spans="12:23" x14ac:dyDescent="0.25">
      <c r="L108">
        <f>Center!B107</f>
        <v>135.992705</v>
      </c>
      <c r="M108">
        <f>Center!C107</f>
        <v>57.462938999999999</v>
      </c>
      <c r="N108">
        <f>Center!H107</f>
        <v>1.0903419999999999</v>
      </c>
      <c r="P108">
        <f>P107 + (Center!$D107-Center!$D106)*COS($N108)</f>
        <v>135.70770874810952</v>
      </c>
      <c r="Q108">
        <f>Q107 + (Center!$D107-Center!$D106)*SIN($N108)</f>
        <v>58.31129726825754</v>
      </c>
      <c r="S108">
        <f t="shared" si="4"/>
        <v>147.23591417178162</v>
      </c>
      <c r="T108">
        <f t="shared" si="5"/>
        <v>52.302929793675325</v>
      </c>
      <c r="V108">
        <f t="shared" si="6"/>
        <v>124.17950332443743</v>
      </c>
      <c r="W108">
        <f t="shared" si="7"/>
        <v>64.319664742839763</v>
      </c>
    </row>
    <row r="109" spans="12:23" x14ac:dyDescent="0.25">
      <c r="L109">
        <f>Center!B108</f>
        <v>136.89909599999999</v>
      </c>
      <c r="M109">
        <f>Center!C108</f>
        <v>59.245735000000003</v>
      </c>
      <c r="N109">
        <f>Center!H108</f>
        <v>1.1104849999999999</v>
      </c>
      <c r="P109">
        <f>P108 + (Center!$D108-Center!$D107)*COS($N109)</f>
        <v>136.59616284930638</v>
      </c>
      <c r="Q109">
        <f>Q108 + (Center!$D108-Center!$D107)*SIN($N109)</f>
        <v>60.103125750581249</v>
      </c>
      <c r="S109">
        <f t="shared" si="4"/>
        <v>148.24304798441048</v>
      </c>
      <c r="T109">
        <f t="shared" si="5"/>
        <v>54.328174092801639</v>
      </c>
      <c r="V109">
        <f t="shared" si="6"/>
        <v>124.9492777142023</v>
      </c>
      <c r="W109">
        <f t="shared" si="7"/>
        <v>65.878077408360852</v>
      </c>
    </row>
    <row r="110" spans="12:23" x14ac:dyDescent="0.25">
      <c r="L110">
        <f>Center!B109</f>
        <v>137.76971499999999</v>
      </c>
      <c r="M110">
        <f>Center!C109</f>
        <v>61.046253999999998</v>
      </c>
      <c r="N110">
        <f>Center!H109</f>
        <v>1.130263</v>
      </c>
      <c r="P110">
        <f>P109 + (Center!$D109-Center!$D108)*COS($N110)</f>
        <v>137.44900671484893</v>
      </c>
      <c r="Q110">
        <f>Q109 + (Center!$D109-Center!$D108)*SIN($N110)</f>
        <v>61.912174489838002</v>
      </c>
      <c r="S110">
        <f t="shared" si="4"/>
        <v>149.2078235200178</v>
      </c>
      <c r="T110">
        <f t="shared" si="5"/>
        <v>56.368689363811406</v>
      </c>
      <c r="V110">
        <f t="shared" si="6"/>
        <v>125.69018990968006</v>
      </c>
      <c r="W110">
        <f t="shared" si="7"/>
        <v>67.455659615864604</v>
      </c>
    </row>
    <row r="111" spans="12:23" x14ac:dyDescent="0.25">
      <c r="L111">
        <f>Center!B110</f>
        <v>138.60489699999999</v>
      </c>
      <c r="M111">
        <f>Center!C110</f>
        <v>62.863477000000003</v>
      </c>
      <c r="N111">
        <f>Center!H110</f>
        <v>1.1496599999999999</v>
      </c>
      <c r="P111">
        <f>P110 + (Center!$D110-Center!$D109)*COS($N111)</f>
        <v>138.26660222886352</v>
      </c>
      <c r="Q111">
        <f>Q110 + (Center!$D110-Center!$D109)*SIN($N111)</f>
        <v>63.737424493389085</v>
      </c>
      <c r="S111">
        <f t="shared" si="4"/>
        <v>150.13072725194556</v>
      </c>
      <c r="T111">
        <f t="shared" si="5"/>
        <v>58.423053652294278</v>
      </c>
      <c r="V111">
        <f t="shared" si="6"/>
        <v>126.40247720578148</v>
      </c>
      <c r="W111">
        <f t="shared" si="7"/>
        <v>69.051795334483899</v>
      </c>
    </row>
    <row r="112" spans="12:23" x14ac:dyDescent="0.25">
      <c r="L112">
        <f>Center!B111</f>
        <v>139.405036</v>
      </c>
      <c r="M112">
        <f>Center!C111</f>
        <v>64.696411999999995</v>
      </c>
      <c r="N112">
        <f>Center!H111</f>
        <v>1.168668</v>
      </c>
      <c r="P112">
        <f>P111 + (Center!$D111-Center!$D110)*COS($N112)</f>
        <v>139.04935778413065</v>
      </c>
      <c r="Q112">
        <f>Q111 + (Center!$D111-Center!$D110)*SIN($N112)</f>
        <v>65.577884691464135</v>
      </c>
      <c r="S112">
        <f t="shared" si="4"/>
        <v>151.01234907161847</v>
      </c>
      <c r="T112">
        <f t="shared" si="5"/>
        <v>60.489973582227833</v>
      </c>
      <c r="V112">
        <f t="shared" si="6"/>
        <v>127.08636649664281</v>
      </c>
      <c r="W112">
        <f t="shared" si="7"/>
        <v>70.665795800700437</v>
      </c>
    </row>
    <row r="113" spans="12:23" x14ac:dyDescent="0.25">
      <c r="L113">
        <f>Center!B112</f>
        <v>140.17056299999999</v>
      </c>
      <c r="M113">
        <f>Center!C112</f>
        <v>66.544073999999995</v>
      </c>
      <c r="N113">
        <f>Center!H112</f>
        <v>1.1872750000000001</v>
      </c>
      <c r="P113">
        <f>P112 + (Center!$D112-Center!$D111)*COS($N113)</f>
        <v>139.79773437345631</v>
      </c>
      <c r="Q113">
        <f>Q112 + (Center!$D112-Center!$D111)*SIN($N113)</f>
        <v>67.432590188449922</v>
      </c>
      <c r="S113">
        <f t="shared" si="4"/>
        <v>151.85332010386395</v>
      </c>
      <c r="T113">
        <f t="shared" si="5"/>
        <v>62.568142357833203</v>
      </c>
      <c r="V113">
        <f t="shared" si="6"/>
        <v>127.74214864304867</v>
      </c>
      <c r="W113">
        <f t="shared" si="7"/>
        <v>72.297038019066648</v>
      </c>
    </row>
    <row r="114" spans="12:23" x14ac:dyDescent="0.25">
      <c r="L114">
        <f>Center!B113</f>
        <v>140.90195399999999</v>
      </c>
      <c r="M114">
        <f>Center!C113</f>
        <v>68.405511000000004</v>
      </c>
      <c r="N114">
        <f>Center!H113</f>
        <v>1.2054769999999999</v>
      </c>
      <c r="P114">
        <f>P113 + (Center!$D113-Center!$D112)*COS($N114)</f>
        <v>140.51222950749539</v>
      </c>
      <c r="Q114">
        <f>Q113 + (Center!$D113-Center!$D112)*SIN($N114)</f>
        <v>69.300609648582622</v>
      </c>
      <c r="S114">
        <f t="shared" si="4"/>
        <v>152.65435599835794</v>
      </c>
      <c r="T114">
        <f t="shared" si="5"/>
        <v>64.656391277328567</v>
      </c>
      <c r="V114">
        <f t="shared" si="6"/>
        <v>128.37010301663284</v>
      </c>
      <c r="W114">
        <f t="shared" si="7"/>
        <v>73.944828019836677</v>
      </c>
    </row>
    <row r="115" spans="12:23" x14ac:dyDescent="0.25">
      <c r="L115">
        <f>Center!B114</f>
        <v>141.59963200000001</v>
      </c>
      <c r="M115">
        <f>Center!C114</f>
        <v>70.279537000000005</v>
      </c>
      <c r="N115">
        <f>Center!H114</f>
        <v>1.223265</v>
      </c>
      <c r="P115">
        <f>P114 + (Center!$D114-Center!$D113)*COS($N115)</f>
        <v>141.19328728307099</v>
      </c>
      <c r="Q115">
        <f>Q114 + (Center!$D114-Center!$D113)*SIN($N115)</f>
        <v>71.180772510862667</v>
      </c>
      <c r="S115">
        <f t="shared" si="4"/>
        <v>153.41609986149615</v>
      </c>
      <c r="T115">
        <f t="shared" si="5"/>
        <v>66.75326162180869</v>
      </c>
      <c r="V115">
        <f t="shared" si="6"/>
        <v>128.97047470464582</v>
      </c>
      <c r="W115">
        <f t="shared" si="7"/>
        <v>75.608283399916644</v>
      </c>
    </row>
    <row r="116" spans="12:23" x14ac:dyDescent="0.25">
      <c r="L116">
        <f>Center!B115</f>
        <v>142.26355599999999</v>
      </c>
      <c r="M116">
        <f>Center!C115</f>
        <v>72.163501999999994</v>
      </c>
      <c r="N116">
        <f>Center!H115</f>
        <v>1.2406219999999999</v>
      </c>
      <c r="P116">
        <f>P115 + (Center!$D115-Center!$D114)*COS($N116)</f>
        <v>141.84090951002369</v>
      </c>
      <c r="Q116">
        <f>Q115 + (Center!$D115-Center!$D114)*SIN($N116)</f>
        <v>73.070428417069081</v>
      </c>
      <c r="S116">
        <f t="shared" si="4"/>
        <v>154.13872542704786</v>
      </c>
      <c r="T116">
        <f t="shared" si="5"/>
        <v>68.855725145071546</v>
      </c>
      <c r="V116">
        <f t="shared" si="6"/>
        <v>129.54309359299953</v>
      </c>
      <c r="W116">
        <f t="shared" si="7"/>
        <v>77.285131689066617</v>
      </c>
    </row>
    <row r="117" spans="12:23" x14ac:dyDescent="0.25">
      <c r="L117">
        <f>Center!B116</f>
        <v>142.893438</v>
      </c>
      <c r="M117">
        <f>Center!C116</f>
        <v>74.053528</v>
      </c>
      <c r="N117">
        <f>Center!H116</f>
        <v>1.2575210000000001</v>
      </c>
      <c r="P117">
        <f>P116 + (Center!$D116-Center!$D115)*COS($N117)</f>
        <v>142.45486337112939</v>
      </c>
      <c r="Q117">
        <f>Q116 + (Center!$D116-Center!$D115)*SIN($N117)</f>
        <v>74.96568281464279</v>
      </c>
      <c r="S117">
        <f t="shared" si="4"/>
        <v>154.82214422881609</v>
      </c>
      <c r="T117">
        <f t="shared" si="5"/>
        <v>70.959392237675587</v>
      </c>
      <c r="V117">
        <f t="shared" si="6"/>
        <v>130.0875825134427</v>
      </c>
      <c r="W117">
        <f t="shared" si="7"/>
        <v>78.971973391609993</v>
      </c>
    </row>
    <row r="118" spans="12:23" x14ac:dyDescent="0.25">
      <c r="L118">
        <f>Center!B117</f>
        <v>143.48917399999999</v>
      </c>
      <c r="M118">
        <f>Center!C117</f>
        <v>75.945605</v>
      </c>
      <c r="N118">
        <f>Center!H117</f>
        <v>1.2739400000000001</v>
      </c>
      <c r="P118">
        <f>P117 + (Center!$D117-Center!$D116)*COS($N118)</f>
        <v>143.03512809504775</v>
      </c>
      <c r="Q118">
        <f>Q117 + (Center!$D117-Center!$D116)*SIN($N118)</f>
        <v>76.862623073220234</v>
      </c>
      <c r="S118">
        <f t="shared" si="4"/>
        <v>155.46651831189794</v>
      </c>
      <c r="T118">
        <f t="shared" si="5"/>
        <v>73.05992176015323</v>
      </c>
      <c r="V118">
        <f t="shared" si="6"/>
        <v>130.60373787819756</v>
      </c>
      <c r="W118">
        <f t="shared" si="7"/>
        <v>80.665324386287239</v>
      </c>
    </row>
    <row r="119" spans="12:23" x14ac:dyDescent="0.25">
      <c r="L119">
        <f>Center!B118</f>
        <v>144.050929</v>
      </c>
      <c r="M119">
        <f>Center!C118</f>
        <v>77.835931000000002</v>
      </c>
      <c r="N119">
        <f>Center!H118</f>
        <v>1.2898620000000001</v>
      </c>
      <c r="P119">
        <f>P118 + (Center!$D118-Center!$D117)*COS($N119)</f>
        <v>143.58187803284218</v>
      </c>
      <c r="Q119">
        <f>Q118 + (Center!$D118-Center!$D117)*SIN($N119)</f>
        <v>78.757335524756314</v>
      </c>
      <c r="S119">
        <f t="shared" si="4"/>
        <v>156.07223659373491</v>
      </c>
      <c r="T119">
        <f t="shared" si="5"/>
        <v>75.153040445225031</v>
      </c>
      <c r="V119">
        <f t="shared" si="6"/>
        <v>131.09151947194945</v>
      </c>
      <c r="W119">
        <f t="shared" si="7"/>
        <v>82.361630604287598</v>
      </c>
    </row>
    <row r="120" spans="12:23" x14ac:dyDescent="0.25">
      <c r="L120">
        <f>Center!B119</f>
        <v>144.578982</v>
      </c>
      <c r="M120">
        <f>Center!C119</f>
        <v>79.720470000000006</v>
      </c>
      <c r="N120">
        <f>Center!H119</f>
        <v>1.305272</v>
      </c>
      <c r="P120">
        <f>P119 + (Center!$D119-Center!$D118)*COS($N120)</f>
        <v>144.09546720007091</v>
      </c>
      <c r="Q120">
        <f>Q119 + (Center!$D119-Center!$D118)*SIN($N120)</f>
        <v>80.645908865018569</v>
      </c>
      <c r="S120">
        <f t="shared" si="4"/>
        <v>156.63988274840531</v>
      </c>
      <c r="T120">
        <f t="shared" si="5"/>
        <v>77.23451053724942</v>
      </c>
      <c r="V120">
        <f t="shared" si="6"/>
        <v>131.55105165173651</v>
      </c>
      <c r="W120">
        <f t="shared" si="7"/>
        <v>84.057307192787718</v>
      </c>
    </row>
    <row r="121" spans="12:23" x14ac:dyDescent="0.25">
      <c r="L121">
        <f>Center!B120</f>
        <v>145.07383100000001</v>
      </c>
      <c r="M121">
        <f>Center!C120</f>
        <v>81.595366999999996</v>
      </c>
      <c r="N121">
        <f>Center!H120</f>
        <v>1.3201590000000001</v>
      </c>
      <c r="P121">
        <f>P120 + (Center!$D120-Center!$D119)*COS($N121)</f>
        <v>144.57641248565139</v>
      </c>
      <c r="Q121">
        <f>Q120 + (Center!$D120-Center!$D119)*SIN($N121)</f>
        <v>82.524447933726435</v>
      </c>
      <c r="S121">
        <f t="shared" si="4"/>
        <v>157.17022160665968</v>
      </c>
      <c r="T121">
        <f t="shared" si="5"/>
        <v>79.300169437130904</v>
      </c>
      <c r="V121">
        <f t="shared" si="6"/>
        <v>131.9826033646431</v>
      </c>
      <c r="W121">
        <f t="shared" si="7"/>
        <v>85.748726430321966</v>
      </c>
    </row>
    <row r="122" spans="12:23" x14ac:dyDescent="0.25">
      <c r="L122">
        <f>Center!B121</f>
        <v>145.53610900000001</v>
      </c>
      <c r="M122">
        <f>Center!C121</f>
        <v>83.456728999999996</v>
      </c>
      <c r="N122">
        <f>Center!H121</f>
        <v>1.3345149999999999</v>
      </c>
      <c r="P122">
        <f>P121 + (Center!$D121-Center!$D120)*COS($N122)</f>
        <v>145.02537627394619</v>
      </c>
      <c r="Q122">
        <f>Q121 + (Center!$D121-Center!$D120)*SIN($N122)</f>
        <v>84.389078900754498</v>
      </c>
      <c r="S122">
        <f t="shared" si="4"/>
        <v>157.66417381052995</v>
      </c>
      <c r="T122">
        <f t="shared" si="5"/>
        <v>81.345923165461812</v>
      </c>
      <c r="V122">
        <f t="shared" si="6"/>
        <v>132.38657873736244</v>
      </c>
      <c r="W122">
        <f t="shared" si="7"/>
        <v>87.432234636047184</v>
      </c>
    </row>
    <row r="123" spans="12:23" x14ac:dyDescent="0.25">
      <c r="L123">
        <f>Center!B122</f>
        <v>145.96658300000001</v>
      </c>
      <c r="M123">
        <f>Center!C122</f>
        <v>85.300692999999995</v>
      </c>
      <c r="N123">
        <f>Center!H122</f>
        <v>1.3483339999999999</v>
      </c>
      <c r="P123">
        <f>P122 + (Center!$D122-Center!$D121)*COS($N123)</f>
        <v>145.44315079039501</v>
      </c>
      <c r="Q123">
        <f>Q122 + (Center!$D122-Center!$D121)*SIN($N123)</f>
        <v>86.235952755868027</v>
      </c>
      <c r="S123">
        <f t="shared" si="4"/>
        <v>158.12279359437446</v>
      </c>
      <c r="T123">
        <f t="shared" si="5"/>
        <v>83.367737568073977</v>
      </c>
      <c r="V123">
        <f t="shared" si="6"/>
        <v>132.76350798641556</v>
      </c>
      <c r="W123">
        <f t="shared" si="7"/>
        <v>89.104167943662077</v>
      </c>
    </row>
    <row r="124" spans="12:23" x14ac:dyDescent="0.25">
      <c r="L124">
        <f>Center!B123</f>
        <v>146.36612099999999</v>
      </c>
      <c r="M124">
        <f>Center!C123</f>
        <v>87.123343000000006</v>
      </c>
      <c r="N124">
        <f>Center!H123</f>
        <v>1.3616140000000001</v>
      </c>
      <c r="P124">
        <f>P123 + (Center!$D123-Center!$D122)*COS($N124)</f>
        <v>145.83064000686613</v>
      </c>
      <c r="Q124">
        <f>Q123 + (Center!$D123-Center!$D122)*SIN($N124)</f>
        <v>88.06125437576614</v>
      </c>
      <c r="S124">
        <f t="shared" si="4"/>
        <v>158.54725352464351</v>
      </c>
      <c r="T124">
        <f t="shared" si="5"/>
        <v>85.361672808285462</v>
      </c>
      <c r="V124">
        <f t="shared" si="6"/>
        <v>133.11402648908876</v>
      </c>
      <c r="W124">
        <f t="shared" si="7"/>
        <v>90.760835943246818</v>
      </c>
    </row>
    <row r="125" spans="12:23" x14ac:dyDescent="0.25">
      <c r="L125">
        <f>Center!B124</f>
        <v>146.735739</v>
      </c>
      <c r="M125">
        <f>Center!C124</f>
        <v>88.920991999999998</v>
      </c>
      <c r="N125">
        <f>Center!H124</f>
        <v>1.374355</v>
      </c>
      <c r="P125">
        <f>P124 + (Center!$D124-Center!$D123)*COS($N125)</f>
        <v>146.18884395155047</v>
      </c>
      <c r="Q125">
        <f>Q124 + (Center!$D124-Center!$D123)*SIN($N125)</f>
        <v>89.861203767979333</v>
      </c>
      <c r="S125">
        <f t="shared" si="4"/>
        <v>158.93881975793897</v>
      </c>
      <c r="T125">
        <f t="shared" si="5"/>
        <v>87.323859302498249</v>
      </c>
      <c r="V125">
        <f t="shared" si="6"/>
        <v>133.43886814516196</v>
      </c>
      <c r="W125">
        <f t="shared" si="7"/>
        <v>92.398548233460417</v>
      </c>
    </row>
    <row r="126" spans="12:23" x14ac:dyDescent="0.25">
      <c r="L126">
        <f>Center!B125</f>
        <v>147.07649900000001</v>
      </c>
      <c r="M126">
        <f>Center!C125</f>
        <v>90.689814999999996</v>
      </c>
      <c r="N126">
        <f>Center!H125</f>
        <v>1.386555</v>
      </c>
      <c r="P126">
        <f>P125 + (Center!$D125-Center!$D124)*COS($N126)</f>
        <v>146.51885061323694</v>
      </c>
      <c r="Q126">
        <f>Q125 + (Center!$D125-Center!$D124)*SIN($N126)</f>
        <v>91.632056047579042</v>
      </c>
      <c r="S126">
        <f t="shared" si="4"/>
        <v>159.29883241277409</v>
      </c>
      <c r="T126">
        <f t="shared" si="5"/>
        <v>89.250446255127954</v>
      </c>
      <c r="V126">
        <f t="shared" si="6"/>
        <v>133.73886881369978</v>
      </c>
      <c r="W126">
        <f t="shared" si="7"/>
        <v>94.013665840030129</v>
      </c>
    </row>
    <row r="127" spans="12:23" x14ac:dyDescent="0.25">
      <c r="L127">
        <f>Center!B126</f>
        <v>147.38954799999999</v>
      </c>
      <c r="M127">
        <f>Center!C126</f>
        <v>92.426053999999993</v>
      </c>
      <c r="N127">
        <f>Center!H126</f>
        <v>1.3982190000000001</v>
      </c>
      <c r="P127">
        <f>P126 + (Center!$D126-Center!$D125)*COS($N127)</f>
        <v>146.82181245207923</v>
      </c>
      <c r="Q127">
        <f>Q126 + (Center!$D126-Center!$D125)*SIN($N127)</f>
        <v>93.370106799073184</v>
      </c>
      <c r="S127">
        <f t="shared" si="4"/>
        <v>159.62870337700269</v>
      </c>
      <c r="T127">
        <f t="shared" si="5"/>
        <v>91.137721340172135</v>
      </c>
      <c r="V127">
        <f t="shared" si="6"/>
        <v>134.01492152715576</v>
      </c>
      <c r="W127">
        <f t="shared" si="7"/>
        <v>95.602492257974234</v>
      </c>
    </row>
    <row r="128" spans="12:23" x14ac:dyDescent="0.25">
      <c r="L128">
        <f>Center!B127</f>
        <v>147.676098</v>
      </c>
      <c r="M128">
        <f>Center!C127</f>
        <v>94.126033000000007</v>
      </c>
      <c r="N128">
        <f>Center!H127</f>
        <v>1.409348</v>
      </c>
      <c r="P128">
        <f>P127 + (Center!$D127-Center!$D126)*COS($N128)</f>
        <v>147.09894193509479</v>
      </c>
      <c r="Q128">
        <f>Q127 + (Center!$D127-Center!$D126)*SIN($N128)</f>
        <v>95.071688033585502</v>
      </c>
      <c r="S128">
        <f t="shared" si="4"/>
        <v>159.92988347669504</v>
      </c>
      <c r="T128">
        <f t="shared" si="5"/>
        <v>92.98196576590567</v>
      </c>
      <c r="V128">
        <f t="shared" si="6"/>
        <v>134.26800039349453</v>
      </c>
      <c r="W128">
        <f t="shared" si="7"/>
        <v>97.161410301265335</v>
      </c>
    </row>
    <row r="129" spans="12:23" x14ac:dyDescent="0.25">
      <c r="L129">
        <f>Center!B128</f>
        <v>147.937421</v>
      </c>
      <c r="M129">
        <f>Center!C128</f>
        <v>95.786180000000002</v>
      </c>
      <c r="N129">
        <f>Center!H128</f>
        <v>1.419948</v>
      </c>
      <c r="P129">
        <f>P128 + (Center!$D128-Center!$D127)*COS($N129)</f>
        <v>147.35149275064452</v>
      </c>
      <c r="Q129">
        <f>Q128 + (Center!$D128-Center!$D127)*SIN($N129)</f>
        <v>96.733173396285139</v>
      </c>
      <c r="S129">
        <f t="shared" si="4"/>
        <v>160.20386409792272</v>
      </c>
      <c r="T129">
        <f t="shared" si="5"/>
        <v>94.7795739614822</v>
      </c>
      <c r="V129">
        <f t="shared" si="6"/>
        <v>134.49912140336633</v>
      </c>
      <c r="W129">
        <f t="shared" si="7"/>
        <v>98.686772831088078</v>
      </c>
    </row>
    <row r="130" spans="12:23" x14ac:dyDescent="0.25">
      <c r="L130">
        <f>Center!B129</f>
        <v>148.17483300000001</v>
      </c>
      <c r="M130">
        <f>Center!C129</f>
        <v>97.403060999999994</v>
      </c>
      <c r="N130">
        <f>Center!H129</f>
        <v>1.430024</v>
      </c>
      <c r="P130">
        <f>P129 + (Center!$D129-Center!$D128)*COS($N130)</f>
        <v>147.58079112416814</v>
      </c>
      <c r="Q130">
        <f>Q129 + (Center!$D129-Center!$D128)*SIN($N130)</f>
        <v>98.351259257852263</v>
      </c>
      <c r="S130">
        <f t="shared" si="4"/>
        <v>160.45219418830553</v>
      </c>
      <c r="T130">
        <f t="shared" si="5"/>
        <v>96.527257294992879</v>
      </c>
      <c r="V130">
        <f t="shared" si="6"/>
        <v>134.70938806003076</v>
      </c>
      <c r="W130">
        <f t="shared" si="7"/>
        <v>100.17526122071165</v>
      </c>
    </row>
    <row r="131" spans="12:23" x14ac:dyDescent="0.25">
      <c r="L131">
        <f>Center!B130</f>
        <v>148.389903</v>
      </c>
      <c r="M131">
        <f>Center!C130</f>
        <v>98.975042999999999</v>
      </c>
      <c r="N131">
        <f>Center!H130</f>
        <v>1.439594</v>
      </c>
      <c r="P131">
        <f>P130 + (Center!$D130-Center!$D129)*COS($N131)</f>
        <v>147.78836420723212</v>
      </c>
      <c r="Q131">
        <f>Q130 + (Center!$D130-Center!$D129)*SIN($N131)</f>
        <v>99.924254654734071</v>
      </c>
      <c r="S131">
        <f t="shared" ref="S131:S172" si="8">P131 + $B$10/2 * SIN($N131)</f>
        <v>160.67663329512607</v>
      </c>
      <c r="T131">
        <f t="shared" ref="T131:T172" si="9">Q131 - $B$10/2 * COS($N131)</f>
        <v>98.223513663860587</v>
      </c>
      <c r="V131">
        <f t="shared" ref="V131:V172" si="10">P131 - $B$10/2 * SIN($N131)</f>
        <v>134.90009511933818</v>
      </c>
      <c r="W131">
        <f t="shared" ref="W131:W172" si="11">Q131 + $B$10/2 * COS($N131)</f>
        <v>101.62499564560756</v>
      </c>
    </row>
    <row r="132" spans="12:23" x14ac:dyDescent="0.25">
      <c r="L132">
        <f>Center!B131</f>
        <v>148.58429100000001</v>
      </c>
      <c r="M132">
        <f>Center!C131</f>
        <v>100.50175</v>
      </c>
      <c r="N132">
        <f>Center!H131</f>
        <v>1.44868</v>
      </c>
      <c r="P132">
        <f>P131 + (Center!$D131-Center!$D130)*COS($N132)</f>
        <v>147.97583618910522</v>
      </c>
      <c r="Q132">
        <f>Q131 + (Center!$D131-Center!$D130)*SIN($N132)</f>
        <v>101.45180771378263</v>
      </c>
      <c r="S132">
        <f t="shared" si="8"/>
        <v>160.87902600260341</v>
      </c>
      <c r="T132">
        <f t="shared" si="9"/>
        <v>99.868238126793571</v>
      </c>
      <c r="V132">
        <f t="shared" si="10"/>
        <v>135.07264637560704</v>
      </c>
      <c r="W132">
        <f t="shared" si="11"/>
        <v>103.03537730077169</v>
      </c>
    </row>
    <row r="133" spans="12:23" x14ac:dyDescent="0.25">
      <c r="L133">
        <f>Center!B132</f>
        <v>148.75955099999999</v>
      </c>
      <c r="M133">
        <f>Center!C132</f>
        <v>101.98277899999999</v>
      </c>
      <c r="N133">
        <f>Center!H132</f>
        <v>1.4573050000000001</v>
      </c>
      <c r="P133">
        <f>P132 + (Center!$D132-Center!$D131)*COS($N133)</f>
        <v>148.14473346677633</v>
      </c>
      <c r="Q133">
        <f>Q132 + (Center!$D132-Center!$D131)*SIN($N133)</f>
        <v>102.93360822519442</v>
      </c>
      <c r="S133">
        <f t="shared" si="8"/>
        <v>161.06110146341936</v>
      </c>
      <c r="T133">
        <f t="shared" si="9"/>
        <v>101.46138617153018</v>
      </c>
      <c r="V133">
        <f t="shared" si="10"/>
        <v>135.2283654701333</v>
      </c>
      <c r="W133">
        <f t="shared" si="11"/>
        <v>104.40583027885866</v>
      </c>
    </row>
    <row r="134" spans="12:23" x14ac:dyDescent="0.25">
      <c r="L134">
        <f>Center!B133</f>
        <v>148.91717</v>
      </c>
      <c r="M134">
        <f>Center!C133</f>
        <v>103.417962</v>
      </c>
      <c r="N134">
        <f>Center!H133</f>
        <v>1.4654879999999999</v>
      </c>
      <c r="P134">
        <f>P133 + (Center!$D133-Center!$D132)*COS($N134)</f>
        <v>148.29649413261041</v>
      </c>
      <c r="Q134">
        <f>Q133 + (Center!$D133-Center!$D132)*SIN($N134)</f>
        <v>104.36938500134406</v>
      </c>
      <c r="S134">
        <f t="shared" si="8"/>
        <v>161.22447674066572</v>
      </c>
      <c r="T134">
        <f t="shared" si="9"/>
        <v>103.00290569823726</v>
      </c>
      <c r="V134">
        <f t="shared" si="10"/>
        <v>135.36851152455509</v>
      </c>
      <c r="W134">
        <f t="shared" si="11"/>
        <v>105.73586430445086</v>
      </c>
    </row>
    <row r="135" spans="12:23" x14ac:dyDescent="0.25">
      <c r="L135">
        <f>Center!B134</f>
        <v>149.058516</v>
      </c>
      <c r="M135">
        <f>Center!C134</f>
        <v>104.806929</v>
      </c>
      <c r="N135">
        <f>Center!H134</f>
        <v>1.4732499999999999</v>
      </c>
      <c r="P135">
        <f>P134 + (Center!$D134-Center!$D133)*COS($N135)</f>
        <v>148.4324682412124</v>
      </c>
      <c r="Q135">
        <f>Q134 + (Center!$D134-Center!$D133)*SIN($N135)</f>
        <v>105.75890485022671</v>
      </c>
      <c r="S135">
        <f t="shared" si="8"/>
        <v>161.3706679103575</v>
      </c>
      <c r="T135">
        <f t="shared" si="9"/>
        <v>104.49281270455408</v>
      </c>
      <c r="V135">
        <f t="shared" si="10"/>
        <v>135.49426857206731</v>
      </c>
      <c r="W135">
        <f t="shared" si="11"/>
        <v>107.02499699589934</v>
      </c>
    </row>
    <row r="136" spans="12:23" x14ac:dyDescent="0.25">
      <c r="L136">
        <f>Center!B135</f>
        <v>149.184899</v>
      </c>
      <c r="M136">
        <f>Center!C135</f>
        <v>106.149542</v>
      </c>
      <c r="N136">
        <f>Center!H135</f>
        <v>1.4806090000000001</v>
      </c>
      <c r="P136">
        <f>P135 + (Center!$D135-Center!$D134)*COS($N136)</f>
        <v>148.55392438288925</v>
      </c>
      <c r="Q136">
        <f>Q135 + (Center!$D135-Center!$D134)*SIN($N136)</f>
        <v>107.10196123251971</v>
      </c>
      <c r="S136">
        <f t="shared" si="8"/>
        <v>161.50109080828881</v>
      </c>
      <c r="T136">
        <f t="shared" si="9"/>
        <v>105.93111472122702</v>
      </c>
      <c r="V136">
        <f t="shared" si="10"/>
        <v>135.60675795748969</v>
      </c>
      <c r="W136">
        <f t="shared" si="11"/>
        <v>108.27280774381241</v>
      </c>
    </row>
    <row r="137" spans="12:23" x14ac:dyDescent="0.25">
      <c r="L137">
        <f>Center!B136</f>
        <v>149.29753199999999</v>
      </c>
      <c r="M137">
        <f>Center!C136</f>
        <v>107.44552899999999</v>
      </c>
      <c r="N137">
        <f>Center!H136</f>
        <v>1.487581</v>
      </c>
      <c r="P137">
        <f>P136 + (Center!$D136-Center!$D135)*COS($N137)</f>
        <v>148.6620558005913</v>
      </c>
      <c r="Q137">
        <f>Q136 + (Center!$D136-Center!$D135)*SIN($N137)</f>
        <v>108.39837753881558</v>
      </c>
      <c r="S137">
        <f t="shared" si="8"/>
        <v>161.61707063000091</v>
      </c>
      <c r="T137">
        <f t="shared" si="9"/>
        <v>107.31782639713978</v>
      </c>
      <c r="V137">
        <f t="shared" si="10"/>
        <v>135.7070409711817</v>
      </c>
      <c r="W137">
        <f t="shared" si="11"/>
        <v>109.47892868049138</v>
      </c>
    </row>
    <row r="138" spans="12:23" x14ac:dyDescent="0.25">
      <c r="L138">
        <f>Center!B137</f>
        <v>149.397571</v>
      </c>
      <c r="M138">
        <f>Center!C137</f>
        <v>108.69484199999999</v>
      </c>
      <c r="N138">
        <f>Center!H137</f>
        <v>1.494183</v>
      </c>
      <c r="P138">
        <f>P137 + (Center!$D137-Center!$D136)*COS($N138)</f>
        <v>148.75798137793834</v>
      </c>
      <c r="Q138">
        <f>Q137 + (Center!$D137-Center!$D136)*SIN($N138)</f>
        <v>109.64800115159289</v>
      </c>
      <c r="S138">
        <f t="shared" si="8"/>
        <v>161.71984762393302</v>
      </c>
      <c r="T138">
        <f t="shared" si="9"/>
        <v>108.653001945089</v>
      </c>
      <c r="V138">
        <f t="shared" si="10"/>
        <v>135.79611513194365</v>
      </c>
      <c r="W138">
        <f t="shared" si="11"/>
        <v>110.64300035809678</v>
      </c>
    </row>
    <row r="139" spans="12:23" x14ac:dyDescent="0.25">
      <c r="L139">
        <f>Center!B138</f>
        <v>149.486085</v>
      </c>
      <c r="M139">
        <f>Center!C138</f>
        <v>109.897244</v>
      </c>
      <c r="N139">
        <f>Center!H138</f>
        <v>1.500429</v>
      </c>
      <c r="P139">
        <f>P138 + (Center!$D138-Center!$D137)*COS($N139)</f>
        <v>148.84275185837768</v>
      </c>
      <c r="Q139">
        <f>Q138 + (Center!$D138-Center!$D137)*SIN($N139)</f>
        <v>110.85069738424937</v>
      </c>
      <c r="S139">
        <f t="shared" si="8"/>
        <v>161.81057999232218</v>
      </c>
      <c r="T139">
        <f t="shared" si="9"/>
        <v>109.93667687655943</v>
      </c>
      <c r="V139">
        <f t="shared" si="10"/>
        <v>135.87492372443319</v>
      </c>
      <c r="W139">
        <f t="shared" si="11"/>
        <v>111.76471789193931</v>
      </c>
    </row>
    <row r="140" spans="12:23" x14ac:dyDescent="0.25">
      <c r="L140">
        <f>Center!B139</f>
        <v>149.564087</v>
      </c>
      <c r="M140">
        <f>Center!C139</f>
        <v>111.052673</v>
      </c>
      <c r="N140">
        <f>Center!H139</f>
        <v>1.5063340000000001</v>
      </c>
      <c r="P140">
        <f>P139 + (Center!$D139-Center!$D138)*COS($N140)</f>
        <v>148.91735147484712</v>
      </c>
      <c r="Q140">
        <f>Q139 + (Center!$D139-Center!$D138)*SIN($N140)</f>
        <v>112.00635311886225</v>
      </c>
      <c r="S140">
        <f t="shared" si="8"/>
        <v>161.89035078141845</v>
      </c>
      <c r="T140">
        <f t="shared" si="9"/>
        <v>111.16892312674361</v>
      </c>
      <c r="V140">
        <f t="shared" si="10"/>
        <v>135.9443521682758</v>
      </c>
      <c r="W140">
        <f t="shared" si="11"/>
        <v>112.84378311098089</v>
      </c>
    </row>
    <row r="141" spans="12:23" x14ac:dyDescent="0.25">
      <c r="L141">
        <f>Center!B140</f>
        <v>149.632521</v>
      </c>
      <c r="M141">
        <f>Center!C140</f>
        <v>112.161002</v>
      </c>
      <c r="N141">
        <f>Center!H140</f>
        <v>1.511911</v>
      </c>
      <c r="P141">
        <f>P140 + (Center!$D140-Center!$D139)*COS($N141)</f>
        <v>148.98270243241163</v>
      </c>
      <c r="Q141">
        <f>Q140 + (Center!$D140-Center!$D139)*SIN($N141)</f>
        <v>113.1148704564395</v>
      </c>
      <c r="S141">
        <f t="shared" si="8"/>
        <v>161.96017031322353</v>
      </c>
      <c r="T141">
        <f t="shared" si="9"/>
        <v>112.34980352963159</v>
      </c>
      <c r="V141">
        <f t="shared" si="10"/>
        <v>136.00523455159973</v>
      </c>
      <c r="W141">
        <f t="shared" si="11"/>
        <v>113.87993738324742</v>
      </c>
    </row>
    <row r="142" spans="12:23" x14ac:dyDescent="0.25">
      <c r="L142">
        <f>Center!B141</f>
        <v>149.692273</v>
      </c>
      <c r="M142">
        <f>Center!C141</f>
        <v>113.222165</v>
      </c>
      <c r="N142">
        <f>Center!H141</f>
        <v>1.517171</v>
      </c>
      <c r="P142">
        <f>P141 + (Center!$D141-Center!$D140)*COS($N142)</f>
        <v>149.03966940448495</v>
      </c>
      <c r="Q142">
        <f>Q141 + (Center!$D141-Center!$D140)*SIN($N142)</f>
        <v>114.17616665405298</v>
      </c>
      <c r="S142">
        <f t="shared" si="8"/>
        <v>162.02098199149376</v>
      </c>
      <c r="T142">
        <f t="shared" si="9"/>
        <v>113.47937147728513</v>
      </c>
      <c r="V142">
        <f t="shared" si="10"/>
        <v>136.05835681747615</v>
      </c>
      <c r="W142">
        <f t="shared" si="11"/>
        <v>114.87296183082083</v>
      </c>
    </row>
    <row r="143" spans="12:23" x14ac:dyDescent="0.25">
      <c r="L143">
        <f>Center!B142</f>
        <v>149.744169</v>
      </c>
      <c r="M143">
        <f>Center!C142</f>
        <v>114.236026</v>
      </c>
      <c r="N143">
        <f>Center!H142</f>
        <v>1.5221260000000001</v>
      </c>
      <c r="P143">
        <f>P142 + (Center!$D142-Center!$D141)*COS($N143)</f>
        <v>149.08906021004233</v>
      </c>
      <c r="Q143">
        <f>Q142 + (Center!$D142-Center!$D141)*SIN($N143)</f>
        <v>115.1901684834115</v>
      </c>
      <c r="S143">
        <f t="shared" si="8"/>
        <v>162.07366604459435</v>
      </c>
      <c r="T143">
        <f t="shared" si="9"/>
        <v>114.55770400115385</v>
      </c>
      <c r="V143">
        <f t="shared" si="10"/>
        <v>136.10445437549032</v>
      </c>
      <c r="W143">
        <f t="shared" si="11"/>
        <v>115.82263296566914</v>
      </c>
    </row>
    <row r="144" spans="12:23" x14ac:dyDescent="0.25">
      <c r="L144">
        <f>Center!B143</f>
        <v>149.78898699999999</v>
      </c>
      <c r="M144">
        <f>Center!C143</f>
        <v>115.202607</v>
      </c>
      <c r="N144">
        <f>Center!H143</f>
        <v>1.526788</v>
      </c>
      <c r="P144">
        <f>P143 + (Center!$D143-Center!$D142)*COS($N144)</f>
        <v>149.13162826332783</v>
      </c>
      <c r="Q144">
        <f>Q143 + (Center!$D143-Center!$D142)*SIN($N144)</f>
        <v>116.15681665780819</v>
      </c>
      <c r="S144">
        <f t="shared" si="8"/>
        <v>162.11904153157525</v>
      </c>
      <c r="T144">
        <f t="shared" si="9"/>
        <v>115.58489306173007</v>
      </c>
      <c r="V144">
        <f t="shared" si="10"/>
        <v>136.1442149950804</v>
      </c>
      <c r="W144">
        <f t="shared" si="11"/>
        <v>116.72874025388631</v>
      </c>
    </row>
    <row r="145" spans="12:23" x14ac:dyDescent="0.25">
      <c r="L145">
        <f>Center!B144</f>
        <v>149.82744400000001</v>
      </c>
      <c r="M145">
        <f>Center!C144</f>
        <v>116.121741</v>
      </c>
      <c r="N145">
        <f>Center!H144</f>
        <v>1.531164</v>
      </c>
      <c r="P145">
        <f>P144 + (Center!$D144-Center!$D143)*COS($N145)</f>
        <v>149.16807911237674</v>
      </c>
      <c r="Q145">
        <f>Q144 + (Center!$D144-Center!$D143)*SIN($N145)</f>
        <v>117.0760602472662</v>
      </c>
      <c r="S145">
        <f t="shared" si="8"/>
        <v>162.15787076006143</v>
      </c>
      <c r="T145">
        <f t="shared" si="9"/>
        <v>116.56097486624553</v>
      </c>
      <c r="V145">
        <f t="shared" si="10"/>
        <v>136.17828746469206</v>
      </c>
      <c r="W145">
        <f t="shared" si="11"/>
        <v>117.59114562828687</v>
      </c>
    </row>
    <row r="146" spans="12:23" x14ac:dyDescent="0.25">
      <c r="L146">
        <f>Center!B145</f>
        <v>149.860218</v>
      </c>
      <c r="M146">
        <f>Center!C145</f>
        <v>116.993472</v>
      </c>
      <c r="N146">
        <f>Center!H145</f>
        <v>1.535264</v>
      </c>
      <c r="P146">
        <f>P145 + (Center!$D145-Center!$D144)*COS($N146)</f>
        <v>149.19906910904797</v>
      </c>
      <c r="Q146">
        <f>Q145 + (Center!$D145-Center!$D144)*SIN($N146)</f>
        <v>117.94785661598731</v>
      </c>
      <c r="S146">
        <f t="shared" si="8"/>
        <v>162.19086342183229</v>
      </c>
      <c r="T146">
        <f t="shared" si="9"/>
        <v>117.48603356079727</v>
      </c>
      <c r="V146">
        <f t="shared" si="10"/>
        <v>136.20727479626365</v>
      </c>
      <c r="W146">
        <f t="shared" si="11"/>
        <v>118.40967967117734</v>
      </c>
    </row>
    <row r="147" spans="12:23" x14ac:dyDescent="0.25">
      <c r="L147">
        <f>Center!B146</f>
        <v>149.887934</v>
      </c>
      <c r="M147">
        <f>Center!C146</f>
        <v>117.817767</v>
      </c>
      <c r="N147">
        <f>Center!H146</f>
        <v>1.5390980000000001</v>
      </c>
      <c r="P147">
        <f>P146 + (Center!$D146-Center!$D145)*COS($N147)</f>
        <v>149.22520722900191</v>
      </c>
      <c r="Q147">
        <f>Q146 + (Center!$D146-Center!$D145)*SIN($N147)</f>
        <v>118.77217031396233</v>
      </c>
      <c r="S147">
        <f t="shared" si="8"/>
        <v>162.21867668035486</v>
      </c>
      <c r="T147">
        <f t="shared" si="9"/>
        <v>118.36016107042823</v>
      </c>
      <c r="V147">
        <f t="shared" si="10"/>
        <v>136.23173777764896</v>
      </c>
      <c r="W147">
        <f t="shared" si="11"/>
        <v>119.18417955749644</v>
      </c>
    </row>
    <row r="148" spans="12:23" x14ac:dyDescent="0.25">
      <c r="L148">
        <f>Center!B147</f>
        <v>149.911171</v>
      </c>
      <c r="M148">
        <f>Center!C147</f>
        <v>118.59447900000001</v>
      </c>
      <c r="N148">
        <f>Center!H147</f>
        <v>1.542672</v>
      </c>
      <c r="P148">
        <f>P147 + (Center!$D147-Center!$D146)*COS($N148)</f>
        <v>149.24705998724201</v>
      </c>
      <c r="Q148">
        <f>Q147 + (Center!$D147-Center!$D146)*SIN($N148)</f>
        <v>119.54897099664825</v>
      </c>
      <c r="S148">
        <f t="shared" si="8"/>
        <v>162.24191897069971</v>
      </c>
      <c r="T148">
        <f t="shared" si="9"/>
        <v>119.18340294546179</v>
      </c>
      <c r="V148">
        <f t="shared" si="10"/>
        <v>136.25220100378431</v>
      </c>
      <c r="W148">
        <f t="shared" si="11"/>
        <v>119.91453904783471</v>
      </c>
    </row>
    <row r="149" spans="12:23" x14ac:dyDescent="0.25">
      <c r="L149">
        <f>Center!B148</f>
        <v>149.93047200000001</v>
      </c>
      <c r="M149">
        <f>Center!C148</f>
        <v>119.323741</v>
      </c>
      <c r="N149">
        <f>Center!H148</f>
        <v>1.545995</v>
      </c>
      <c r="P149">
        <f>P148 + (Center!$D148-Center!$D147)*COS($N149)</f>
        <v>149.2651504524008</v>
      </c>
      <c r="Q149">
        <f>Q148 + (Center!$D148-Center!$D147)*SIN($N149)</f>
        <v>120.27823665137932</v>
      </c>
      <c r="S149">
        <f t="shared" si="8"/>
        <v>162.26115246956886</v>
      </c>
      <c r="T149">
        <f t="shared" si="9"/>
        <v>119.95585245548293</v>
      </c>
      <c r="V149">
        <f t="shared" si="10"/>
        <v>136.26914843523275</v>
      </c>
      <c r="W149">
        <f t="shared" si="11"/>
        <v>120.60062084727571</v>
      </c>
    </row>
    <row r="150" spans="12:23" x14ac:dyDescent="0.25">
      <c r="L150">
        <f>Center!B149</f>
        <v>149.94632999999999</v>
      </c>
      <c r="M150">
        <f>Center!C149</f>
        <v>120.00539499999999</v>
      </c>
      <c r="N150">
        <f>Center!H149</f>
        <v>1.5490710000000001</v>
      </c>
      <c r="P150">
        <f>P149 + (Center!$D149-Center!$D148)*COS($N150)</f>
        <v>149.27996315740259</v>
      </c>
      <c r="Q150">
        <f>Q149 + (Center!$D149-Center!$D148)*SIN($N150)</f>
        <v>120.95994673962177</v>
      </c>
      <c r="S150">
        <f t="shared" si="8"/>
        <v>162.27689534421191</v>
      </c>
      <c r="T150">
        <f t="shared" si="9"/>
        <v>120.67753970805235</v>
      </c>
      <c r="V150">
        <f t="shared" si="10"/>
        <v>136.28303097059327</v>
      </c>
      <c r="W150">
        <f t="shared" si="11"/>
        <v>121.24235377119119</v>
      </c>
    </row>
    <row r="151" spans="12:23" x14ac:dyDescent="0.25">
      <c r="L151">
        <f>Center!B150</f>
        <v>149.95920699999999</v>
      </c>
      <c r="M151">
        <f>Center!C150</f>
        <v>120.63951400000001</v>
      </c>
      <c r="N151">
        <f>Center!H150</f>
        <v>1.551909</v>
      </c>
      <c r="P151">
        <f>P150 + (Center!$D150-Center!$D149)*COS($N151)</f>
        <v>149.29194176997663</v>
      </c>
      <c r="Q151">
        <f>Q150 + (Center!$D150-Center!$D149)*SIN($N151)</f>
        <v>121.59408561427369</v>
      </c>
      <c r="S151">
        <f t="shared" si="8"/>
        <v>162.28962308666925</v>
      </c>
      <c r="T151">
        <f t="shared" si="9"/>
        <v>121.34856496402341</v>
      </c>
      <c r="V151">
        <f t="shared" si="10"/>
        <v>136.29426045328401</v>
      </c>
      <c r="W151">
        <f t="shared" si="11"/>
        <v>121.83960626452398</v>
      </c>
    </row>
    <row r="152" spans="12:23" x14ac:dyDescent="0.25">
      <c r="L152">
        <f>Center!B151</f>
        <v>149.96952200000001</v>
      </c>
      <c r="M152">
        <f>Center!C151</f>
        <v>121.226055</v>
      </c>
      <c r="N152">
        <f>Center!H151</f>
        <v>1.5545119999999999</v>
      </c>
      <c r="P152">
        <f>P151 + (Center!$D151-Center!$D150)*COS($N152)</f>
        <v>149.30149425497302</v>
      </c>
      <c r="Q152">
        <f>Q151 + (Center!$D151-Center!$D150)*SIN($N152)</f>
        <v>122.18063983466121</v>
      </c>
      <c r="S152">
        <f t="shared" si="8"/>
        <v>162.29977062761816</v>
      </c>
      <c r="T152">
        <f t="shared" si="9"/>
        <v>121.96895294244729</v>
      </c>
      <c r="V152">
        <f t="shared" si="10"/>
        <v>136.30321788232789</v>
      </c>
      <c r="W152">
        <f t="shared" si="11"/>
        <v>122.39232672687513</v>
      </c>
    </row>
    <row r="153" spans="12:23" x14ac:dyDescent="0.25">
      <c r="L153">
        <f>Center!B152</f>
        <v>149.97765899999999</v>
      </c>
      <c r="M153">
        <f>Center!C152</f>
        <v>121.76501500000001</v>
      </c>
      <c r="N153">
        <f>Center!H152</f>
        <v>1.5568869999999999</v>
      </c>
      <c r="P153">
        <f>P152 + (Center!$D152-Center!$D151)*COS($N153)</f>
        <v>149.30899133509803</v>
      </c>
      <c r="Q153">
        <f>Q152 + (Center!$D152-Center!$D151)*SIN($N153)</f>
        <v>122.71960169415185</v>
      </c>
      <c r="S153">
        <f t="shared" si="8"/>
        <v>162.30773380445544</v>
      </c>
      <c r="T153">
        <f t="shared" si="9"/>
        <v>122.53878627632402</v>
      </c>
      <c r="V153">
        <f t="shared" si="10"/>
        <v>136.31024886574062</v>
      </c>
      <c r="W153">
        <f t="shared" si="11"/>
        <v>122.90041711197968</v>
      </c>
    </row>
    <row r="154" spans="12:23" x14ac:dyDescent="0.25">
      <c r="L154">
        <f>Center!B153</f>
        <v>149.98396500000001</v>
      </c>
      <c r="M154">
        <f>Center!C153</f>
        <v>122.256405</v>
      </c>
      <c r="N154">
        <f>Center!H153</f>
        <v>1.5590379999999999</v>
      </c>
      <c r="P154">
        <f>P153 + (Center!$D153-Center!$D152)*COS($N154)</f>
        <v>149.31476918495201</v>
      </c>
      <c r="Q154">
        <f>Q153 + (Center!$D153-Center!$D152)*SIN($N154)</f>
        <v>123.21096272483707</v>
      </c>
      <c r="S154">
        <f t="shared" si="8"/>
        <v>162.3138705166875</v>
      </c>
      <c r="T154">
        <f t="shared" si="9"/>
        <v>123.05810799879802</v>
      </c>
      <c r="V154">
        <f t="shared" si="10"/>
        <v>136.31566785321652</v>
      </c>
      <c r="W154">
        <f t="shared" si="11"/>
        <v>123.36381745087613</v>
      </c>
    </row>
    <row r="155" spans="12:23" x14ac:dyDescent="0.25">
      <c r="L155">
        <f>Center!B154</f>
        <v>149.988754</v>
      </c>
      <c r="M155">
        <f>Center!C154</f>
        <v>122.70011100000001</v>
      </c>
      <c r="N155">
        <f>Center!H154</f>
        <v>1.5609679999999999</v>
      </c>
      <c r="P155">
        <f>P154 + (Center!$D154-Center!$D153)*COS($N155)</f>
        <v>149.31913068045745</v>
      </c>
      <c r="Q155">
        <f>Q154 + (Center!$D154-Center!$D153)*SIN($N155)</f>
        <v>123.65471629156299</v>
      </c>
      <c r="S155">
        <f t="shared" si="8"/>
        <v>162.31850281146228</v>
      </c>
      <c r="T155">
        <f t="shared" si="9"/>
        <v>123.52695010020318</v>
      </c>
      <c r="V155">
        <f t="shared" si="10"/>
        <v>136.31975854945262</v>
      </c>
      <c r="W155">
        <f t="shared" si="11"/>
        <v>123.7824824829228</v>
      </c>
    </row>
    <row r="156" spans="12:23" x14ac:dyDescent="0.25">
      <c r="L156">
        <f>Center!B155</f>
        <v>149.99230800000001</v>
      </c>
      <c r="M156">
        <f>Center!C155</f>
        <v>123.096262</v>
      </c>
      <c r="N156">
        <f>Center!H155</f>
        <v>1.5626819999999999</v>
      </c>
      <c r="P156">
        <f>P155 + (Center!$D155-Center!$D154)*COS($N156)</f>
        <v>149.32234519254212</v>
      </c>
      <c r="Q156">
        <f>Q155 + (Center!$D155-Center!$D154)*SIN($N156)</f>
        <v>124.05086024969064</v>
      </c>
      <c r="S156">
        <f t="shared" si="8"/>
        <v>162.32191721994468</v>
      </c>
      <c r="T156">
        <f t="shared" si="9"/>
        <v>123.94537515892937</v>
      </c>
      <c r="V156">
        <f t="shared" si="10"/>
        <v>136.32277316513955</v>
      </c>
      <c r="W156">
        <f t="shared" si="11"/>
        <v>124.15634534045192</v>
      </c>
    </row>
    <row r="157" spans="12:23" x14ac:dyDescent="0.25">
      <c r="L157">
        <f>Center!B156</f>
        <v>149.994876</v>
      </c>
      <c r="M157">
        <f>Center!C156</f>
        <v>123.445098</v>
      </c>
      <c r="N157">
        <f>Center!H156</f>
        <v>1.564184</v>
      </c>
      <c r="P157">
        <f>P156 + (Center!$D156-Center!$D155)*COS($N157)</f>
        <v>149.32465171401597</v>
      </c>
      <c r="Q157">
        <f>Q156 + (Center!$D156-Center!$D155)*SIN($N157)</f>
        <v>124.399676623926</v>
      </c>
      <c r="S157">
        <f t="shared" si="8"/>
        <v>162.32436751642479</v>
      </c>
      <c r="T157">
        <f t="shared" si="9"/>
        <v>124.3137170019957</v>
      </c>
      <c r="V157">
        <f t="shared" si="10"/>
        <v>136.32493591160716</v>
      </c>
      <c r="W157">
        <f t="shared" si="11"/>
        <v>124.4856362458563</v>
      </c>
    </row>
    <row r="158" spans="12:23" x14ac:dyDescent="0.25">
      <c r="L158">
        <f>Center!B157</f>
        <v>149.99668500000001</v>
      </c>
      <c r="M158">
        <f>Center!C157</f>
        <v>123.748459</v>
      </c>
      <c r="N158">
        <f>Center!H157</f>
        <v>1.5654840000000001</v>
      </c>
      <c r="P158">
        <f>P157 + (Center!$D157-Center!$D156)*COS($N158)</f>
        <v>149.32626328576643</v>
      </c>
      <c r="Q158">
        <f>Q157 + (Center!$D157-Center!$D156)*SIN($N158)</f>
        <v>124.70303834331801</v>
      </c>
      <c r="S158">
        <f t="shared" si="8"/>
        <v>162.32607985089399</v>
      </c>
      <c r="T158">
        <f t="shared" si="9"/>
        <v>124.63397841980667</v>
      </c>
      <c r="V158">
        <f t="shared" si="10"/>
        <v>136.32644672063887</v>
      </c>
      <c r="W158">
        <f t="shared" si="11"/>
        <v>124.77209826682936</v>
      </c>
    </row>
    <row r="159" spans="12:23" x14ac:dyDescent="0.25">
      <c r="L159">
        <f>Center!B158</f>
        <v>149.99792600000001</v>
      </c>
      <c r="M159">
        <f>Center!C158</f>
        <v>124.009519</v>
      </c>
      <c r="N159">
        <f>Center!H158</f>
        <v>1.5665990000000001</v>
      </c>
      <c r="P159">
        <f>P158 + (Center!$D158-Center!$D157)*COS($N159)</f>
        <v>149.32735913322031</v>
      </c>
      <c r="Q159">
        <f>Q158 + (Center!$D158-Center!$D157)*SIN($N159)</f>
        <v>124.96411904349971</v>
      </c>
      <c r="S159">
        <f t="shared" si="8"/>
        <v>162.32724461929899</v>
      </c>
      <c r="T159">
        <f t="shared" si="9"/>
        <v>124.9095539553836</v>
      </c>
      <c r="V159">
        <f t="shared" si="10"/>
        <v>136.32747364714163</v>
      </c>
      <c r="W159">
        <f t="shared" si="11"/>
        <v>125.01868413161581</v>
      </c>
    </row>
    <row r="160" spans="12:23" x14ac:dyDescent="0.25">
      <c r="L160">
        <f>Center!B159</f>
        <v>149.99875299999999</v>
      </c>
      <c r="M160">
        <f>Center!C159</f>
        <v>124.231477</v>
      </c>
      <c r="N160">
        <f>Center!H159</f>
        <v>1.567545</v>
      </c>
      <c r="P160">
        <f>P159 + (Center!$D159-Center!$D158)*COS($N160)</f>
        <v>149.32808084196273</v>
      </c>
      <c r="Q160">
        <f>Q159 + (Center!$D159-Center!$D158)*SIN($N160)</f>
        <v>125.18609187024317</v>
      </c>
      <c r="S160">
        <f t="shared" si="8"/>
        <v>162.32801212970475</v>
      </c>
      <c r="T160">
        <f t="shared" si="9"/>
        <v>125.14382469637822</v>
      </c>
      <c r="V160">
        <f t="shared" si="10"/>
        <v>136.32814955422072</v>
      </c>
      <c r="W160">
        <f t="shared" si="11"/>
        <v>125.22835904410813</v>
      </c>
    </row>
    <row r="161" spans="12:23" x14ac:dyDescent="0.25">
      <c r="L161">
        <f>Center!B160</f>
        <v>149.99928399999999</v>
      </c>
      <c r="M161">
        <f>Center!C160</f>
        <v>124.417556</v>
      </c>
      <c r="N161">
        <f>Center!H160</f>
        <v>1.568335</v>
      </c>
      <c r="P161">
        <f>P160 + (Center!$D160-Center!$D159)*COS($N161)</f>
        <v>149.32853874427599</v>
      </c>
      <c r="Q161">
        <f>Q160 + (Center!$D160-Center!$D159)*SIN($N161)</f>
        <v>125.37213030671927</v>
      </c>
      <c r="S161">
        <f t="shared" si="8"/>
        <v>162.32849936645351</v>
      </c>
      <c r="T161">
        <f t="shared" si="9"/>
        <v>125.34013309069285</v>
      </c>
      <c r="V161">
        <f t="shared" si="10"/>
        <v>136.32857812209846</v>
      </c>
      <c r="W161">
        <f t="shared" si="11"/>
        <v>125.4041275227457</v>
      </c>
    </row>
    <row r="162" spans="12:23" x14ac:dyDescent="0.25">
      <c r="L162">
        <f>Center!B161</f>
        <v>149.99961099999999</v>
      </c>
      <c r="M162">
        <f>Center!C161</f>
        <v>124.570797</v>
      </c>
      <c r="N162">
        <f>Center!H161</f>
        <v>1.5689839999999999</v>
      </c>
      <c r="P162">
        <f>P161 + (Center!$D161-Center!$D160)*COS($N162)</f>
        <v>149.32881653757505</v>
      </c>
      <c r="Q162">
        <f>Q161 + (Center!$D161-Center!$D160)*SIN($N162)</f>
        <v>125.5254100549931</v>
      </c>
      <c r="S162">
        <f t="shared" si="8"/>
        <v>162.32879518814622</v>
      </c>
      <c r="T162">
        <f t="shared" si="9"/>
        <v>125.50184981955682</v>
      </c>
      <c r="V162">
        <f t="shared" si="10"/>
        <v>136.32883788700389</v>
      </c>
      <c r="W162">
        <f t="shared" si="11"/>
        <v>125.54897029042938</v>
      </c>
    </row>
    <row r="163" spans="12:23" x14ac:dyDescent="0.25">
      <c r="L163">
        <f>Center!B162</f>
        <v>149.99980300000001</v>
      </c>
      <c r="M163">
        <f>Center!C162</f>
        <v>124.694548</v>
      </c>
      <c r="N163">
        <f>Center!H162</f>
        <v>1.5695079999999999</v>
      </c>
      <c r="P163">
        <f>P162 + (Center!$D162-Center!$D161)*COS($N163)</f>
        <v>149.32897589711385</v>
      </c>
      <c r="Q163">
        <f>Q162 + (Center!$D162-Center!$D161)*SIN($N163)</f>
        <v>125.6491049523395</v>
      </c>
      <c r="S163">
        <f t="shared" si="8"/>
        <v>162.32896510850679</v>
      </c>
      <c r="T163">
        <f t="shared" si="9"/>
        <v>125.63235670863892</v>
      </c>
      <c r="V163">
        <f t="shared" si="10"/>
        <v>136.32898668572091</v>
      </c>
      <c r="W163">
        <f t="shared" si="11"/>
        <v>125.66585319604008</v>
      </c>
    </row>
    <row r="164" spans="12:23" x14ac:dyDescent="0.25">
      <c r="L164">
        <f>Center!B163</f>
        <v>149.999909</v>
      </c>
      <c r="M164">
        <f>Center!C163</f>
        <v>124.791783</v>
      </c>
      <c r="N164">
        <f>Center!H163</f>
        <v>1.5699179999999999</v>
      </c>
      <c r="P164">
        <f>P163 + (Center!$D163-Center!$D162)*COS($N164)</f>
        <v>149.3290613451251</v>
      </c>
      <c r="Q164">
        <f>Q163 + (Center!$D163-Center!$D162)*SIN($N164)</f>
        <v>125.74638991481386</v>
      </c>
      <c r="S164">
        <f t="shared" si="8"/>
        <v>162.32905633064868</v>
      </c>
      <c r="T164">
        <f t="shared" si="9"/>
        <v>125.73497166794832</v>
      </c>
      <c r="V164">
        <f t="shared" si="10"/>
        <v>136.32906635960151</v>
      </c>
      <c r="W164">
        <f t="shared" si="11"/>
        <v>125.75780816167941</v>
      </c>
    </row>
    <row r="165" spans="12:23" x14ac:dyDescent="0.25">
      <c r="L165">
        <f>Center!B164</f>
        <v>149.99996200000001</v>
      </c>
      <c r="M165">
        <f>Center!C164</f>
        <v>124.865824</v>
      </c>
      <c r="N165">
        <f>Center!H164</f>
        <v>1.5702309999999999</v>
      </c>
      <c r="P165">
        <f>P164 + (Center!$D164-Center!$D163)*COS($N165)</f>
        <v>149.32910320700671</v>
      </c>
      <c r="Q165">
        <f>Q164 + (Center!$D164-Center!$D163)*SIN($N165)</f>
        <v>125.82043890298104</v>
      </c>
      <c r="S165">
        <f t="shared" si="8"/>
        <v>162.32910112964328</v>
      </c>
      <c r="T165">
        <f t="shared" si="9"/>
        <v>125.81308965503885</v>
      </c>
      <c r="V165">
        <f t="shared" si="10"/>
        <v>136.32910528437014</v>
      </c>
      <c r="W165">
        <f t="shared" si="11"/>
        <v>125.82778815092323</v>
      </c>
    </row>
    <row r="166" spans="12:23" x14ac:dyDescent="0.25">
      <c r="L166">
        <f>Center!B165</f>
        <v>149.99998600000001</v>
      </c>
      <c r="M166">
        <f>Center!C165</f>
        <v>124.91982400000001</v>
      </c>
      <c r="N166">
        <f>Center!H165</f>
        <v>1.570459</v>
      </c>
      <c r="P166">
        <f>P165 + (Center!$D165-Center!$D164)*COS($N166)</f>
        <v>149.32912141826804</v>
      </c>
      <c r="Q166">
        <f>Q165 + (Center!$D165-Center!$D164)*SIN($N166)</f>
        <v>125.87442589990944</v>
      </c>
      <c r="S166">
        <f t="shared" si="8"/>
        <v>162.32912067863717</v>
      </c>
      <c r="T166">
        <f t="shared" si="9"/>
        <v>125.87004065165895</v>
      </c>
      <c r="V166">
        <f t="shared" si="10"/>
        <v>136.32912215789892</v>
      </c>
      <c r="W166">
        <f t="shared" si="11"/>
        <v>125.87881114815993</v>
      </c>
    </row>
    <row r="167" spans="12:23" x14ac:dyDescent="0.25">
      <c r="L167">
        <f>Center!B166</f>
        <v>149.99999600000001</v>
      </c>
      <c r="M167">
        <f>Center!C166</f>
        <v>124.956942</v>
      </c>
      <c r="N167">
        <f>Center!H166</f>
        <v>1.5706150000000001</v>
      </c>
      <c r="P167">
        <f>P166 + (Center!$D166-Center!$D165)*COS($N167)</f>
        <v>149.32912814567342</v>
      </c>
      <c r="Q167">
        <f>Q166 + (Center!$D166-Center!$D165)*SIN($N167)</f>
        <v>125.91152689929952</v>
      </c>
      <c r="S167">
        <f t="shared" si="8"/>
        <v>162.32912793195729</v>
      </c>
      <c r="T167">
        <f t="shared" si="9"/>
        <v>125.90916965097878</v>
      </c>
      <c r="V167">
        <f t="shared" si="10"/>
        <v>136.32912835938956</v>
      </c>
      <c r="W167">
        <f t="shared" si="11"/>
        <v>125.91388414762025</v>
      </c>
    </row>
    <row r="168" spans="12:23" x14ac:dyDescent="0.25">
      <c r="L168">
        <f>Center!B167</f>
        <v>149.999999</v>
      </c>
      <c r="M168">
        <f>Center!C167</f>
        <v>124.980345</v>
      </c>
      <c r="N168">
        <f>Center!H167</f>
        <v>1.5707139999999999</v>
      </c>
      <c r="P168">
        <f>P167 + (Center!$D167-Center!$D166)*COS($N168)</f>
        <v>149.32913007121482</v>
      </c>
      <c r="Q168">
        <f>Q167 + (Center!$D167-Center!$D166)*SIN($N168)</f>
        <v>125.93491589922026</v>
      </c>
      <c r="S168">
        <f t="shared" si="8"/>
        <v>162.32913002715975</v>
      </c>
      <c r="T168">
        <f t="shared" si="9"/>
        <v>125.9338456508878</v>
      </c>
      <c r="V168">
        <f t="shared" si="10"/>
        <v>136.32913011526989</v>
      </c>
      <c r="W168">
        <f t="shared" si="11"/>
        <v>125.93598614755271</v>
      </c>
    </row>
    <row r="169" spans="12:23" x14ac:dyDescent="0.25">
      <c r="L169">
        <f>Center!B168</f>
        <v>150</v>
      </c>
      <c r="M169">
        <f>Center!C168</f>
        <v>124.993206</v>
      </c>
      <c r="N169">
        <f>Center!H168</f>
        <v>1.5707679999999999</v>
      </c>
      <c r="P169">
        <f>P168 + (Center!$D168-Center!$D167)*COS($N169)</f>
        <v>149.3291304352708</v>
      </c>
      <c r="Q169">
        <f>Q168 + (Center!$D168-Center!$D167)*SIN($N169)</f>
        <v>125.94776789921511</v>
      </c>
      <c r="S169">
        <f t="shared" si="8"/>
        <v>162.32913043005516</v>
      </c>
      <c r="T169">
        <f t="shared" si="9"/>
        <v>125.94739965088151</v>
      </c>
      <c r="V169">
        <f t="shared" si="10"/>
        <v>136.32913044048644</v>
      </c>
      <c r="W169">
        <f t="shared" si="11"/>
        <v>125.94813614754871</v>
      </c>
    </row>
    <row r="170" spans="12:23" x14ac:dyDescent="0.25">
      <c r="L170">
        <f>Center!B169</f>
        <v>150</v>
      </c>
      <c r="M170">
        <f>Center!C169</f>
        <v>124.998699</v>
      </c>
      <c r="N170">
        <f>Center!H169</f>
        <v>1.570791</v>
      </c>
      <c r="P170">
        <f>P169 + (Center!$D169-Center!$D168)*COS($N170)</f>
        <v>149.32913046450426</v>
      </c>
      <c r="Q170">
        <f>Q169 + (Center!$D169-Center!$D168)*SIN($N170)</f>
        <v>125.95325589921502</v>
      </c>
      <c r="S170">
        <f t="shared" si="8"/>
        <v>162.32913046431983</v>
      </c>
      <c r="T170">
        <f t="shared" si="9"/>
        <v>125.95318665088136</v>
      </c>
      <c r="V170">
        <f t="shared" si="10"/>
        <v>136.32913046468869</v>
      </c>
      <c r="W170">
        <f t="shared" si="11"/>
        <v>125.95332514754868</v>
      </c>
    </row>
    <row r="171" spans="12:23" x14ac:dyDescent="0.25">
      <c r="L171">
        <f>Center!B170</f>
        <v>150</v>
      </c>
      <c r="M171">
        <f>Center!C170</f>
        <v>125</v>
      </c>
      <c r="N171">
        <f>Center!H170</f>
        <v>1.5707960000000001</v>
      </c>
      <c r="P171">
        <f>P170 + (Center!$D170-Center!$D169)*COS($N171)</f>
        <v>149.32913046492942</v>
      </c>
      <c r="Q171">
        <f>Q170 + (Center!$D170-Center!$D169)*SIN($N171)</f>
        <v>125.95455689921504</v>
      </c>
      <c r="S171">
        <f t="shared" si="8"/>
        <v>162.32913046492874</v>
      </c>
      <c r="T171">
        <f t="shared" si="9"/>
        <v>125.95455265088138</v>
      </c>
      <c r="V171">
        <f t="shared" si="10"/>
        <v>136.3291304649301</v>
      </c>
      <c r="W171">
        <f t="shared" si="11"/>
        <v>125.95456114754869</v>
      </c>
    </row>
    <row r="172" spans="12:23" x14ac:dyDescent="0.25">
      <c r="L172">
        <f>Center!B171</f>
        <v>150</v>
      </c>
      <c r="M172">
        <f>Center!C171</f>
        <v>125</v>
      </c>
      <c r="N172">
        <f>Center!H171</f>
        <v>1.5707960000000001</v>
      </c>
      <c r="P172">
        <f>P171 + (Center!$D171-Center!$D170)*COS($N172)</f>
        <v>149.32913046492942</v>
      </c>
      <c r="Q172">
        <f>Q171 + (Center!$D171-Center!$D170)*SIN($N172)</f>
        <v>125.95455689921504</v>
      </c>
      <c r="S172">
        <f t="shared" si="8"/>
        <v>162.32913046492874</v>
      </c>
      <c r="T172">
        <f t="shared" si="9"/>
        <v>125.95455265088138</v>
      </c>
      <c r="V172">
        <f t="shared" si="10"/>
        <v>136.3291304649301</v>
      </c>
      <c r="W172">
        <f t="shared" si="11"/>
        <v>125.95456114754869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1"/>
  <sheetViews>
    <sheetView workbookViewId="0">
      <selection activeCell="E1" sqref="E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0.02</v>
      </c>
      <c r="B2">
        <v>0</v>
      </c>
      <c r="C2">
        <v>0</v>
      </c>
      <c r="D2">
        <v>1.5870000000000001E-3</v>
      </c>
      <c r="E2">
        <v>0.15873000000000001</v>
      </c>
      <c r="F2">
        <v>7.9365079999999999</v>
      </c>
      <c r="G2">
        <v>396.82539700000001</v>
      </c>
      <c r="H2">
        <v>6.2826389999999996</v>
      </c>
    </row>
    <row r="3" spans="1:8" x14ac:dyDescent="0.25">
      <c r="A3">
        <v>0.02</v>
      </c>
      <c r="B3">
        <v>0</v>
      </c>
      <c r="C3">
        <v>0</v>
      </c>
      <c r="D3">
        <v>7.9369999999999996E-3</v>
      </c>
      <c r="E3">
        <v>0.47619</v>
      </c>
      <c r="F3">
        <v>15.873016</v>
      </c>
      <c r="G3">
        <v>396.82539700000001</v>
      </c>
      <c r="H3">
        <v>6.2826529999999998</v>
      </c>
    </row>
    <row r="4" spans="1:8" x14ac:dyDescent="0.25">
      <c r="A4">
        <v>0.02</v>
      </c>
      <c r="B4">
        <v>0</v>
      </c>
      <c r="C4">
        <v>0</v>
      </c>
      <c r="D4">
        <v>2.2221999999999999E-2</v>
      </c>
      <c r="E4">
        <v>0.95238100000000003</v>
      </c>
      <c r="F4">
        <v>23.809524</v>
      </c>
      <c r="G4">
        <v>396.82539700000001</v>
      </c>
      <c r="H4">
        <v>6.2826829999999996</v>
      </c>
    </row>
    <row r="5" spans="1:8" x14ac:dyDescent="0.25">
      <c r="A5">
        <v>0.02</v>
      </c>
      <c r="B5">
        <v>0</v>
      </c>
      <c r="C5">
        <v>0</v>
      </c>
      <c r="D5">
        <v>4.7619000000000002E-2</v>
      </c>
      <c r="E5">
        <v>1.587302</v>
      </c>
      <c r="F5">
        <v>31.746032</v>
      </c>
      <c r="G5">
        <v>396.82539700000001</v>
      </c>
      <c r="H5">
        <v>6.2827380000000002</v>
      </c>
    </row>
    <row r="6" spans="1:8" x14ac:dyDescent="0.25">
      <c r="A6">
        <v>0.02</v>
      </c>
      <c r="B6">
        <v>0</v>
      </c>
      <c r="C6">
        <v>0</v>
      </c>
      <c r="D6">
        <v>8.7302000000000005E-2</v>
      </c>
      <c r="E6">
        <v>2.3809520000000002</v>
      </c>
      <c r="F6">
        <v>39.682540000000003</v>
      </c>
      <c r="G6">
        <v>396.82539700000001</v>
      </c>
      <c r="H6">
        <v>6.2828239999999997</v>
      </c>
    </row>
    <row r="7" spans="1:8" x14ac:dyDescent="0.25">
      <c r="A7">
        <v>0.02</v>
      </c>
      <c r="B7">
        <v>0</v>
      </c>
      <c r="C7">
        <v>0</v>
      </c>
      <c r="D7">
        <v>0.14444399999999999</v>
      </c>
      <c r="E7">
        <v>3.3333330000000001</v>
      </c>
      <c r="F7">
        <v>47.619047999999999</v>
      </c>
      <c r="G7">
        <v>396.82539700000001</v>
      </c>
      <c r="H7">
        <v>6.2829480000000002</v>
      </c>
    </row>
    <row r="8" spans="1:8" x14ac:dyDescent="0.25">
      <c r="A8">
        <v>0.02</v>
      </c>
      <c r="B8">
        <v>0</v>
      </c>
      <c r="C8">
        <v>0</v>
      </c>
      <c r="D8">
        <v>0.222222</v>
      </c>
      <c r="E8">
        <v>4.4444439999999998</v>
      </c>
      <c r="F8">
        <v>55.555556000000003</v>
      </c>
      <c r="G8">
        <v>396.82539700000001</v>
      </c>
      <c r="H8">
        <v>6.2831159999999997</v>
      </c>
    </row>
    <row r="9" spans="1:8" x14ac:dyDescent="0.25">
      <c r="A9">
        <v>0.02</v>
      </c>
      <c r="B9">
        <v>6.9653999999999994E-2</v>
      </c>
      <c r="C9">
        <v>5.0000000000000004E-6</v>
      </c>
      <c r="D9">
        <v>0.32380999999999999</v>
      </c>
      <c r="E9">
        <v>5.7142860000000004</v>
      </c>
      <c r="F9">
        <v>63.492063000000002</v>
      </c>
      <c r="G9">
        <v>396.82539700000001</v>
      </c>
      <c r="H9">
        <v>1.5100000000000001E-4</v>
      </c>
    </row>
    <row r="10" spans="1:8" x14ac:dyDescent="0.25">
      <c r="A10">
        <v>0.02</v>
      </c>
      <c r="B10">
        <v>0.19822400000000001</v>
      </c>
      <c r="C10">
        <v>4.3000000000000002E-5</v>
      </c>
      <c r="D10">
        <v>0.45238099999999998</v>
      </c>
      <c r="E10">
        <v>7.1428570000000002</v>
      </c>
      <c r="F10">
        <v>71.428571000000005</v>
      </c>
      <c r="G10">
        <v>396.82539700000001</v>
      </c>
      <c r="H10">
        <v>4.2999999999999999E-4</v>
      </c>
    </row>
    <row r="11" spans="1:8" x14ac:dyDescent="0.25">
      <c r="A11">
        <v>0.02</v>
      </c>
      <c r="B11">
        <v>0.35695900000000003</v>
      </c>
      <c r="C11">
        <v>1.3799999999999999E-4</v>
      </c>
      <c r="D11">
        <v>0.61111099999999996</v>
      </c>
      <c r="E11">
        <v>8.7301590000000004</v>
      </c>
      <c r="F11">
        <v>79.365078999999994</v>
      </c>
      <c r="G11">
        <v>396.82539700000001</v>
      </c>
      <c r="H11">
        <v>7.76E-4</v>
      </c>
    </row>
    <row r="12" spans="1:8" x14ac:dyDescent="0.25">
      <c r="A12">
        <v>0.02</v>
      </c>
      <c r="B12">
        <v>0.54901599999999995</v>
      </c>
      <c r="C12">
        <v>3.2699999999999998E-4</v>
      </c>
      <c r="D12">
        <v>0.80317499999999997</v>
      </c>
      <c r="E12">
        <v>10.476190000000001</v>
      </c>
      <c r="F12">
        <v>87.301586999999998</v>
      </c>
      <c r="G12">
        <v>396.82539700000001</v>
      </c>
      <c r="H12">
        <v>1.1950000000000001E-3</v>
      </c>
    </row>
    <row r="13" spans="1:8" x14ac:dyDescent="0.25">
      <c r="A13">
        <v>0.02</v>
      </c>
      <c r="B13">
        <v>0.777582</v>
      </c>
      <c r="C13">
        <v>6.5799999999999995E-4</v>
      </c>
      <c r="D13">
        <v>1.0317460000000001</v>
      </c>
      <c r="E13">
        <v>12.380952000000001</v>
      </c>
      <c r="F13">
        <v>95.238095000000001</v>
      </c>
      <c r="G13">
        <v>396.82539700000001</v>
      </c>
      <c r="H13">
        <v>1.6949999999999999E-3</v>
      </c>
    </row>
    <row r="14" spans="1:8" x14ac:dyDescent="0.25">
      <c r="A14">
        <v>0.02</v>
      </c>
      <c r="B14">
        <v>1.045839</v>
      </c>
      <c r="C14">
        <v>1.191E-3</v>
      </c>
      <c r="D14">
        <v>1.3</v>
      </c>
      <c r="E14">
        <v>14.444444000000001</v>
      </c>
      <c r="F14">
        <v>103.174603</v>
      </c>
      <c r="G14">
        <v>396.82539700000001</v>
      </c>
      <c r="H14">
        <v>2.284E-3</v>
      </c>
    </row>
    <row r="15" spans="1:8" x14ac:dyDescent="0.25">
      <c r="A15">
        <v>0.02</v>
      </c>
      <c r="B15">
        <v>1.3569560000000001</v>
      </c>
      <c r="C15">
        <v>2.0089999999999999E-3</v>
      </c>
      <c r="D15">
        <v>1.611111</v>
      </c>
      <c r="E15">
        <v>16.666667</v>
      </c>
      <c r="F15">
        <v>111.11111099999999</v>
      </c>
      <c r="G15">
        <v>396.82539700000001</v>
      </c>
      <c r="H15">
        <v>2.97E-3</v>
      </c>
    </row>
    <row r="16" spans="1:8" x14ac:dyDescent="0.25">
      <c r="A16">
        <v>0.02</v>
      </c>
      <c r="B16">
        <v>1.714094</v>
      </c>
      <c r="C16">
        <v>3.2109999999999999E-3</v>
      </c>
      <c r="D16">
        <v>1.9682539999999999</v>
      </c>
      <c r="E16">
        <v>19.047619000000001</v>
      </c>
      <c r="F16">
        <v>119.047619</v>
      </c>
      <c r="G16">
        <v>396.82539700000001</v>
      </c>
      <c r="H16">
        <v>3.7620000000000002E-3</v>
      </c>
    </row>
    <row r="17" spans="1:8" x14ac:dyDescent="0.25">
      <c r="A17">
        <v>0.02</v>
      </c>
      <c r="B17">
        <v>2.1188549999999999</v>
      </c>
      <c r="C17">
        <v>4.9160000000000002E-3</v>
      </c>
      <c r="D17">
        <v>2.3730159999999998</v>
      </c>
      <c r="E17">
        <v>21.428571000000002</v>
      </c>
      <c r="F17">
        <v>119.047619</v>
      </c>
      <c r="G17">
        <v>0</v>
      </c>
      <c r="H17">
        <v>4.6639999999999997E-3</v>
      </c>
    </row>
    <row r="18" spans="1:8" x14ac:dyDescent="0.25">
      <c r="A18">
        <v>0.02</v>
      </c>
      <c r="B18">
        <v>2.571224</v>
      </c>
      <c r="C18">
        <v>7.2550000000000002E-3</v>
      </c>
      <c r="D18">
        <v>2.8253970000000002</v>
      </c>
      <c r="E18">
        <v>23.809524</v>
      </c>
      <c r="F18">
        <v>119.047619</v>
      </c>
      <c r="G18">
        <v>0</v>
      </c>
      <c r="H18">
        <v>5.679E-3</v>
      </c>
    </row>
    <row r="19" spans="1:8" x14ac:dyDescent="0.25">
      <c r="A19">
        <v>0.02</v>
      </c>
      <c r="B19">
        <v>3.0712130000000002</v>
      </c>
      <c r="C19">
        <v>1.0376E-2</v>
      </c>
      <c r="D19">
        <v>3.3253970000000002</v>
      </c>
      <c r="E19">
        <v>26.190476</v>
      </c>
      <c r="F19">
        <v>119.047619</v>
      </c>
      <c r="G19">
        <v>0</v>
      </c>
      <c r="H19">
        <v>6.8079999999999998E-3</v>
      </c>
    </row>
    <row r="20" spans="1:8" x14ac:dyDescent="0.25">
      <c r="A20">
        <v>0.02</v>
      </c>
      <c r="B20">
        <v>3.6188229999999999</v>
      </c>
      <c r="C20">
        <v>1.4445E-2</v>
      </c>
      <c r="D20">
        <v>3.8730159999999998</v>
      </c>
      <c r="E20">
        <v>28.571428999999998</v>
      </c>
      <c r="F20">
        <v>119.047619</v>
      </c>
      <c r="G20">
        <v>0</v>
      </c>
      <c r="H20">
        <v>8.0549999999999997E-3</v>
      </c>
    </row>
    <row r="21" spans="1:8" x14ac:dyDescent="0.25">
      <c r="A21">
        <v>0.02</v>
      </c>
      <c r="B21">
        <v>4.2140399999999998</v>
      </c>
      <c r="C21">
        <v>1.9646E-2</v>
      </c>
      <c r="D21">
        <v>4.4682539999999999</v>
      </c>
      <c r="E21">
        <v>30.952380999999999</v>
      </c>
      <c r="F21">
        <v>119.047619</v>
      </c>
      <c r="G21">
        <v>0</v>
      </c>
      <c r="H21">
        <v>9.4210000000000006E-3</v>
      </c>
    </row>
    <row r="22" spans="1:8" x14ac:dyDescent="0.25">
      <c r="A22">
        <v>0.02</v>
      </c>
      <c r="B22">
        <v>4.8568600000000002</v>
      </c>
      <c r="C22">
        <v>2.6179999999999998E-2</v>
      </c>
      <c r="D22">
        <v>5.1111110000000002</v>
      </c>
      <c r="E22">
        <v>33.333333000000003</v>
      </c>
      <c r="F22">
        <v>119.047619</v>
      </c>
      <c r="G22">
        <v>0</v>
      </c>
      <c r="H22">
        <v>1.091E-2</v>
      </c>
    </row>
    <row r="23" spans="1:8" x14ac:dyDescent="0.25">
      <c r="A23">
        <v>0.02</v>
      </c>
      <c r="B23">
        <v>5.547282</v>
      </c>
      <c r="C23">
        <v>3.4269000000000001E-2</v>
      </c>
      <c r="D23">
        <v>5.8015869999999996</v>
      </c>
      <c r="E23">
        <v>35.714286000000001</v>
      </c>
      <c r="F23">
        <v>119.047619</v>
      </c>
      <c r="G23">
        <v>0</v>
      </c>
      <c r="H23">
        <v>1.2525E-2</v>
      </c>
    </row>
    <row r="24" spans="1:8" x14ac:dyDescent="0.25">
      <c r="A24">
        <v>0.02</v>
      </c>
      <c r="B24">
        <v>6.2853149999999998</v>
      </c>
      <c r="C24">
        <v>4.4156000000000001E-2</v>
      </c>
      <c r="D24">
        <v>6.5396830000000001</v>
      </c>
      <c r="E24">
        <v>38.095238000000002</v>
      </c>
      <c r="F24">
        <v>119.047619</v>
      </c>
      <c r="G24">
        <v>0</v>
      </c>
      <c r="H24">
        <v>1.4269E-2</v>
      </c>
    </row>
    <row r="25" spans="1:8" x14ac:dyDescent="0.25">
      <c r="A25">
        <v>0.02</v>
      </c>
      <c r="B25">
        <v>7.0709309999999999</v>
      </c>
      <c r="C25">
        <v>5.6104000000000001E-2</v>
      </c>
      <c r="D25">
        <v>7.3253969999999997</v>
      </c>
      <c r="E25">
        <v>40.476190000000003</v>
      </c>
      <c r="F25">
        <v>119.047619</v>
      </c>
      <c r="G25">
        <v>0</v>
      </c>
      <c r="H25">
        <v>1.6147000000000002E-2</v>
      </c>
    </row>
    <row r="26" spans="1:8" x14ac:dyDescent="0.25">
      <c r="A26">
        <v>0.02</v>
      </c>
      <c r="B26">
        <v>7.9041550000000003</v>
      </c>
      <c r="C26">
        <v>7.0397000000000001E-2</v>
      </c>
      <c r="D26">
        <v>8.1587300000000003</v>
      </c>
      <c r="E26">
        <v>42.857143000000001</v>
      </c>
      <c r="F26">
        <v>119.047619</v>
      </c>
      <c r="G26">
        <v>0</v>
      </c>
      <c r="H26">
        <v>1.8162999999999999E-2</v>
      </c>
    </row>
    <row r="27" spans="1:8" x14ac:dyDescent="0.25">
      <c r="A27">
        <v>0.02</v>
      </c>
      <c r="B27">
        <v>8.7849389999999996</v>
      </c>
      <c r="C27">
        <v>8.7345000000000006E-2</v>
      </c>
      <c r="D27">
        <v>9.0396830000000001</v>
      </c>
      <c r="E27">
        <v>45.238095000000001</v>
      </c>
      <c r="F27">
        <v>119.047619</v>
      </c>
      <c r="G27">
        <v>0</v>
      </c>
      <c r="H27">
        <v>2.0320000000000001E-2</v>
      </c>
    </row>
    <row r="28" spans="1:8" x14ac:dyDescent="0.25">
      <c r="A28">
        <v>0.02</v>
      </c>
      <c r="B28">
        <v>9.7133040000000008</v>
      </c>
      <c r="C28">
        <v>0.10728</v>
      </c>
      <c r="D28">
        <v>9.9682539999999999</v>
      </c>
      <c r="E28">
        <v>47.619047999999999</v>
      </c>
      <c r="F28">
        <v>119.047619</v>
      </c>
      <c r="G28">
        <v>0</v>
      </c>
      <c r="H28">
        <v>2.2624999999999999E-2</v>
      </c>
    </row>
    <row r="29" spans="1:8" x14ac:dyDescent="0.25">
      <c r="A29">
        <v>0.02</v>
      </c>
      <c r="B29">
        <v>10.689216999999999</v>
      </c>
      <c r="C29">
        <v>0.13056000000000001</v>
      </c>
      <c r="D29">
        <v>10.944444000000001</v>
      </c>
      <c r="E29">
        <v>50</v>
      </c>
      <c r="F29">
        <v>119.047619</v>
      </c>
      <c r="G29">
        <v>0</v>
      </c>
      <c r="H29">
        <v>2.5080999999999999E-2</v>
      </c>
    </row>
    <row r="30" spans="1:8" x14ac:dyDescent="0.25">
      <c r="A30">
        <v>0.02</v>
      </c>
      <c r="B30">
        <v>11.712669</v>
      </c>
      <c r="C30">
        <v>0.15756999999999999</v>
      </c>
      <c r="D30">
        <v>11.968254</v>
      </c>
      <c r="E30">
        <v>52.380952000000001</v>
      </c>
      <c r="F30">
        <v>119.047619</v>
      </c>
      <c r="G30">
        <v>0</v>
      </c>
      <c r="H30">
        <v>2.7695000000000001E-2</v>
      </c>
    </row>
    <row r="31" spans="1:8" x14ac:dyDescent="0.25">
      <c r="A31">
        <v>0.02</v>
      </c>
      <c r="B31">
        <v>12.783633999999999</v>
      </c>
      <c r="C31">
        <v>0.188723</v>
      </c>
      <c r="D31">
        <v>13.039683</v>
      </c>
      <c r="E31">
        <v>54.761904999999999</v>
      </c>
      <c r="F31">
        <v>119.047619</v>
      </c>
      <c r="G31">
        <v>0</v>
      </c>
      <c r="H31">
        <v>3.0474000000000001E-2</v>
      </c>
    </row>
    <row r="32" spans="1:8" x14ac:dyDescent="0.25">
      <c r="A32">
        <v>0.02</v>
      </c>
      <c r="B32">
        <v>13.902120999999999</v>
      </c>
      <c r="C32">
        <v>0.224464</v>
      </c>
      <c r="D32">
        <v>14.15873</v>
      </c>
      <c r="E32">
        <v>57.142856999999999</v>
      </c>
      <c r="F32">
        <v>119.047619</v>
      </c>
      <c r="G32">
        <v>0</v>
      </c>
      <c r="H32">
        <v>3.3422E-2</v>
      </c>
    </row>
    <row r="33" spans="1:8" x14ac:dyDescent="0.25">
      <c r="A33">
        <v>0.02</v>
      </c>
      <c r="B33">
        <v>15.068066</v>
      </c>
      <c r="C33">
        <v>0.265266</v>
      </c>
      <c r="D33">
        <v>15.325397000000001</v>
      </c>
      <c r="E33">
        <v>59.523809999999997</v>
      </c>
      <c r="F33">
        <v>119.047619</v>
      </c>
      <c r="G33">
        <v>0</v>
      </c>
      <c r="H33">
        <v>3.6547999999999997E-2</v>
      </c>
    </row>
    <row r="34" spans="1:8" x14ac:dyDescent="0.25">
      <c r="A34">
        <v>0.02</v>
      </c>
      <c r="B34">
        <v>16.281462000000001</v>
      </c>
      <c r="C34">
        <v>0.31163800000000003</v>
      </c>
      <c r="D34">
        <v>16.539683</v>
      </c>
      <c r="E34">
        <v>61.904761999999998</v>
      </c>
      <c r="F34">
        <v>119.047619</v>
      </c>
      <c r="G34">
        <v>0</v>
      </c>
      <c r="H34">
        <v>3.9857999999999998E-2</v>
      </c>
    </row>
    <row r="35" spans="1:8" x14ac:dyDescent="0.25">
      <c r="A35">
        <v>0.02</v>
      </c>
      <c r="B35">
        <v>17.542280999999999</v>
      </c>
      <c r="C35">
        <v>0.36412499999999998</v>
      </c>
      <c r="D35">
        <v>17.801587000000001</v>
      </c>
      <c r="E35">
        <v>64.285713999999999</v>
      </c>
      <c r="F35">
        <v>119.047619</v>
      </c>
      <c r="G35">
        <v>0</v>
      </c>
      <c r="H35">
        <v>4.3361999999999998E-2</v>
      </c>
    </row>
    <row r="36" spans="1:8" x14ac:dyDescent="0.25">
      <c r="A36">
        <v>0.02</v>
      </c>
      <c r="B36">
        <v>18.850470999999999</v>
      </c>
      <c r="C36">
        <v>0.42330600000000002</v>
      </c>
      <c r="D36">
        <v>19.111111000000001</v>
      </c>
      <c r="E36">
        <v>66.666667000000004</v>
      </c>
      <c r="F36">
        <v>119.047619</v>
      </c>
      <c r="G36">
        <v>0</v>
      </c>
      <c r="H36">
        <v>4.7065999999999997E-2</v>
      </c>
    </row>
    <row r="37" spans="1:8" x14ac:dyDescent="0.25">
      <c r="A37">
        <v>0.02</v>
      </c>
      <c r="B37">
        <v>20.205973</v>
      </c>
      <c r="C37">
        <v>0.48980200000000002</v>
      </c>
      <c r="D37">
        <v>20.468254000000002</v>
      </c>
      <c r="E37">
        <v>69.047618999999997</v>
      </c>
      <c r="F37">
        <v>119.047619</v>
      </c>
      <c r="G37">
        <v>0</v>
      </c>
      <c r="H37">
        <v>5.0980999999999999E-2</v>
      </c>
    </row>
    <row r="38" spans="1:8" x14ac:dyDescent="0.25">
      <c r="A38">
        <v>0.02</v>
      </c>
      <c r="B38">
        <v>21.60876</v>
      </c>
      <c r="C38">
        <v>0.56427899999999998</v>
      </c>
      <c r="D38">
        <v>21.873016</v>
      </c>
      <c r="E38">
        <v>71.428571000000005</v>
      </c>
      <c r="F38">
        <v>119.047619</v>
      </c>
      <c r="G38">
        <v>0</v>
      </c>
      <c r="H38">
        <v>5.5116999999999999E-2</v>
      </c>
    </row>
    <row r="39" spans="1:8" x14ac:dyDescent="0.25">
      <c r="A39">
        <v>0.02</v>
      </c>
      <c r="B39">
        <v>23.058758000000001</v>
      </c>
      <c r="C39">
        <v>0.64744299999999999</v>
      </c>
      <c r="D39">
        <v>23.325396999999999</v>
      </c>
      <c r="E39">
        <v>73.809523999999996</v>
      </c>
      <c r="F39">
        <v>119.047619</v>
      </c>
      <c r="G39">
        <v>0</v>
      </c>
      <c r="H39">
        <v>5.9483000000000001E-2</v>
      </c>
    </row>
    <row r="40" spans="1:8" x14ac:dyDescent="0.25">
      <c r="A40">
        <v>0.02</v>
      </c>
      <c r="B40">
        <v>24.555889000000001</v>
      </c>
      <c r="C40">
        <v>0.74005200000000004</v>
      </c>
      <c r="D40">
        <v>24.825396999999999</v>
      </c>
      <c r="E40">
        <v>76.190476000000004</v>
      </c>
      <c r="F40">
        <v>119.047619</v>
      </c>
      <c r="G40">
        <v>0</v>
      </c>
      <c r="H40">
        <v>6.4090999999999995E-2</v>
      </c>
    </row>
    <row r="41" spans="1:8" x14ac:dyDescent="0.25">
      <c r="A41">
        <v>0.02</v>
      </c>
      <c r="B41">
        <v>26.100097999999999</v>
      </c>
      <c r="C41">
        <v>0.84291300000000002</v>
      </c>
      <c r="D41">
        <v>26.373016</v>
      </c>
      <c r="E41">
        <v>78.571428999999995</v>
      </c>
      <c r="F41">
        <v>119.047619</v>
      </c>
      <c r="G41">
        <v>0</v>
      </c>
      <c r="H41">
        <v>6.8953E-2</v>
      </c>
    </row>
    <row r="42" spans="1:8" x14ac:dyDescent="0.25">
      <c r="A42">
        <v>0.02</v>
      </c>
      <c r="B42">
        <v>27.691247000000001</v>
      </c>
      <c r="C42">
        <v>0.95688700000000004</v>
      </c>
      <c r="D42">
        <v>27.968254000000002</v>
      </c>
      <c r="E42">
        <v>80.952381000000003</v>
      </c>
      <c r="F42">
        <v>119.047619</v>
      </c>
      <c r="G42">
        <v>0</v>
      </c>
      <c r="H42">
        <v>7.4081999999999995E-2</v>
      </c>
    </row>
    <row r="43" spans="1:8" x14ac:dyDescent="0.25">
      <c r="A43">
        <v>0.02</v>
      </c>
      <c r="B43">
        <v>29.329260999999999</v>
      </c>
      <c r="C43">
        <v>1.0828960000000001</v>
      </c>
      <c r="D43">
        <v>29.611111000000001</v>
      </c>
      <c r="E43">
        <v>83.333332999999996</v>
      </c>
      <c r="F43">
        <v>119.047619</v>
      </c>
      <c r="G43">
        <v>0</v>
      </c>
      <c r="H43">
        <v>7.9491999999999993E-2</v>
      </c>
    </row>
    <row r="44" spans="1:8" x14ac:dyDescent="0.25">
      <c r="A44">
        <v>0.02</v>
      </c>
      <c r="B44">
        <v>31.012425</v>
      </c>
      <c r="C44">
        <v>1.2217849999999999</v>
      </c>
      <c r="D44">
        <v>31.3</v>
      </c>
      <c r="E44">
        <v>85.555555999999996</v>
      </c>
      <c r="F44">
        <v>111.11111099999999</v>
      </c>
      <c r="G44">
        <v>-396.82539700000001</v>
      </c>
      <c r="H44">
        <v>8.5192000000000004E-2</v>
      </c>
    </row>
    <row r="45" spans="1:8" x14ac:dyDescent="0.25">
      <c r="A45">
        <v>0.02</v>
      </c>
      <c r="B45">
        <v>32.737453000000002</v>
      </c>
      <c r="C45">
        <v>1.374288</v>
      </c>
      <c r="D45">
        <v>33.031745999999998</v>
      </c>
      <c r="E45">
        <v>87.619048000000006</v>
      </c>
      <c r="F45">
        <v>103.174603</v>
      </c>
      <c r="G45">
        <v>-396.82539700000001</v>
      </c>
      <c r="H45">
        <v>9.1187000000000004E-2</v>
      </c>
    </row>
    <row r="46" spans="1:8" x14ac:dyDescent="0.25">
      <c r="A46">
        <v>0.02</v>
      </c>
      <c r="B46">
        <v>34.501002</v>
      </c>
      <c r="C46">
        <v>1.54112</v>
      </c>
      <c r="D46">
        <v>34.803175000000003</v>
      </c>
      <c r="E46">
        <v>89.523809999999997</v>
      </c>
      <c r="F46">
        <v>95.238095000000001</v>
      </c>
      <c r="G46">
        <v>-396.82539700000001</v>
      </c>
      <c r="H46">
        <v>9.7479999999999997E-2</v>
      </c>
    </row>
    <row r="47" spans="1:8" x14ac:dyDescent="0.25">
      <c r="A47">
        <v>0.02</v>
      </c>
      <c r="B47">
        <v>36.299771</v>
      </c>
      <c r="C47">
        <v>1.722985</v>
      </c>
      <c r="D47">
        <v>36.611111000000001</v>
      </c>
      <c r="E47">
        <v>91.269841</v>
      </c>
      <c r="F47">
        <v>87.301586999999998</v>
      </c>
      <c r="G47">
        <v>-396.82539700000001</v>
      </c>
      <c r="H47">
        <v>0.104075</v>
      </c>
    </row>
    <row r="48" spans="1:8" x14ac:dyDescent="0.25">
      <c r="A48">
        <v>0.02</v>
      </c>
      <c r="B48">
        <v>38.130403999999999</v>
      </c>
      <c r="C48">
        <v>1.9205589999999999</v>
      </c>
      <c r="D48">
        <v>38.452381000000003</v>
      </c>
      <c r="E48">
        <v>92.857142999999994</v>
      </c>
      <c r="F48">
        <v>79.365078999999994</v>
      </c>
      <c r="G48">
        <v>-396.82539700000001</v>
      </c>
      <c r="H48">
        <v>0.11097700000000001</v>
      </c>
    </row>
    <row r="49" spans="1:8" x14ac:dyDescent="0.25">
      <c r="A49">
        <v>0.02</v>
      </c>
      <c r="B49">
        <v>39.989561000000002</v>
      </c>
      <c r="C49">
        <v>2.1344919999999998</v>
      </c>
      <c r="D49">
        <v>40.323810000000002</v>
      </c>
      <c r="E49">
        <v>94.285713999999999</v>
      </c>
      <c r="F49">
        <v>71.428571000000005</v>
      </c>
      <c r="G49">
        <v>-396.82539700000001</v>
      </c>
      <c r="H49">
        <v>0.118189</v>
      </c>
    </row>
    <row r="50" spans="1:8" x14ac:dyDescent="0.25">
      <c r="A50">
        <v>0.02</v>
      </c>
      <c r="B50">
        <v>41.873876000000003</v>
      </c>
      <c r="C50">
        <v>2.3653970000000002</v>
      </c>
      <c r="D50">
        <v>42.222222000000002</v>
      </c>
      <c r="E50">
        <v>95.555555999999996</v>
      </c>
      <c r="F50">
        <v>63.492063000000002</v>
      </c>
      <c r="G50">
        <v>-396.82539700000001</v>
      </c>
      <c r="H50">
        <v>0.12571299999999999</v>
      </c>
    </row>
    <row r="51" spans="1:8" x14ac:dyDescent="0.25">
      <c r="A51">
        <v>0.02</v>
      </c>
      <c r="B51">
        <v>43.779963000000002</v>
      </c>
      <c r="C51">
        <v>2.613845</v>
      </c>
      <c r="D51">
        <v>44.144444</v>
      </c>
      <c r="E51">
        <v>96.666667000000004</v>
      </c>
      <c r="F51">
        <v>55.555556000000003</v>
      </c>
      <c r="G51">
        <v>-396.82539700000001</v>
      </c>
      <c r="H51">
        <v>0.133552</v>
      </c>
    </row>
    <row r="52" spans="1:8" x14ac:dyDescent="0.25">
      <c r="A52">
        <v>0.02</v>
      </c>
      <c r="B52">
        <v>45.704450999999999</v>
      </c>
      <c r="C52">
        <v>2.8803570000000001</v>
      </c>
      <c r="D52">
        <v>46.087302000000001</v>
      </c>
      <c r="E52">
        <v>97.619048000000006</v>
      </c>
      <c r="F52">
        <v>47.619047999999999</v>
      </c>
      <c r="G52">
        <v>-396.82539700000001</v>
      </c>
      <c r="H52">
        <v>0.141707</v>
      </c>
    </row>
    <row r="53" spans="1:8" x14ac:dyDescent="0.25">
      <c r="A53">
        <v>0.02</v>
      </c>
      <c r="B53">
        <v>47.643925000000003</v>
      </c>
      <c r="C53">
        <v>3.1653980000000002</v>
      </c>
      <c r="D53">
        <v>48.047618999999997</v>
      </c>
      <c r="E53">
        <v>98.412698000000006</v>
      </c>
      <c r="F53">
        <v>39.682540000000003</v>
      </c>
      <c r="G53">
        <v>-396.82539700000001</v>
      </c>
      <c r="H53">
        <v>0.15018100000000001</v>
      </c>
    </row>
    <row r="54" spans="1:8" x14ac:dyDescent="0.25">
      <c r="A54">
        <v>0.02</v>
      </c>
      <c r="B54">
        <v>49.594993000000002</v>
      </c>
      <c r="C54">
        <v>3.4693679999999998</v>
      </c>
      <c r="D54">
        <v>50.022221999999999</v>
      </c>
      <c r="E54">
        <v>99.047618999999997</v>
      </c>
      <c r="F54">
        <v>31.746032</v>
      </c>
      <c r="G54">
        <v>-396.82539700000001</v>
      </c>
      <c r="H54">
        <v>0.158972</v>
      </c>
    </row>
    <row r="55" spans="1:8" x14ac:dyDescent="0.25">
      <c r="A55">
        <v>0.02</v>
      </c>
      <c r="B55">
        <v>51.554212999999997</v>
      </c>
      <c r="C55">
        <v>3.792592</v>
      </c>
      <c r="D55">
        <v>52.007936999999998</v>
      </c>
      <c r="E55">
        <v>99.523809999999997</v>
      </c>
      <c r="F55">
        <v>23.809524</v>
      </c>
      <c r="G55">
        <v>-396.82539700000001</v>
      </c>
      <c r="H55">
        <v>0.16807900000000001</v>
      </c>
    </row>
    <row r="56" spans="1:8" x14ac:dyDescent="0.25">
      <c r="A56">
        <v>0.02</v>
      </c>
      <c r="B56">
        <v>53.518171000000002</v>
      </c>
      <c r="C56">
        <v>4.1353140000000002</v>
      </c>
      <c r="D56">
        <v>54.001587000000001</v>
      </c>
      <c r="E56">
        <v>99.841269999999994</v>
      </c>
      <c r="F56">
        <v>15.873016</v>
      </c>
      <c r="G56">
        <v>-396.82539700000001</v>
      </c>
      <c r="H56">
        <v>0.17750099999999999</v>
      </c>
    </row>
    <row r="57" spans="1:8" x14ac:dyDescent="0.25">
      <c r="A57">
        <v>0.02</v>
      </c>
      <c r="B57">
        <v>55.483440999999999</v>
      </c>
      <c r="C57">
        <v>4.4976909999999997</v>
      </c>
      <c r="D57">
        <v>56</v>
      </c>
      <c r="E57">
        <v>100</v>
      </c>
      <c r="F57">
        <v>7.9365079999999999</v>
      </c>
      <c r="G57">
        <v>-396.82539700000001</v>
      </c>
      <c r="H57">
        <v>0.18723300000000001</v>
      </c>
    </row>
    <row r="58" spans="1:8" x14ac:dyDescent="0.25">
      <c r="A58">
        <v>0.02</v>
      </c>
      <c r="B58">
        <v>57.446593999999997</v>
      </c>
      <c r="C58">
        <v>4.8797800000000002</v>
      </c>
      <c r="D58">
        <v>58</v>
      </c>
      <c r="E58">
        <v>100</v>
      </c>
      <c r="F58">
        <v>0</v>
      </c>
      <c r="G58">
        <v>-396.82539700000001</v>
      </c>
      <c r="H58">
        <v>0.197271</v>
      </c>
    </row>
    <row r="59" spans="1:8" x14ac:dyDescent="0.25">
      <c r="A59">
        <v>0.02</v>
      </c>
      <c r="B59">
        <v>59.405754000000002</v>
      </c>
      <c r="C59">
        <v>5.2818529999999999</v>
      </c>
      <c r="D59">
        <v>60</v>
      </c>
      <c r="E59">
        <v>100</v>
      </c>
      <c r="F59">
        <v>0</v>
      </c>
      <c r="G59">
        <v>0</v>
      </c>
      <c r="H59">
        <v>0.20761499999999999</v>
      </c>
    </row>
    <row r="60" spans="1:8" x14ac:dyDescent="0.25">
      <c r="A60">
        <v>0.02</v>
      </c>
      <c r="B60">
        <v>61.360585</v>
      </c>
      <c r="C60">
        <v>5.7044790000000001</v>
      </c>
      <c r="D60">
        <v>62</v>
      </c>
      <c r="E60">
        <v>100</v>
      </c>
      <c r="F60">
        <v>0</v>
      </c>
      <c r="G60">
        <v>0</v>
      </c>
      <c r="H60">
        <v>0.218276</v>
      </c>
    </row>
    <row r="61" spans="1:8" x14ac:dyDescent="0.25">
      <c r="A61">
        <v>0.02</v>
      </c>
      <c r="B61">
        <v>63.310729000000002</v>
      </c>
      <c r="C61">
        <v>6.1482349999999997</v>
      </c>
      <c r="D61">
        <v>64</v>
      </c>
      <c r="E61">
        <v>100</v>
      </c>
      <c r="F61">
        <v>0</v>
      </c>
      <c r="G61">
        <v>0</v>
      </c>
      <c r="H61">
        <v>0.22926099999999999</v>
      </c>
    </row>
    <row r="62" spans="1:8" x14ac:dyDescent="0.25">
      <c r="A62">
        <v>0.02</v>
      </c>
      <c r="B62">
        <v>65.255801000000005</v>
      </c>
      <c r="C62">
        <v>6.6137119999999996</v>
      </c>
      <c r="D62">
        <v>66</v>
      </c>
      <c r="E62">
        <v>100</v>
      </c>
      <c r="F62">
        <v>0</v>
      </c>
      <c r="G62">
        <v>0</v>
      </c>
      <c r="H62">
        <v>0.24058099999999999</v>
      </c>
    </row>
    <row r="63" spans="1:8" x14ac:dyDescent="0.25">
      <c r="A63">
        <v>0.02</v>
      </c>
      <c r="B63">
        <v>67.195389000000006</v>
      </c>
      <c r="C63">
        <v>7.1015069999999998</v>
      </c>
      <c r="D63">
        <v>68</v>
      </c>
      <c r="E63">
        <v>100</v>
      </c>
      <c r="F63">
        <v>0</v>
      </c>
      <c r="G63">
        <v>0</v>
      </c>
      <c r="H63">
        <v>0.25224600000000003</v>
      </c>
    </row>
    <row r="64" spans="1:8" x14ac:dyDescent="0.25">
      <c r="A64">
        <v>0.02</v>
      </c>
      <c r="B64">
        <v>69.129057000000003</v>
      </c>
      <c r="C64">
        <v>7.6122300000000003</v>
      </c>
      <c r="D64">
        <v>70</v>
      </c>
      <c r="E64">
        <v>100</v>
      </c>
      <c r="F64">
        <v>0</v>
      </c>
      <c r="G64">
        <v>0</v>
      </c>
      <c r="H64">
        <v>0.26426300000000003</v>
      </c>
    </row>
    <row r="65" spans="1:8" x14ac:dyDescent="0.25">
      <c r="A65">
        <v>0.02</v>
      </c>
      <c r="B65">
        <v>71.056369000000004</v>
      </c>
      <c r="C65">
        <v>8.1465049999999994</v>
      </c>
      <c r="D65">
        <v>72</v>
      </c>
      <c r="E65">
        <v>100</v>
      </c>
      <c r="F65">
        <v>0</v>
      </c>
      <c r="G65">
        <v>0</v>
      </c>
      <c r="H65">
        <v>0.27664299999999997</v>
      </c>
    </row>
    <row r="66" spans="1:8" x14ac:dyDescent="0.25">
      <c r="A66">
        <v>0.02</v>
      </c>
      <c r="B66">
        <v>72.976809000000003</v>
      </c>
      <c r="C66">
        <v>8.7049509999999994</v>
      </c>
      <c r="D66">
        <v>74</v>
      </c>
      <c r="E66">
        <v>100</v>
      </c>
      <c r="F66">
        <v>0</v>
      </c>
      <c r="G66">
        <v>0</v>
      </c>
      <c r="H66">
        <v>0.28939399999999998</v>
      </c>
    </row>
    <row r="67" spans="1:8" x14ac:dyDescent="0.25">
      <c r="A67">
        <v>0.02</v>
      </c>
      <c r="B67">
        <v>74.889850999999993</v>
      </c>
      <c r="C67">
        <v>9.2881979999999995</v>
      </c>
      <c r="D67">
        <v>76</v>
      </c>
      <c r="E67">
        <v>100</v>
      </c>
      <c r="F67">
        <v>0</v>
      </c>
      <c r="G67">
        <v>0</v>
      </c>
      <c r="H67">
        <v>0.30252499999999999</v>
      </c>
    </row>
    <row r="68" spans="1:8" x14ac:dyDescent="0.25">
      <c r="A68">
        <v>0.02</v>
      </c>
      <c r="B68">
        <v>76.794967999999997</v>
      </c>
      <c r="C68">
        <v>9.8968880000000006</v>
      </c>
      <c r="D68">
        <v>78</v>
      </c>
      <c r="E68">
        <v>100</v>
      </c>
      <c r="F68">
        <v>0</v>
      </c>
      <c r="G68">
        <v>0</v>
      </c>
      <c r="H68">
        <v>0.31604500000000002</v>
      </c>
    </row>
    <row r="69" spans="1:8" x14ac:dyDescent="0.25">
      <c r="A69">
        <v>0.02</v>
      </c>
      <c r="B69">
        <v>78.691540000000003</v>
      </c>
      <c r="C69">
        <v>10.531648000000001</v>
      </c>
      <c r="D69">
        <v>80</v>
      </c>
      <c r="E69">
        <v>100</v>
      </c>
      <c r="F69">
        <v>0</v>
      </c>
      <c r="G69">
        <v>0</v>
      </c>
      <c r="H69">
        <v>0.329961</v>
      </c>
    </row>
    <row r="70" spans="1:8" x14ac:dyDescent="0.25">
      <c r="A70">
        <v>0.02</v>
      </c>
      <c r="B70">
        <v>80.578971999999993</v>
      </c>
      <c r="C70">
        <v>11.193123</v>
      </c>
      <c r="D70">
        <v>82</v>
      </c>
      <c r="E70">
        <v>100</v>
      </c>
      <c r="F70">
        <v>0</v>
      </c>
      <c r="G70">
        <v>0</v>
      </c>
      <c r="H70">
        <v>0.344281</v>
      </c>
    </row>
    <row r="71" spans="1:8" x14ac:dyDescent="0.25">
      <c r="A71">
        <v>0.02</v>
      </c>
      <c r="B71">
        <v>82.456593999999996</v>
      </c>
      <c r="C71">
        <v>11.881940999999999</v>
      </c>
      <c r="D71">
        <v>84</v>
      </c>
      <c r="E71">
        <v>100</v>
      </c>
      <c r="F71">
        <v>0</v>
      </c>
      <c r="G71">
        <v>0</v>
      </c>
      <c r="H71">
        <v>0.359012</v>
      </c>
    </row>
    <row r="72" spans="1:8" x14ac:dyDescent="0.25">
      <c r="A72">
        <v>0.02</v>
      </c>
      <c r="B72">
        <v>84.323704000000006</v>
      </c>
      <c r="C72">
        <v>12.598727</v>
      </c>
      <c r="D72">
        <v>86</v>
      </c>
      <c r="E72">
        <v>100</v>
      </c>
      <c r="F72">
        <v>0</v>
      </c>
      <c r="G72">
        <v>0</v>
      </c>
      <c r="H72">
        <v>0.37416100000000002</v>
      </c>
    </row>
    <row r="73" spans="1:8" x14ac:dyDescent="0.25">
      <c r="A73">
        <v>0.02</v>
      </c>
      <c r="B73">
        <v>86.179597999999999</v>
      </c>
      <c r="C73">
        <v>13.344109</v>
      </c>
      <c r="D73">
        <v>88</v>
      </c>
      <c r="E73">
        <v>100</v>
      </c>
      <c r="F73">
        <v>0</v>
      </c>
      <c r="G73">
        <v>0</v>
      </c>
      <c r="H73">
        <v>0.38973099999999999</v>
      </c>
    </row>
    <row r="74" spans="1:8" x14ac:dyDescent="0.25">
      <c r="A74">
        <v>0.02</v>
      </c>
      <c r="B74">
        <v>88.023494999999997</v>
      </c>
      <c r="C74">
        <v>14.118688000000001</v>
      </c>
      <c r="D74">
        <v>90</v>
      </c>
      <c r="E74">
        <v>100</v>
      </c>
      <c r="F74">
        <v>0</v>
      </c>
      <c r="G74">
        <v>0</v>
      </c>
      <c r="H74">
        <v>0.40572799999999998</v>
      </c>
    </row>
    <row r="75" spans="1:8" x14ac:dyDescent="0.25">
      <c r="A75">
        <v>0.02</v>
      </c>
      <c r="B75">
        <v>89.854588000000007</v>
      </c>
      <c r="C75">
        <v>14.923054</v>
      </c>
      <c r="D75">
        <v>92</v>
      </c>
      <c r="E75">
        <v>100</v>
      </c>
      <c r="F75">
        <v>0</v>
      </c>
      <c r="G75">
        <v>0</v>
      </c>
      <c r="H75">
        <v>0.422153</v>
      </c>
    </row>
    <row r="76" spans="1:8" x14ac:dyDescent="0.25">
      <c r="A76">
        <v>0.02</v>
      </c>
      <c r="B76">
        <v>91.672040999999993</v>
      </c>
      <c r="C76">
        <v>15.757777000000001</v>
      </c>
      <c r="D76">
        <v>94</v>
      </c>
      <c r="E76">
        <v>100</v>
      </c>
      <c r="F76">
        <v>0</v>
      </c>
      <c r="G76">
        <v>0</v>
      </c>
      <c r="H76">
        <v>0.43901000000000001</v>
      </c>
    </row>
    <row r="77" spans="1:8" x14ac:dyDescent="0.25">
      <c r="A77">
        <v>0.02</v>
      </c>
      <c r="B77">
        <v>93.474979000000005</v>
      </c>
      <c r="C77">
        <v>16.623403</v>
      </c>
      <c r="D77">
        <v>96</v>
      </c>
      <c r="E77">
        <v>100</v>
      </c>
      <c r="F77">
        <v>0</v>
      </c>
      <c r="G77">
        <v>0</v>
      </c>
      <c r="H77">
        <v>0.45629700000000001</v>
      </c>
    </row>
    <row r="78" spans="1:8" x14ac:dyDescent="0.25">
      <c r="A78">
        <v>0.02</v>
      </c>
      <c r="B78">
        <v>95.26249</v>
      </c>
      <c r="C78">
        <v>17.52045</v>
      </c>
      <c r="D78">
        <v>98</v>
      </c>
      <c r="E78">
        <v>100</v>
      </c>
      <c r="F78">
        <v>0</v>
      </c>
      <c r="G78">
        <v>0</v>
      </c>
      <c r="H78">
        <v>0.47401300000000002</v>
      </c>
    </row>
    <row r="79" spans="1:8" x14ac:dyDescent="0.25">
      <c r="A79">
        <v>0.02</v>
      </c>
      <c r="B79">
        <v>97.033631</v>
      </c>
      <c r="C79">
        <v>18.449399</v>
      </c>
      <c r="D79">
        <v>100</v>
      </c>
      <c r="E79">
        <v>100</v>
      </c>
      <c r="F79">
        <v>0</v>
      </c>
      <c r="G79">
        <v>0</v>
      </c>
      <c r="H79">
        <v>0.49215500000000001</v>
      </c>
    </row>
    <row r="80" spans="1:8" x14ac:dyDescent="0.25">
      <c r="A80">
        <v>0.02</v>
      </c>
      <c r="B80">
        <v>98.787425999999996</v>
      </c>
      <c r="C80">
        <v>19.410693999999999</v>
      </c>
      <c r="D80">
        <v>102</v>
      </c>
      <c r="E80">
        <v>100</v>
      </c>
      <c r="F80">
        <v>0</v>
      </c>
      <c r="G80">
        <v>0</v>
      </c>
      <c r="H80">
        <v>0.51071599999999995</v>
      </c>
    </row>
    <row r="81" spans="1:8" x14ac:dyDescent="0.25">
      <c r="A81">
        <v>0.02</v>
      </c>
      <c r="B81">
        <v>100.52287</v>
      </c>
      <c r="C81">
        <v>20.404733</v>
      </c>
      <c r="D81">
        <v>104</v>
      </c>
      <c r="E81">
        <v>100</v>
      </c>
      <c r="F81">
        <v>0</v>
      </c>
      <c r="G81">
        <v>0</v>
      </c>
      <c r="H81">
        <v>0.52968999999999999</v>
      </c>
    </row>
    <row r="82" spans="1:8" x14ac:dyDescent="0.25">
      <c r="A82">
        <v>0.02</v>
      </c>
      <c r="B82">
        <v>102.238933</v>
      </c>
      <c r="C82">
        <v>21.431863</v>
      </c>
      <c r="D82">
        <v>106</v>
      </c>
      <c r="E82">
        <v>100</v>
      </c>
      <c r="F82">
        <v>0</v>
      </c>
      <c r="G82">
        <v>0</v>
      </c>
      <c r="H82">
        <v>0.54906500000000003</v>
      </c>
    </row>
    <row r="83" spans="1:8" x14ac:dyDescent="0.25">
      <c r="A83">
        <v>0.02</v>
      </c>
      <c r="B83">
        <v>103.93456399999999</v>
      </c>
      <c r="C83">
        <v>22.492380000000001</v>
      </c>
      <c r="D83">
        <v>108</v>
      </c>
      <c r="E83">
        <v>100</v>
      </c>
      <c r="F83">
        <v>0</v>
      </c>
      <c r="G83">
        <v>0</v>
      </c>
      <c r="H83">
        <v>0.56883099999999998</v>
      </c>
    </row>
    <row r="84" spans="1:8" x14ac:dyDescent="0.25">
      <c r="A84">
        <v>0.02</v>
      </c>
      <c r="B84">
        <v>105.60869599999999</v>
      </c>
      <c r="C84">
        <v>23.586517000000001</v>
      </c>
      <c r="D84">
        <v>110</v>
      </c>
      <c r="E84">
        <v>100</v>
      </c>
      <c r="F84">
        <v>0</v>
      </c>
      <c r="G84">
        <v>0</v>
      </c>
      <c r="H84">
        <v>0.58896999999999999</v>
      </c>
    </row>
    <row r="85" spans="1:8" x14ac:dyDescent="0.25">
      <c r="A85">
        <v>0.02</v>
      </c>
      <c r="B85">
        <v>107.26025</v>
      </c>
      <c r="C85">
        <v>24.714442999999999</v>
      </c>
      <c r="D85">
        <v>112</v>
      </c>
      <c r="E85">
        <v>100</v>
      </c>
      <c r="F85">
        <v>0</v>
      </c>
      <c r="G85">
        <v>0</v>
      </c>
      <c r="H85">
        <v>0.60946699999999998</v>
      </c>
    </row>
    <row r="86" spans="1:8" x14ac:dyDescent="0.25">
      <c r="A86">
        <v>0.02</v>
      </c>
      <c r="B86">
        <v>108.88814499999999</v>
      </c>
      <c r="C86">
        <v>25.876259999999998</v>
      </c>
      <c r="D86">
        <v>114</v>
      </c>
      <c r="E86">
        <v>100</v>
      </c>
      <c r="F86">
        <v>0</v>
      </c>
      <c r="G86">
        <v>0</v>
      </c>
      <c r="H86">
        <v>0.630301</v>
      </c>
    </row>
    <row r="87" spans="1:8" x14ac:dyDescent="0.25">
      <c r="A87">
        <v>0.02</v>
      </c>
      <c r="B87">
        <v>110.49129000000001</v>
      </c>
      <c r="C87">
        <v>27.071991000000001</v>
      </c>
      <c r="D87">
        <v>116</v>
      </c>
      <c r="E87">
        <v>100</v>
      </c>
      <c r="F87">
        <v>0</v>
      </c>
      <c r="G87">
        <v>0</v>
      </c>
      <c r="H87">
        <v>0.65144899999999994</v>
      </c>
    </row>
    <row r="88" spans="1:8" x14ac:dyDescent="0.25">
      <c r="A88">
        <v>0.02</v>
      </c>
      <c r="B88">
        <v>112.06861000000001</v>
      </c>
      <c r="C88">
        <v>28.301583999999998</v>
      </c>
      <c r="D88">
        <v>118</v>
      </c>
      <c r="E88">
        <v>100</v>
      </c>
      <c r="F88">
        <v>0</v>
      </c>
      <c r="G88">
        <v>0</v>
      </c>
      <c r="H88">
        <v>0.67288499999999996</v>
      </c>
    </row>
    <row r="89" spans="1:8" x14ac:dyDescent="0.25">
      <c r="A89">
        <v>0.02</v>
      </c>
      <c r="B89">
        <v>113.619043</v>
      </c>
      <c r="C89">
        <v>29.564910000000001</v>
      </c>
      <c r="D89">
        <v>120</v>
      </c>
      <c r="E89">
        <v>100</v>
      </c>
      <c r="F89">
        <v>0</v>
      </c>
      <c r="G89">
        <v>0</v>
      </c>
      <c r="H89">
        <v>0.69458200000000003</v>
      </c>
    </row>
    <row r="90" spans="1:8" x14ac:dyDescent="0.25">
      <c r="A90">
        <v>0.02</v>
      </c>
      <c r="B90">
        <v>115.14155</v>
      </c>
      <c r="C90">
        <v>30.861756</v>
      </c>
      <c r="D90">
        <v>122</v>
      </c>
      <c r="E90">
        <v>100</v>
      </c>
      <c r="F90">
        <v>0</v>
      </c>
      <c r="G90">
        <v>0</v>
      </c>
      <c r="H90">
        <v>0.71651100000000001</v>
      </c>
    </row>
    <row r="91" spans="1:8" x14ac:dyDescent="0.25">
      <c r="A91">
        <v>0.02</v>
      </c>
      <c r="B91">
        <v>116.63511800000001</v>
      </c>
      <c r="C91">
        <v>32.191825000000001</v>
      </c>
      <c r="D91">
        <v>124</v>
      </c>
      <c r="E91">
        <v>100</v>
      </c>
      <c r="F91">
        <v>0</v>
      </c>
      <c r="G91">
        <v>0</v>
      </c>
      <c r="H91">
        <v>0.73863699999999999</v>
      </c>
    </row>
    <row r="92" spans="1:8" x14ac:dyDescent="0.25">
      <c r="A92">
        <v>0.02</v>
      </c>
      <c r="B92">
        <v>118.098776</v>
      </c>
      <c r="C92">
        <v>33.554738</v>
      </c>
      <c r="D92">
        <v>126</v>
      </c>
      <c r="E92">
        <v>100</v>
      </c>
      <c r="F92">
        <v>0</v>
      </c>
      <c r="G92">
        <v>0</v>
      </c>
      <c r="H92">
        <v>0.76092899999999997</v>
      </c>
    </row>
    <row r="93" spans="1:8" x14ac:dyDescent="0.25">
      <c r="A93">
        <v>0.02</v>
      </c>
      <c r="B93">
        <v>119.531598</v>
      </c>
      <c r="C93">
        <v>34.950035</v>
      </c>
      <c r="D93">
        <v>128</v>
      </c>
      <c r="E93">
        <v>100</v>
      </c>
      <c r="F93">
        <v>0</v>
      </c>
      <c r="G93">
        <v>0</v>
      </c>
      <c r="H93">
        <v>0.78334999999999999</v>
      </c>
    </row>
    <row r="94" spans="1:8" x14ac:dyDescent="0.25">
      <c r="A94">
        <v>0.02</v>
      </c>
      <c r="B94">
        <v>120.93270800000001</v>
      </c>
      <c r="C94">
        <v>36.377172000000002</v>
      </c>
      <c r="D94">
        <v>130</v>
      </c>
      <c r="E94">
        <v>100</v>
      </c>
      <c r="F94">
        <v>0</v>
      </c>
      <c r="G94">
        <v>0</v>
      </c>
      <c r="H94">
        <v>0.80586400000000002</v>
      </c>
    </row>
    <row r="95" spans="1:8" x14ac:dyDescent="0.25">
      <c r="A95">
        <v>0.02</v>
      </c>
      <c r="B95">
        <v>122.301288</v>
      </c>
      <c r="C95">
        <v>37.835527999999996</v>
      </c>
      <c r="D95">
        <v>132</v>
      </c>
      <c r="E95">
        <v>100</v>
      </c>
      <c r="F95">
        <v>0</v>
      </c>
      <c r="G95">
        <v>0</v>
      </c>
      <c r="H95">
        <v>0.82843199999999995</v>
      </c>
    </row>
    <row r="96" spans="1:8" x14ac:dyDescent="0.25">
      <c r="A96">
        <v>0.02</v>
      </c>
      <c r="B96">
        <v>123.63659199999999</v>
      </c>
      <c r="C96">
        <v>39.324412000000002</v>
      </c>
      <c r="D96">
        <v>134</v>
      </c>
      <c r="E96">
        <v>100</v>
      </c>
      <c r="F96">
        <v>0</v>
      </c>
      <c r="G96">
        <v>0</v>
      </c>
      <c r="H96">
        <v>0.85101700000000002</v>
      </c>
    </row>
    <row r="97" spans="1:8" x14ac:dyDescent="0.25">
      <c r="A97">
        <v>0.02</v>
      </c>
      <c r="B97">
        <v>124.937944</v>
      </c>
      <c r="C97">
        <v>40.843063999999998</v>
      </c>
      <c r="D97">
        <v>136</v>
      </c>
      <c r="E97">
        <v>100</v>
      </c>
      <c r="F97">
        <v>0</v>
      </c>
      <c r="G97">
        <v>0</v>
      </c>
      <c r="H97">
        <v>0.87358100000000005</v>
      </c>
    </row>
    <row r="98" spans="1:8" x14ac:dyDescent="0.25">
      <c r="A98">
        <v>0.02</v>
      </c>
      <c r="B98">
        <v>126.204742</v>
      </c>
      <c r="C98">
        <v>42.390656999999997</v>
      </c>
      <c r="D98">
        <v>138</v>
      </c>
      <c r="E98">
        <v>100</v>
      </c>
      <c r="F98">
        <v>0</v>
      </c>
      <c r="G98">
        <v>0</v>
      </c>
      <c r="H98">
        <v>0.89608600000000005</v>
      </c>
    </row>
    <row r="99" spans="1:8" x14ac:dyDescent="0.25">
      <c r="A99">
        <v>0.02</v>
      </c>
      <c r="B99">
        <v>127.436465</v>
      </c>
      <c r="C99">
        <v>43.96631</v>
      </c>
      <c r="D99">
        <v>140</v>
      </c>
      <c r="E99">
        <v>100</v>
      </c>
      <c r="F99">
        <v>0</v>
      </c>
      <c r="G99">
        <v>0</v>
      </c>
      <c r="H99">
        <v>0.91849499999999995</v>
      </c>
    </row>
    <row r="100" spans="1:8" x14ac:dyDescent="0.25">
      <c r="A100">
        <v>0.02</v>
      </c>
      <c r="B100">
        <v>128.63267400000001</v>
      </c>
      <c r="C100">
        <v>45.569091999999998</v>
      </c>
      <c r="D100">
        <v>142</v>
      </c>
      <c r="E100">
        <v>100</v>
      </c>
      <c r="F100">
        <v>0</v>
      </c>
      <c r="G100">
        <v>0</v>
      </c>
      <c r="H100">
        <v>0.94077200000000005</v>
      </c>
    </row>
    <row r="101" spans="1:8" x14ac:dyDescent="0.25">
      <c r="A101">
        <v>0.02</v>
      </c>
      <c r="B101">
        <v>129.79301699999999</v>
      </c>
      <c r="C101">
        <v>47.198028000000001</v>
      </c>
      <c r="D101">
        <v>144</v>
      </c>
      <c r="E101">
        <v>100</v>
      </c>
      <c r="F101">
        <v>0</v>
      </c>
      <c r="G101">
        <v>0</v>
      </c>
      <c r="H101">
        <v>0.96288200000000002</v>
      </c>
    </row>
    <row r="102" spans="1:8" x14ac:dyDescent="0.25">
      <c r="A102">
        <v>0.02</v>
      </c>
      <c r="B102">
        <v>130.917226</v>
      </c>
      <c r="C102">
        <v>48.852113000000003</v>
      </c>
      <c r="D102">
        <v>146</v>
      </c>
      <c r="E102">
        <v>100</v>
      </c>
      <c r="F102">
        <v>0</v>
      </c>
      <c r="G102">
        <v>0</v>
      </c>
      <c r="H102">
        <v>0.984792</v>
      </c>
    </row>
    <row r="103" spans="1:8" x14ac:dyDescent="0.25">
      <c r="A103">
        <v>0.02</v>
      </c>
      <c r="B103">
        <v>132.005122</v>
      </c>
      <c r="C103">
        <v>50.530315999999999</v>
      </c>
      <c r="D103">
        <v>148</v>
      </c>
      <c r="E103">
        <v>100</v>
      </c>
      <c r="F103">
        <v>0</v>
      </c>
      <c r="G103">
        <v>0</v>
      </c>
      <c r="H103">
        <v>1.0064709999999999</v>
      </c>
    </row>
    <row r="104" spans="1:8" x14ac:dyDescent="0.25">
      <c r="A104">
        <v>0.02</v>
      </c>
      <c r="B104">
        <v>133.056589</v>
      </c>
      <c r="C104">
        <v>52.231555</v>
      </c>
      <c r="D104">
        <v>150</v>
      </c>
      <c r="E104">
        <v>100</v>
      </c>
      <c r="F104">
        <v>0</v>
      </c>
      <c r="G104">
        <v>0</v>
      </c>
      <c r="H104">
        <v>1.0278910000000001</v>
      </c>
    </row>
    <row r="105" spans="1:8" x14ac:dyDescent="0.25">
      <c r="A105">
        <v>0.02</v>
      </c>
      <c r="B105">
        <v>134.07162299999999</v>
      </c>
      <c r="C105">
        <v>53.954787000000003</v>
      </c>
      <c r="D105">
        <v>152</v>
      </c>
      <c r="E105">
        <v>100</v>
      </c>
      <c r="F105">
        <v>0</v>
      </c>
      <c r="G105">
        <v>0</v>
      </c>
      <c r="H105">
        <v>1.0490250000000001</v>
      </c>
    </row>
    <row r="106" spans="1:8" x14ac:dyDescent="0.25">
      <c r="A106">
        <v>0.02</v>
      </c>
      <c r="B106">
        <v>135.05029300000001</v>
      </c>
      <c r="C106">
        <v>55.698956000000003</v>
      </c>
      <c r="D106">
        <v>154</v>
      </c>
      <c r="E106">
        <v>100</v>
      </c>
      <c r="F106">
        <v>0</v>
      </c>
      <c r="G106">
        <v>0</v>
      </c>
      <c r="H106">
        <v>1.069849</v>
      </c>
    </row>
    <row r="107" spans="1:8" x14ac:dyDescent="0.25">
      <c r="A107">
        <v>0.02</v>
      </c>
      <c r="B107">
        <v>135.992705</v>
      </c>
      <c r="C107">
        <v>57.462938999999999</v>
      </c>
      <c r="D107">
        <v>156</v>
      </c>
      <c r="E107">
        <v>100</v>
      </c>
      <c r="F107">
        <v>0</v>
      </c>
      <c r="G107">
        <v>0</v>
      </c>
      <c r="H107">
        <v>1.0903419999999999</v>
      </c>
    </row>
    <row r="108" spans="1:8" x14ac:dyDescent="0.25">
      <c r="A108">
        <v>0.02</v>
      </c>
      <c r="B108">
        <v>136.89909599999999</v>
      </c>
      <c r="C108">
        <v>59.245735000000003</v>
      </c>
      <c r="D108">
        <v>158</v>
      </c>
      <c r="E108">
        <v>100</v>
      </c>
      <c r="F108">
        <v>0</v>
      </c>
      <c r="G108">
        <v>0</v>
      </c>
      <c r="H108">
        <v>1.1104849999999999</v>
      </c>
    </row>
    <row r="109" spans="1:8" x14ac:dyDescent="0.25">
      <c r="A109">
        <v>0.02</v>
      </c>
      <c r="B109">
        <v>137.76971499999999</v>
      </c>
      <c r="C109">
        <v>61.046253999999998</v>
      </c>
      <c r="D109">
        <v>160</v>
      </c>
      <c r="E109">
        <v>100</v>
      </c>
      <c r="F109">
        <v>0</v>
      </c>
      <c r="G109">
        <v>0</v>
      </c>
      <c r="H109">
        <v>1.130263</v>
      </c>
    </row>
    <row r="110" spans="1:8" x14ac:dyDescent="0.25">
      <c r="A110">
        <v>0.02</v>
      </c>
      <c r="B110">
        <v>138.60489699999999</v>
      </c>
      <c r="C110">
        <v>62.863477000000003</v>
      </c>
      <c r="D110">
        <v>162</v>
      </c>
      <c r="E110">
        <v>100</v>
      </c>
      <c r="F110">
        <v>0</v>
      </c>
      <c r="G110">
        <v>0</v>
      </c>
      <c r="H110">
        <v>1.1496599999999999</v>
      </c>
    </row>
    <row r="111" spans="1:8" x14ac:dyDescent="0.25">
      <c r="A111">
        <v>0.02</v>
      </c>
      <c r="B111">
        <v>139.405036</v>
      </c>
      <c r="C111">
        <v>64.696411999999995</v>
      </c>
      <c r="D111">
        <v>164</v>
      </c>
      <c r="E111">
        <v>100</v>
      </c>
      <c r="F111">
        <v>0</v>
      </c>
      <c r="G111">
        <v>0</v>
      </c>
      <c r="H111">
        <v>1.168668</v>
      </c>
    </row>
    <row r="112" spans="1:8" x14ac:dyDescent="0.25">
      <c r="A112">
        <v>0.02</v>
      </c>
      <c r="B112">
        <v>140.17056299999999</v>
      </c>
      <c r="C112">
        <v>66.544073999999995</v>
      </c>
      <c r="D112">
        <v>166</v>
      </c>
      <c r="E112">
        <v>100</v>
      </c>
      <c r="F112">
        <v>0</v>
      </c>
      <c r="G112">
        <v>0</v>
      </c>
      <c r="H112">
        <v>1.1872750000000001</v>
      </c>
    </row>
    <row r="113" spans="1:8" x14ac:dyDescent="0.25">
      <c r="A113">
        <v>0.02</v>
      </c>
      <c r="B113">
        <v>140.90195399999999</v>
      </c>
      <c r="C113">
        <v>68.405511000000004</v>
      </c>
      <c r="D113">
        <v>168</v>
      </c>
      <c r="E113">
        <v>100</v>
      </c>
      <c r="F113">
        <v>0</v>
      </c>
      <c r="G113">
        <v>0</v>
      </c>
      <c r="H113">
        <v>1.2054769999999999</v>
      </c>
    </row>
    <row r="114" spans="1:8" x14ac:dyDescent="0.25">
      <c r="A114">
        <v>0.02</v>
      </c>
      <c r="B114">
        <v>141.59963200000001</v>
      </c>
      <c r="C114">
        <v>70.279537000000005</v>
      </c>
      <c r="D114">
        <v>169.99971300000001</v>
      </c>
      <c r="E114">
        <v>99.971315000000004</v>
      </c>
      <c r="F114">
        <v>-1.434239</v>
      </c>
      <c r="G114">
        <v>-71.711956999999998</v>
      </c>
      <c r="H114">
        <v>1.223265</v>
      </c>
    </row>
    <row r="115" spans="1:8" x14ac:dyDescent="0.25">
      <c r="A115">
        <v>0.02</v>
      </c>
      <c r="B115">
        <v>142.26355599999999</v>
      </c>
      <c r="C115">
        <v>72.163501999999994</v>
      </c>
      <c r="D115">
        <v>171.997265</v>
      </c>
      <c r="E115">
        <v>99.783900000000003</v>
      </c>
      <c r="F115">
        <v>-9.3707469999999997</v>
      </c>
      <c r="G115">
        <v>-396.82539700000001</v>
      </c>
      <c r="H115">
        <v>1.2406219999999999</v>
      </c>
    </row>
    <row r="116" spans="1:8" x14ac:dyDescent="0.25">
      <c r="A116">
        <v>0.02</v>
      </c>
      <c r="B116">
        <v>142.893438</v>
      </c>
      <c r="C116">
        <v>74.053528</v>
      </c>
      <c r="D116">
        <v>173.98948200000001</v>
      </c>
      <c r="E116">
        <v>99.437754999999996</v>
      </c>
      <c r="F116">
        <v>-17.307255000000001</v>
      </c>
      <c r="G116">
        <v>-396.82539700000001</v>
      </c>
      <c r="H116">
        <v>1.2575210000000001</v>
      </c>
    </row>
    <row r="117" spans="1:8" x14ac:dyDescent="0.25">
      <c r="A117">
        <v>0.02</v>
      </c>
      <c r="B117">
        <v>143.48917399999999</v>
      </c>
      <c r="C117">
        <v>75.945605</v>
      </c>
      <c r="D117">
        <v>175.97318799999999</v>
      </c>
      <c r="E117">
        <v>98.932879999999997</v>
      </c>
      <c r="F117">
        <v>-25.243763000000001</v>
      </c>
      <c r="G117">
        <v>-396.82539700000001</v>
      </c>
      <c r="H117">
        <v>1.2739400000000001</v>
      </c>
    </row>
    <row r="118" spans="1:8" x14ac:dyDescent="0.25">
      <c r="A118">
        <v>0.02</v>
      </c>
      <c r="B118">
        <v>144.050929</v>
      </c>
      <c r="C118">
        <v>77.835931000000002</v>
      </c>
      <c r="D118">
        <v>177.94521</v>
      </c>
      <c r="E118">
        <v>98.269273999999996</v>
      </c>
      <c r="F118">
        <v>-33.180270999999998</v>
      </c>
      <c r="G118">
        <v>-396.82539700000001</v>
      </c>
      <c r="H118">
        <v>1.2898620000000001</v>
      </c>
    </row>
    <row r="119" spans="1:8" x14ac:dyDescent="0.25">
      <c r="A119">
        <v>0.02</v>
      </c>
      <c r="B119">
        <v>144.578982</v>
      </c>
      <c r="C119">
        <v>79.720470000000006</v>
      </c>
      <c r="D119">
        <v>179.90237200000001</v>
      </c>
      <c r="E119">
        <v>97.446939</v>
      </c>
      <c r="F119">
        <v>-41.116779000000001</v>
      </c>
      <c r="G119">
        <v>-396.82539700000001</v>
      </c>
      <c r="H119">
        <v>1.305272</v>
      </c>
    </row>
    <row r="120" spans="1:8" x14ac:dyDescent="0.25">
      <c r="A120">
        <v>0.02</v>
      </c>
      <c r="B120">
        <v>145.07383100000001</v>
      </c>
      <c r="C120">
        <v>81.595366999999996</v>
      </c>
      <c r="D120">
        <v>181.8415</v>
      </c>
      <c r="E120">
        <v>96.465873000000002</v>
      </c>
      <c r="F120">
        <v>-49.053286999999997</v>
      </c>
      <c r="G120">
        <v>-396.82539700000001</v>
      </c>
      <c r="H120">
        <v>1.3201590000000001</v>
      </c>
    </row>
    <row r="121" spans="1:8" x14ac:dyDescent="0.25">
      <c r="A121">
        <v>0.02</v>
      </c>
      <c r="B121">
        <v>145.53610900000001</v>
      </c>
      <c r="C121">
        <v>83.456728999999996</v>
      </c>
      <c r="D121">
        <v>183.75942000000001</v>
      </c>
      <c r="E121">
        <v>95.326076999999998</v>
      </c>
      <c r="F121">
        <v>-56.989795000000001</v>
      </c>
      <c r="G121">
        <v>-396.82539700000001</v>
      </c>
      <c r="H121">
        <v>1.3345149999999999</v>
      </c>
    </row>
    <row r="122" spans="1:8" x14ac:dyDescent="0.25">
      <c r="A122">
        <v>0.02</v>
      </c>
      <c r="B122">
        <v>145.96658300000001</v>
      </c>
      <c r="C122">
        <v>85.300692999999995</v>
      </c>
      <c r="D122">
        <v>185.65295599999999</v>
      </c>
      <c r="E122">
        <v>94.027551000000003</v>
      </c>
      <c r="F122">
        <v>-64.926303000000004</v>
      </c>
      <c r="G122">
        <v>-396.82539700000001</v>
      </c>
      <c r="H122">
        <v>1.3483339999999999</v>
      </c>
    </row>
    <row r="123" spans="1:8" x14ac:dyDescent="0.25">
      <c r="A123">
        <v>0.02</v>
      </c>
      <c r="B123">
        <v>146.36612099999999</v>
      </c>
      <c r="C123">
        <v>87.123343000000006</v>
      </c>
      <c r="D123">
        <v>187.518934</v>
      </c>
      <c r="E123">
        <v>92.570295000000002</v>
      </c>
      <c r="F123">
        <v>-72.862810999999994</v>
      </c>
      <c r="G123">
        <v>-396.82539700000001</v>
      </c>
      <c r="H123">
        <v>1.3616140000000001</v>
      </c>
    </row>
    <row r="124" spans="1:8" x14ac:dyDescent="0.25">
      <c r="A124">
        <v>0.02</v>
      </c>
      <c r="B124">
        <v>146.735739</v>
      </c>
      <c r="C124">
        <v>88.920991999999998</v>
      </c>
      <c r="D124">
        <v>189.35418000000001</v>
      </c>
      <c r="E124">
        <v>90.954308999999995</v>
      </c>
      <c r="F124">
        <v>-80.799318999999997</v>
      </c>
      <c r="G124">
        <v>-396.82539700000001</v>
      </c>
      <c r="H124">
        <v>1.374355</v>
      </c>
    </row>
    <row r="125" spans="1:8" x14ac:dyDescent="0.25">
      <c r="A125">
        <v>0.02</v>
      </c>
      <c r="B125">
        <v>147.07649900000001</v>
      </c>
      <c r="C125">
        <v>90.689814999999996</v>
      </c>
      <c r="D125">
        <v>191.155519</v>
      </c>
      <c r="E125">
        <v>89.179592</v>
      </c>
      <c r="F125">
        <v>-88.735826000000003</v>
      </c>
      <c r="G125">
        <v>-396.82539700000001</v>
      </c>
      <c r="H125">
        <v>1.386555</v>
      </c>
    </row>
    <row r="126" spans="1:8" x14ac:dyDescent="0.25">
      <c r="A126">
        <v>0.02</v>
      </c>
      <c r="B126">
        <v>147.38954799999999</v>
      </c>
      <c r="C126">
        <v>92.426053999999993</v>
      </c>
      <c r="D126">
        <v>192.91977700000001</v>
      </c>
      <c r="E126">
        <v>87.246144999999999</v>
      </c>
      <c r="F126">
        <v>-96.672334000000006</v>
      </c>
      <c r="G126">
        <v>-396.82539700000001</v>
      </c>
      <c r="H126">
        <v>1.3982190000000001</v>
      </c>
    </row>
    <row r="127" spans="1:8" x14ac:dyDescent="0.25">
      <c r="A127">
        <v>0.02</v>
      </c>
      <c r="B127">
        <v>147.676098</v>
      </c>
      <c r="C127">
        <v>94.126033000000007</v>
      </c>
      <c r="D127">
        <v>194.643778</v>
      </c>
      <c r="E127">
        <v>85.153969000000004</v>
      </c>
      <c r="F127">
        <v>-104.608842</v>
      </c>
      <c r="G127">
        <v>-396.82539700000001</v>
      </c>
      <c r="H127">
        <v>1.409348</v>
      </c>
    </row>
    <row r="128" spans="1:8" x14ac:dyDescent="0.25">
      <c r="A128">
        <v>0.02</v>
      </c>
      <c r="B128">
        <v>147.937421</v>
      </c>
      <c r="C128">
        <v>95.786180000000002</v>
      </c>
      <c r="D128">
        <v>196.32434799999999</v>
      </c>
      <c r="E128">
        <v>82.903062000000006</v>
      </c>
      <c r="F128">
        <v>-112.54535</v>
      </c>
      <c r="G128">
        <v>-396.82539700000001</v>
      </c>
      <c r="H128">
        <v>1.419948</v>
      </c>
    </row>
    <row r="129" spans="1:8" x14ac:dyDescent="0.25">
      <c r="A129">
        <v>0.02</v>
      </c>
      <c r="B129">
        <v>148.17483300000001</v>
      </c>
      <c r="C129">
        <v>97.403060999999994</v>
      </c>
      <c r="D129">
        <v>197.95859999999999</v>
      </c>
      <c r="E129">
        <v>80.522109</v>
      </c>
      <c r="F129">
        <v>-119.047619</v>
      </c>
      <c r="G129">
        <v>-325.11344000000003</v>
      </c>
      <c r="H129">
        <v>1.430024</v>
      </c>
    </row>
    <row r="130" spans="1:8" x14ac:dyDescent="0.25">
      <c r="A130">
        <v>0.02</v>
      </c>
      <c r="B130">
        <v>148.389903</v>
      </c>
      <c r="C130">
        <v>98.975042999999999</v>
      </c>
      <c r="D130">
        <v>199.545232</v>
      </c>
      <c r="E130">
        <v>78.141157000000007</v>
      </c>
      <c r="F130">
        <v>-119.047619</v>
      </c>
      <c r="G130">
        <v>0</v>
      </c>
      <c r="H130">
        <v>1.439594</v>
      </c>
    </row>
    <row r="131" spans="1:8" x14ac:dyDescent="0.25">
      <c r="A131">
        <v>0.02</v>
      </c>
      <c r="B131">
        <v>148.58429100000001</v>
      </c>
      <c r="C131">
        <v>100.50175</v>
      </c>
      <c r="D131">
        <v>201.08424600000001</v>
      </c>
      <c r="E131">
        <v>75.760204000000002</v>
      </c>
      <c r="F131">
        <v>-119.047619</v>
      </c>
      <c r="G131">
        <v>0</v>
      </c>
      <c r="H131">
        <v>1.44868</v>
      </c>
    </row>
    <row r="132" spans="1:8" x14ac:dyDescent="0.25">
      <c r="A132">
        <v>0.02</v>
      </c>
      <c r="B132">
        <v>148.75955099999999</v>
      </c>
      <c r="C132">
        <v>101.98277899999999</v>
      </c>
      <c r="D132">
        <v>202.57564099999999</v>
      </c>
      <c r="E132">
        <v>73.379251999999994</v>
      </c>
      <c r="F132">
        <v>-119.047619</v>
      </c>
      <c r="G132">
        <v>0</v>
      </c>
      <c r="H132">
        <v>1.4573050000000001</v>
      </c>
    </row>
    <row r="133" spans="1:8" x14ac:dyDescent="0.25">
      <c r="A133">
        <v>0.02</v>
      </c>
      <c r="B133">
        <v>148.91717</v>
      </c>
      <c r="C133">
        <v>103.417962</v>
      </c>
      <c r="D133">
        <v>204.01941600000001</v>
      </c>
      <c r="E133">
        <v>70.9983</v>
      </c>
      <c r="F133">
        <v>-119.047619</v>
      </c>
      <c r="G133">
        <v>0</v>
      </c>
      <c r="H133">
        <v>1.4654879999999999</v>
      </c>
    </row>
    <row r="134" spans="1:8" x14ac:dyDescent="0.25">
      <c r="A134">
        <v>0.02</v>
      </c>
      <c r="B134">
        <v>149.058516</v>
      </c>
      <c r="C134">
        <v>104.806929</v>
      </c>
      <c r="D134">
        <v>205.41557299999999</v>
      </c>
      <c r="E134">
        <v>68.617346999999995</v>
      </c>
      <c r="F134">
        <v>-119.047619</v>
      </c>
      <c r="G134">
        <v>0</v>
      </c>
      <c r="H134">
        <v>1.4732499999999999</v>
      </c>
    </row>
    <row r="135" spans="1:8" x14ac:dyDescent="0.25">
      <c r="A135">
        <v>0.02</v>
      </c>
      <c r="B135">
        <v>149.184899</v>
      </c>
      <c r="C135">
        <v>106.149542</v>
      </c>
      <c r="D135">
        <v>206.76410999999999</v>
      </c>
      <c r="E135">
        <v>66.236395000000002</v>
      </c>
      <c r="F135">
        <v>-119.047619</v>
      </c>
      <c r="G135">
        <v>0</v>
      </c>
      <c r="H135">
        <v>1.4806090000000001</v>
      </c>
    </row>
    <row r="136" spans="1:8" x14ac:dyDescent="0.25">
      <c r="A136">
        <v>0.02</v>
      </c>
      <c r="B136">
        <v>149.29753199999999</v>
      </c>
      <c r="C136">
        <v>107.44552899999999</v>
      </c>
      <c r="D136">
        <v>208.06502800000001</v>
      </c>
      <c r="E136">
        <v>63.855443000000001</v>
      </c>
      <c r="F136">
        <v>-119.047619</v>
      </c>
      <c r="G136">
        <v>0</v>
      </c>
      <c r="H136">
        <v>1.487581</v>
      </c>
    </row>
    <row r="137" spans="1:8" x14ac:dyDescent="0.25">
      <c r="A137">
        <v>0.02</v>
      </c>
      <c r="B137">
        <v>149.397571</v>
      </c>
      <c r="C137">
        <v>108.69484199999999</v>
      </c>
      <c r="D137">
        <v>209.31832800000001</v>
      </c>
      <c r="E137">
        <v>61.474490000000003</v>
      </c>
      <c r="F137">
        <v>-119.047619</v>
      </c>
      <c r="G137">
        <v>0</v>
      </c>
      <c r="H137">
        <v>1.494183</v>
      </c>
    </row>
    <row r="138" spans="1:8" x14ac:dyDescent="0.25">
      <c r="A138">
        <v>0.02</v>
      </c>
      <c r="B138">
        <v>149.486085</v>
      </c>
      <c r="C138">
        <v>109.897244</v>
      </c>
      <c r="D138">
        <v>210.52400800000001</v>
      </c>
      <c r="E138">
        <v>59.093538000000002</v>
      </c>
      <c r="F138">
        <v>-119.047619</v>
      </c>
      <c r="G138">
        <v>0</v>
      </c>
      <c r="H138">
        <v>1.500429</v>
      </c>
    </row>
    <row r="139" spans="1:8" x14ac:dyDescent="0.25">
      <c r="A139">
        <v>0.02</v>
      </c>
      <c r="B139">
        <v>149.564087</v>
      </c>
      <c r="C139">
        <v>111.052673</v>
      </c>
      <c r="D139">
        <v>211.68206900000001</v>
      </c>
      <c r="E139">
        <v>56.712584999999997</v>
      </c>
      <c r="F139">
        <v>-119.047619</v>
      </c>
      <c r="G139">
        <v>0</v>
      </c>
      <c r="H139">
        <v>1.5063340000000001</v>
      </c>
    </row>
    <row r="140" spans="1:8" x14ac:dyDescent="0.25">
      <c r="A140">
        <v>0.02</v>
      </c>
      <c r="B140">
        <v>149.632521</v>
      </c>
      <c r="C140">
        <v>112.161002</v>
      </c>
      <c r="D140">
        <v>212.79251099999999</v>
      </c>
      <c r="E140">
        <v>54.331632999999997</v>
      </c>
      <c r="F140">
        <v>-119.047619</v>
      </c>
      <c r="G140">
        <v>0</v>
      </c>
      <c r="H140">
        <v>1.511911</v>
      </c>
    </row>
    <row r="141" spans="1:8" x14ac:dyDescent="0.25">
      <c r="A141">
        <v>0.02</v>
      </c>
      <c r="B141">
        <v>149.692273</v>
      </c>
      <c r="C141">
        <v>113.222165</v>
      </c>
      <c r="D141">
        <v>213.855335</v>
      </c>
      <c r="E141">
        <v>51.950681000000003</v>
      </c>
      <c r="F141">
        <v>-119.047619</v>
      </c>
      <c r="G141">
        <v>0</v>
      </c>
      <c r="H141">
        <v>1.517171</v>
      </c>
    </row>
    <row r="142" spans="1:8" x14ac:dyDescent="0.25">
      <c r="A142">
        <v>0.02</v>
      </c>
      <c r="B142">
        <v>149.744169</v>
      </c>
      <c r="C142">
        <v>114.236026</v>
      </c>
      <c r="D142">
        <v>214.87053900000001</v>
      </c>
      <c r="E142">
        <v>49.569727999999998</v>
      </c>
      <c r="F142">
        <v>-119.047619</v>
      </c>
      <c r="G142">
        <v>0</v>
      </c>
      <c r="H142">
        <v>1.5221260000000001</v>
      </c>
    </row>
    <row r="143" spans="1:8" x14ac:dyDescent="0.25">
      <c r="A143">
        <v>0.02</v>
      </c>
      <c r="B143">
        <v>149.78898699999999</v>
      </c>
      <c r="C143">
        <v>115.202607</v>
      </c>
      <c r="D143">
        <v>215.83812399999999</v>
      </c>
      <c r="E143">
        <v>47.188775999999997</v>
      </c>
      <c r="F143">
        <v>-119.047619</v>
      </c>
      <c r="G143">
        <v>0</v>
      </c>
      <c r="H143">
        <v>1.526788</v>
      </c>
    </row>
    <row r="144" spans="1:8" x14ac:dyDescent="0.25">
      <c r="A144">
        <v>0.02</v>
      </c>
      <c r="B144">
        <v>149.82744400000001</v>
      </c>
      <c r="C144">
        <v>116.121741</v>
      </c>
      <c r="D144">
        <v>216.75809000000001</v>
      </c>
      <c r="E144">
        <v>44.807822999999999</v>
      </c>
      <c r="F144">
        <v>-119.047619</v>
      </c>
      <c r="G144">
        <v>0</v>
      </c>
      <c r="H144">
        <v>1.531164</v>
      </c>
    </row>
    <row r="145" spans="1:8" x14ac:dyDescent="0.25">
      <c r="A145">
        <v>0.02</v>
      </c>
      <c r="B145">
        <v>149.860218</v>
      </c>
      <c r="C145">
        <v>116.993472</v>
      </c>
      <c r="D145">
        <v>217.630437</v>
      </c>
      <c r="E145">
        <v>42.426870999999998</v>
      </c>
      <c r="F145">
        <v>-119.047619</v>
      </c>
      <c r="G145">
        <v>0</v>
      </c>
      <c r="H145">
        <v>1.535264</v>
      </c>
    </row>
    <row r="146" spans="1:8" x14ac:dyDescent="0.25">
      <c r="A146">
        <v>0.02</v>
      </c>
      <c r="B146">
        <v>149.887934</v>
      </c>
      <c r="C146">
        <v>117.817767</v>
      </c>
      <c r="D146">
        <v>218.45516499999999</v>
      </c>
      <c r="E146">
        <v>40.045918999999998</v>
      </c>
      <c r="F146">
        <v>-119.047619</v>
      </c>
      <c r="G146">
        <v>0</v>
      </c>
      <c r="H146">
        <v>1.5390980000000001</v>
      </c>
    </row>
    <row r="147" spans="1:8" x14ac:dyDescent="0.25">
      <c r="A147">
        <v>0.02</v>
      </c>
      <c r="B147">
        <v>149.911171</v>
      </c>
      <c r="C147">
        <v>118.59447900000001</v>
      </c>
      <c r="D147">
        <v>219.23227299999999</v>
      </c>
      <c r="E147">
        <v>37.664966</v>
      </c>
      <c r="F147">
        <v>-119.047619</v>
      </c>
      <c r="G147">
        <v>0</v>
      </c>
      <c r="H147">
        <v>1.542672</v>
      </c>
    </row>
    <row r="148" spans="1:8" x14ac:dyDescent="0.25">
      <c r="A148">
        <v>0.02</v>
      </c>
      <c r="B148">
        <v>149.93047200000001</v>
      </c>
      <c r="C148">
        <v>119.323741</v>
      </c>
      <c r="D148">
        <v>219.96176299999999</v>
      </c>
      <c r="E148">
        <v>35.284013999999999</v>
      </c>
      <c r="F148">
        <v>-119.047619</v>
      </c>
      <c r="G148">
        <v>0</v>
      </c>
      <c r="H148">
        <v>1.545995</v>
      </c>
    </row>
    <row r="149" spans="1:8" x14ac:dyDescent="0.25">
      <c r="A149">
        <v>0.02</v>
      </c>
      <c r="B149">
        <v>149.94632999999999</v>
      </c>
      <c r="C149">
        <v>120.00539499999999</v>
      </c>
      <c r="D149">
        <v>220.64363399999999</v>
      </c>
      <c r="E149">
        <v>32.903061999999998</v>
      </c>
      <c r="F149">
        <v>-119.047619</v>
      </c>
      <c r="G149">
        <v>0</v>
      </c>
      <c r="H149">
        <v>1.5490710000000001</v>
      </c>
    </row>
    <row r="150" spans="1:8" x14ac:dyDescent="0.25">
      <c r="A150">
        <v>0.02</v>
      </c>
      <c r="B150">
        <v>149.95920699999999</v>
      </c>
      <c r="C150">
        <v>120.63951400000001</v>
      </c>
      <c r="D150">
        <v>221.277886</v>
      </c>
      <c r="E150">
        <v>30.522109</v>
      </c>
      <c r="F150">
        <v>-119.047619</v>
      </c>
      <c r="G150">
        <v>0</v>
      </c>
      <c r="H150">
        <v>1.551909</v>
      </c>
    </row>
    <row r="151" spans="1:8" x14ac:dyDescent="0.25">
      <c r="A151">
        <v>0.02</v>
      </c>
      <c r="B151">
        <v>149.96952200000001</v>
      </c>
      <c r="C151">
        <v>121.226055</v>
      </c>
      <c r="D151">
        <v>221.864518</v>
      </c>
      <c r="E151">
        <v>28.141157</v>
      </c>
      <c r="F151">
        <v>-119.047619</v>
      </c>
      <c r="G151">
        <v>0</v>
      </c>
      <c r="H151">
        <v>1.5545119999999999</v>
      </c>
    </row>
    <row r="152" spans="1:8" x14ac:dyDescent="0.25">
      <c r="A152">
        <v>0.02</v>
      </c>
      <c r="B152">
        <v>149.97765899999999</v>
      </c>
      <c r="C152">
        <v>121.76501500000001</v>
      </c>
      <c r="D152">
        <v>222.40353200000001</v>
      </c>
      <c r="E152">
        <v>25.760204000000002</v>
      </c>
      <c r="F152">
        <v>-119.047619</v>
      </c>
      <c r="G152">
        <v>0</v>
      </c>
      <c r="H152">
        <v>1.5568869999999999</v>
      </c>
    </row>
    <row r="153" spans="1:8" x14ac:dyDescent="0.25">
      <c r="A153">
        <v>0.02</v>
      </c>
      <c r="B153">
        <v>149.98396500000001</v>
      </c>
      <c r="C153">
        <v>122.256405</v>
      </c>
      <c r="D153">
        <v>222.894927</v>
      </c>
      <c r="E153">
        <v>23.379252000000001</v>
      </c>
      <c r="F153">
        <v>-119.047619</v>
      </c>
      <c r="G153">
        <v>0</v>
      </c>
      <c r="H153">
        <v>1.5590379999999999</v>
      </c>
    </row>
    <row r="154" spans="1:8" x14ac:dyDescent="0.25">
      <c r="A154">
        <v>0.02</v>
      </c>
      <c r="B154">
        <v>149.988754</v>
      </c>
      <c r="C154">
        <v>122.70011100000001</v>
      </c>
      <c r="D154">
        <v>223.33870200000001</v>
      </c>
      <c r="E154">
        <v>20.9983</v>
      </c>
      <c r="F154">
        <v>-119.047619</v>
      </c>
      <c r="G154">
        <v>0</v>
      </c>
      <c r="H154">
        <v>1.5609679999999999</v>
      </c>
    </row>
    <row r="155" spans="1:8" x14ac:dyDescent="0.25">
      <c r="A155">
        <v>0.02</v>
      </c>
      <c r="B155">
        <v>149.99230800000001</v>
      </c>
      <c r="C155">
        <v>123.096262</v>
      </c>
      <c r="D155">
        <v>223.734859</v>
      </c>
      <c r="E155">
        <v>18.617346999999999</v>
      </c>
      <c r="F155">
        <v>-119.047619</v>
      </c>
      <c r="G155">
        <v>0</v>
      </c>
      <c r="H155">
        <v>1.5626819999999999</v>
      </c>
    </row>
    <row r="156" spans="1:8" x14ac:dyDescent="0.25">
      <c r="A156">
        <v>0.02</v>
      </c>
      <c r="B156">
        <v>149.994876</v>
      </c>
      <c r="C156">
        <v>123.445098</v>
      </c>
      <c r="D156">
        <v>224.08368300000001</v>
      </c>
      <c r="E156">
        <v>16.265080000000001</v>
      </c>
      <c r="F156">
        <v>-117.61338000000001</v>
      </c>
      <c r="G156">
        <v>71.711956999999998</v>
      </c>
      <c r="H156">
        <v>1.564184</v>
      </c>
    </row>
    <row r="157" spans="1:8" x14ac:dyDescent="0.25">
      <c r="A157">
        <v>0.02</v>
      </c>
      <c r="B157">
        <v>149.99668500000001</v>
      </c>
      <c r="C157">
        <v>123.748459</v>
      </c>
      <c r="D157">
        <v>224.38704899999999</v>
      </c>
      <c r="E157">
        <v>14.071542000000001</v>
      </c>
      <c r="F157">
        <v>-109.676872</v>
      </c>
      <c r="G157">
        <v>396.82539700000001</v>
      </c>
      <c r="H157">
        <v>1.5654840000000001</v>
      </c>
    </row>
    <row r="158" spans="1:8" x14ac:dyDescent="0.25">
      <c r="A158">
        <v>0.02</v>
      </c>
      <c r="B158">
        <v>149.99792600000001</v>
      </c>
      <c r="C158">
        <v>124.009519</v>
      </c>
      <c r="D158">
        <v>224.648132</v>
      </c>
      <c r="E158">
        <v>12.036735</v>
      </c>
      <c r="F158">
        <v>-101.740364</v>
      </c>
      <c r="G158">
        <v>396.82539700000001</v>
      </c>
      <c r="H158">
        <v>1.5665990000000001</v>
      </c>
    </row>
    <row r="159" spans="1:8" x14ac:dyDescent="0.25">
      <c r="A159">
        <v>0.02</v>
      </c>
      <c r="B159">
        <v>149.99875299999999</v>
      </c>
      <c r="C159">
        <v>124.231477</v>
      </c>
      <c r="D159">
        <v>224.87010599999999</v>
      </c>
      <c r="E159">
        <v>10.160658</v>
      </c>
      <c r="F159">
        <v>-93.803855999999996</v>
      </c>
      <c r="G159">
        <v>396.82539700000001</v>
      </c>
      <c r="H159">
        <v>1.567545</v>
      </c>
    </row>
    <row r="160" spans="1:8" x14ac:dyDescent="0.25">
      <c r="A160">
        <v>0.02</v>
      </c>
      <c r="B160">
        <v>149.99928399999999</v>
      </c>
      <c r="C160">
        <v>124.417556</v>
      </c>
      <c r="D160">
        <v>225.05614499999999</v>
      </c>
      <c r="E160">
        <v>8.4433109999999996</v>
      </c>
      <c r="F160">
        <v>-85.867348000000007</v>
      </c>
      <c r="G160">
        <v>396.82539700000001</v>
      </c>
      <c r="H160">
        <v>1.568335</v>
      </c>
    </row>
    <row r="161" spans="1:8" x14ac:dyDescent="0.25">
      <c r="A161">
        <v>0.02</v>
      </c>
      <c r="B161">
        <v>149.99961099999999</v>
      </c>
      <c r="C161">
        <v>124.570797</v>
      </c>
      <c r="D161">
        <v>225.20942500000001</v>
      </c>
      <c r="E161">
        <v>6.8846939999999996</v>
      </c>
      <c r="F161">
        <v>-77.930840000000003</v>
      </c>
      <c r="G161">
        <v>396.82539700000001</v>
      </c>
      <c r="H161">
        <v>1.5689839999999999</v>
      </c>
    </row>
    <row r="162" spans="1:8" x14ac:dyDescent="0.25">
      <c r="A162">
        <v>0.02</v>
      </c>
      <c r="B162">
        <v>149.99980300000001</v>
      </c>
      <c r="C162">
        <v>124.694548</v>
      </c>
      <c r="D162">
        <v>225.33312000000001</v>
      </c>
      <c r="E162">
        <v>5.484807</v>
      </c>
      <c r="F162">
        <v>-69.994332</v>
      </c>
      <c r="G162">
        <v>396.82539700000001</v>
      </c>
      <c r="H162">
        <v>1.5695079999999999</v>
      </c>
    </row>
    <row r="163" spans="1:8" x14ac:dyDescent="0.25">
      <c r="A163">
        <v>0.02</v>
      </c>
      <c r="B163">
        <v>149.999909</v>
      </c>
      <c r="C163">
        <v>124.791783</v>
      </c>
      <c r="D163">
        <v>225.43040500000001</v>
      </c>
      <c r="E163">
        <v>4.2436509999999998</v>
      </c>
      <c r="F163">
        <v>-62.057823999999997</v>
      </c>
      <c r="G163">
        <v>396.82539700000001</v>
      </c>
      <c r="H163">
        <v>1.5699179999999999</v>
      </c>
    </row>
    <row r="164" spans="1:8" x14ac:dyDescent="0.25">
      <c r="A164">
        <v>0.02</v>
      </c>
      <c r="B164">
        <v>149.99996200000001</v>
      </c>
      <c r="C164">
        <v>124.865824</v>
      </c>
      <c r="D164">
        <v>225.50445400000001</v>
      </c>
      <c r="E164">
        <v>3.161225</v>
      </c>
      <c r="F164">
        <v>-54.121316</v>
      </c>
      <c r="G164">
        <v>396.82539700000001</v>
      </c>
      <c r="H164">
        <v>1.5702309999999999</v>
      </c>
    </row>
    <row r="165" spans="1:8" x14ac:dyDescent="0.25">
      <c r="A165">
        <v>0.02</v>
      </c>
      <c r="B165">
        <v>149.99998600000001</v>
      </c>
      <c r="C165">
        <v>124.91982400000001</v>
      </c>
      <c r="D165">
        <v>225.55844099999999</v>
      </c>
      <c r="E165">
        <v>2.2375280000000002</v>
      </c>
      <c r="F165">
        <v>-46.184807999999997</v>
      </c>
      <c r="G165">
        <v>396.82539700000001</v>
      </c>
      <c r="H165">
        <v>1.570459</v>
      </c>
    </row>
    <row r="166" spans="1:8" x14ac:dyDescent="0.25">
      <c r="A166">
        <v>0.02</v>
      </c>
      <c r="B166">
        <v>149.99999600000001</v>
      </c>
      <c r="C166">
        <v>124.956942</v>
      </c>
      <c r="D166">
        <v>225.59554199999999</v>
      </c>
      <c r="E166">
        <v>1.4725619999999999</v>
      </c>
      <c r="F166">
        <v>-38.248300999999998</v>
      </c>
      <c r="G166">
        <v>396.82539700000001</v>
      </c>
      <c r="H166">
        <v>1.5706150000000001</v>
      </c>
    </row>
    <row r="167" spans="1:8" x14ac:dyDescent="0.25">
      <c r="A167">
        <v>0.02</v>
      </c>
      <c r="B167">
        <v>149.999999</v>
      </c>
      <c r="C167">
        <v>124.980345</v>
      </c>
      <c r="D167">
        <v>225.618931</v>
      </c>
      <c r="E167">
        <v>0.86632699999999996</v>
      </c>
      <c r="F167">
        <v>-30.311793000000002</v>
      </c>
      <c r="G167">
        <v>396.82539700000001</v>
      </c>
      <c r="H167">
        <v>1.5707139999999999</v>
      </c>
    </row>
    <row r="168" spans="1:8" x14ac:dyDescent="0.25">
      <c r="A168">
        <v>0.02</v>
      </c>
      <c r="B168">
        <v>150</v>
      </c>
      <c r="C168">
        <v>124.993206</v>
      </c>
      <c r="D168">
        <v>225.63178300000001</v>
      </c>
      <c r="E168">
        <v>0.418821</v>
      </c>
      <c r="F168">
        <v>-22.375285000000002</v>
      </c>
      <c r="G168">
        <v>396.82539700000001</v>
      </c>
      <c r="H168">
        <v>1.5707679999999999</v>
      </c>
    </row>
    <row r="169" spans="1:8" x14ac:dyDescent="0.25">
      <c r="A169">
        <v>0.02</v>
      </c>
      <c r="B169">
        <v>150</v>
      </c>
      <c r="C169">
        <v>124.998699</v>
      </c>
      <c r="D169">
        <v>225.637271</v>
      </c>
      <c r="E169">
        <v>0.13004499999999999</v>
      </c>
      <c r="F169">
        <v>-14.438777</v>
      </c>
      <c r="G169">
        <v>396.82539700000001</v>
      </c>
      <c r="H169">
        <v>1.570791</v>
      </c>
    </row>
    <row r="170" spans="1:8" x14ac:dyDescent="0.25">
      <c r="A170">
        <v>0.02</v>
      </c>
      <c r="B170">
        <v>150</v>
      </c>
      <c r="C170">
        <v>125</v>
      </c>
      <c r="D170">
        <v>225.63857200000001</v>
      </c>
      <c r="E170">
        <v>0</v>
      </c>
      <c r="F170">
        <v>-6.5022690000000001</v>
      </c>
      <c r="G170">
        <v>396.82539700000001</v>
      </c>
      <c r="H170">
        <v>1.5707960000000001</v>
      </c>
    </row>
    <row r="171" spans="1:8" x14ac:dyDescent="0.25">
      <c r="A171">
        <v>0.02</v>
      </c>
      <c r="B171">
        <v>150</v>
      </c>
      <c r="C171">
        <v>125</v>
      </c>
      <c r="D171">
        <v>225.63857200000001</v>
      </c>
      <c r="E171">
        <v>0</v>
      </c>
      <c r="F171">
        <v>0</v>
      </c>
      <c r="G171">
        <v>325.11344000000003</v>
      </c>
      <c r="H171">
        <v>1.5707960000000001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2"/>
  <sheetViews>
    <sheetView workbookViewId="0">
      <pane ySplit="1" topLeftCell="A2" activePane="bottomLeft" state="frozenSplit"/>
      <selection pane="bottomLeft" activeCell="G1" sqref="G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f>Main!$K$2</f>
        <v>0.02</v>
      </c>
      <c r="B2">
        <f>Main!S2</f>
        <v>-7.1019929813620781E-3</v>
      </c>
      <c r="C2">
        <f>Main!T2</f>
        <v>-12.999998060065074</v>
      </c>
      <c r="D2">
        <v>0</v>
      </c>
      <c r="E2">
        <f t="shared" ref="E2:E65" si="0" xml:space="preserve"> IF(ISBLANK(D3), 0, (D3-D2)/$A2 )</f>
        <v>7.9350000000000004E-2</v>
      </c>
      <c r="F2">
        <f xml:space="preserve"> (E3-E2)/$A2</f>
        <v>12.362499999991314</v>
      </c>
      <c r="G2">
        <f xml:space="preserve"> (F3-F2)/$A2</f>
        <v>399.74999999329964</v>
      </c>
      <c r="H2">
        <f>Main!N2</f>
        <v>6.2826389999999996</v>
      </c>
    </row>
    <row r="3" spans="1:8" x14ac:dyDescent="0.25">
      <c r="A3">
        <f>Main!$K$2</f>
        <v>0.02</v>
      </c>
      <c r="B3">
        <f>Main!S3</f>
        <v>-5.5149932181833648E-3</v>
      </c>
      <c r="C3">
        <f>Main!T3</f>
        <v>-12.999998927054525</v>
      </c>
      <c r="D3">
        <f>D2 + SQRT( (B3-B2)^2  + (C3-C2)^2 )</f>
        <v>1.5870000000000001E-3</v>
      </c>
      <c r="E3">
        <f t="shared" si="0"/>
        <v>0.32659999999982631</v>
      </c>
      <c r="F3">
        <f t="shared" ref="E3:G3" si="1" xml:space="preserve"> (E4-E3)/$A3</f>
        <v>20.357499999857307</v>
      </c>
      <c r="G3">
        <f t="shared" si="1"/>
        <v>411.74999997151554</v>
      </c>
      <c r="H3">
        <f>Main!N3</f>
        <v>6.2826389999999996</v>
      </c>
    </row>
    <row r="4" spans="1:8" x14ac:dyDescent="0.25">
      <c r="A4">
        <f>Main!$K$2</f>
        <v>0.02</v>
      </c>
      <c r="B4">
        <f>Main!S4</f>
        <v>1.0170058557107519E-3</v>
      </c>
      <c r="C4">
        <f>Main!T4</f>
        <v>-13.000002405358858</v>
      </c>
      <c r="D4">
        <f t="shared" ref="D4:D29" si="2">D3 + SQRT( (B4-B3)^2  + (C4-C3)^2 )</f>
        <v>8.1189999999965266E-3</v>
      </c>
      <c r="E4">
        <f t="shared" si="0"/>
        <v>0.73374999999697244</v>
      </c>
      <c r="F4">
        <f t="shared" ref="E4:G4" si="3" xml:space="preserve"> (E5-E4)/$A4</f>
        <v>28.592499999287618</v>
      </c>
      <c r="G4">
        <f t="shared" si="3"/>
        <v>406.49999990941018</v>
      </c>
      <c r="H4">
        <f>Main!N4</f>
        <v>6.2826529999999998</v>
      </c>
    </row>
    <row r="5" spans="1:8" x14ac:dyDescent="0.25">
      <c r="A5">
        <f>Main!$K$2</f>
        <v>0.02</v>
      </c>
      <c r="B5">
        <f>Main!S5</f>
        <v>1.5692004001367589E-2</v>
      </c>
      <c r="C5">
        <f>Main!T5</f>
        <v>-13.000009782566408</v>
      </c>
      <c r="D5">
        <f t="shared" si="2"/>
        <v>2.2793999999935977E-2</v>
      </c>
      <c r="E5">
        <f t="shared" si="0"/>
        <v>1.3055999999827248</v>
      </c>
      <c r="F5">
        <f t="shared" ref="E5:G5" si="4" xml:space="preserve"> (E6-E5)/$A5</f>
        <v>36.722499997475822</v>
      </c>
      <c r="G5">
        <f t="shared" si="4"/>
        <v>407.99999979059504</v>
      </c>
      <c r="H5">
        <f>Main!N5</f>
        <v>6.2826829999999996</v>
      </c>
    </row>
    <row r="6" spans="1:8" x14ac:dyDescent="0.25">
      <c r="A6">
        <f>Main!$K$2</f>
        <v>0.02</v>
      </c>
      <c r="B6">
        <f>Main!S6</f>
        <v>4.1804001379926591E-2</v>
      </c>
      <c r="C6">
        <f>Main!T6</f>
        <v>-13.000021482313588</v>
      </c>
      <c r="D6">
        <f t="shared" si="2"/>
        <v>4.8905999999590472E-2</v>
      </c>
      <c r="E6">
        <f t="shared" si="0"/>
        <v>2.0400499999322412</v>
      </c>
      <c r="F6">
        <f t="shared" ref="E6:G6" si="5" xml:space="preserve"> (E7-E6)/$A6</f>
        <v>44.882499993287723</v>
      </c>
      <c r="G6">
        <f t="shared" si="5"/>
        <v>406.87499958192672</v>
      </c>
      <c r="H6">
        <f>Main!N6</f>
        <v>6.2827380000000002</v>
      </c>
    </row>
    <row r="7" spans="1:8" x14ac:dyDescent="0.25">
      <c r="A7">
        <f>Main!$K$2</f>
        <v>0.02</v>
      </c>
      <c r="B7">
        <f>Main!S7</f>
        <v>8.2604998698033658E-2</v>
      </c>
      <c r="C7">
        <f>Main!T7</f>
        <v>-13.000036272081498</v>
      </c>
      <c r="D7">
        <f t="shared" si="2"/>
        <v>8.9706999998235296E-2</v>
      </c>
      <c r="E7">
        <f t="shared" si="0"/>
        <v>2.9376999997979958</v>
      </c>
      <c r="F7">
        <f t="shared" ref="E7:G7" si="6" xml:space="preserve"> (E8-E7)/$A7</f>
        <v>53.019999984926258</v>
      </c>
      <c r="G7">
        <f t="shared" si="6"/>
        <v>410.24916600452383</v>
      </c>
      <c r="H7">
        <f>Main!N7</f>
        <v>6.2828239999999997</v>
      </c>
    </row>
    <row r="8" spans="1:8" x14ac:dyDescent="0.25">
      <c r="A8">
        <f>Main!$K$2</f>
        <v>0.02</v>
      </c>
      <c r="B8">
        <f>Main!S8</f>
        <v>0.14135899701583429</v>
      </c>
      <c r="C8">
        <f>Main!T8</f>
        <v>-13.000050314771395</v>
      </c>
      <c r="D8">
        <f t="shared" si="2"/>
        <v>0.14846099999419521</v>
      </c>
      <c r="E8">
        <f t="shared" si="0"/>
        <v>3.998099999496521</v>
      </c>
      <c r="F8">
        <f t="shared" ref="E8:G8" si="7" xml:space="preserve"> (E9-E8)/$A8</f>
        <v>61.224983305016735</v>
      </c>
      <c r="G8">
        <f t="shared" si="7"/>
        <v>407.00166499619144</v>
      </c>
      <c r="H8">
        <f>Main!N8</f>
        <v>6.2829480000000002</v>
      </c>
    </row>
    <row r="9" spans="1:8" x14ac:dyDescent="0.25">
      <c r="A9">
        <f>Main!$K$2</f>
        <v>0.02</v>
      </c>
      <c r="B9">
        <f>Main!S9</f>
        <v>0.22132099680079131</v>
      </c>
      <c r="C9">
        <f>Main!T9</f>
        <v>-13.000056040168083</v>
      </c>
      <c r="D9">
        <f t="shared" si="2"/>
        <v>0.22842299998412563</v>
      </c>
      <c r="E9">
        <f t="shared" si="0"/>
        <v>5.2225996655968556</v>
      </c>
      <c r="F9">
        <f t="shared" ref="E9:G9" si="8" xml:space="preserve"> (E10-E9)/$A9</f>
        <v>69.365016604940564</v>
      </c>
      <c r="G9">
        <f t="shared" si="8"/>
        <v>410.49916452726478</v>
      </c>
      <c r="H9">
        <f>Main!N9</f>
        <v>6.2831159999999997</v>
      </c>
    </row>
    <row r="10" spans="1:8" x14ac:dyDescent="0.25">
      <c r="A10">
        <f>Main!$K$2</f>
        <v>0.02</v>
      </c>
      <c r="B10">
        <f>Main!S10</f>
        <v>0.32577298896908441</v>
      </c>
      <c r="C10">
        <f>Main!T10</f>
        <v>-13.000040583396293</v>
      </c>
      <c r="D10">
        <f t="shared" si="2"/>
        <v>0.33287499329606274</v>
      </c>
      <c r="E10">
        <f t="shared" si="0"/>
        <v>6.6098999976956669</v>
      </c>
      <c r="F10">
        <f t="shared" ref="E10:G10" si="9" xml:space="preserve"> (E11-E10)/$A10</f>
        <v>77.57499989548586</v>
      </c>
      <c r="G10">
        <f t="shared" si="9"/>
        <v>406.62499670181018</v>
      </c>
      <c r="H10">
        <f>Main!N10</f>
        <v>1.5100000000000001E-4</v>
      </c>
    </row>
    <row r="11" spans="1:8" x14ac:dyDescent="0.25">
      <c r="A11">
        <f>Main!$K$2</f>
        <v>0.02</v>
      </c>
      <c r="B11">
        <f>Main!S11</f>
        <v>0.45797097691789018</v>
      </c>
      <c r="C11">
        <f>Main!T11</f>
        <v>-12.999984244224516</v>
      </c>
      <c r="D11">
        <f t="shared" si="2"/>
        <v>0.46507299324997609</v>
      </c>
      <c r="E11">
        <f t="shared" si="0"/>
        <v>8.1613999956053842</v>
      </c>
      <c r="F11">
        <f t="shared" ref="E11:G11" si="10" xml:space="preserve"> (E12-E11)/$A11</f>
        <v>85.707499829522064</v>
      </c>
      <c r="G11">
        <f t="shared" si="10"/>
        <v>409.62499488225814</v>
      </c>
      <c r="H11">
        <f>Main!N11</f>
        <v>4.2999999999999999E-4</v>
      </c>
    </row>
    <row r="12" spans="1:8" x14ac:dyDescent="0.25">
      <c r="A12">
        <f>Main!$K$2</f>
        <v>0.02</v>
      </c>
      <c r="B12">
        <f>Main!S12</f>
        <v>0.62119892828600087</v>
      </c>
      <c r="C12">
        <f>Main!T12</f>
        <v>-12.999858357463056</v>
      </c>
      <c r="D12">
        <f t="shared" si="2"/>
        <v>0.62830099316208377</v>
      </c>
      <c r="E12">
        <f t="shared" si="0"/>
        <v>9.8755499921958254</v>
      </c>
      <c r="F12">
        <f t="shared" ref="E12:G12" si="11" xml:space="preserve"> (E13-E12)/$A12</f>
        <v>93.899999727167227</v>
      </c>
      <c r="G12">
        <f t="shared" si="11"/>
        <v>409.99999260442195</v>
      </c>
      <c r="H12">
        <f>Main!N12</f>
        <v>7.76E-4</v>
      </c>
    </row>
    <row r="13" spans="1:8" x14ac:dyDescent="0.25">
      <c r="A13">
        <f>Main!$K$2</f>
        <v>0.02</v>
      </c>
      <c r="B13">
        <f>Main!S13</f>
        <v>0.81870978846498454</v>
      </c>
      <c r="C13">
        <f>Main!T13</f>
        <v>-12.999623473020089</v>
      </c>
      <c r="D13">
        <f t="shared" si="2"/>
        <v>0.82581199300600028</v>
      </c>
      <c r="E13">
        <f t="shared" si="0"/>
        <v>11.75354998673917</v>
      </c>
      <c r="F13">
        <f t="shared" ref="E13:G13" si="12" xml:space="preserve"> (E14-E13)/$A13</f>
        <v>102.09999957925567</v>
      </c>
      <c r="G13">
        <f t="shared" si="12"/>
        <v>409.7499896210266</v>
      </c>
      <c r="H13">
        <f>Main!N13</f>
        <v>1.1950000000000001E-3</v>
      </c>
    </row>
    <row r="14" spans="1:8" x14ac:dyDescent="0.25">
      <c r="A14">
        <f>Main!$K$2</f>
        <v>0.02</v>
      </c>
      <c r="B14">
        <f>Main!S14</f>
        <v>1.0537804532661763</v>
      </c>
      <c r="C14">
        <f>Main!T14</f>
        <v>-12.999226652863971</v>
      </c>
      <c r="D14">
        <f t="shared" si="2"/>
        <v>1.0608829927407837</v>
      </c>
      <c r="E14">
        <f t="shared" si="0"/>
        <v>13.795549978324283</v>
      </c>
      <c r="F14">
        <f t="shared" ref="E14:G14" si="13" xml:space="preserve"> (E15-E14)/$A14</f>
        <v>110.2949993716762</v>
      </c>
      <c r="G14">
        <f t="shared" si="13"/>
        <v>411.49998530115749</v>
      </c>
      <c r="H14">
        <f>Main!N14</f>
        <v>1.6949999999999999E-3</v>
      </c>
    </row>
    <row r="15" spans="1:8" x14ac:dyDescent="0.25">
      <c r="A15">
        <f>Main!$K$2</f>
        <v>0.02</v>
      </c>
      <c r="B15">
        <f>Main!S15</f>
        <v>1.329690738307759</v>
      </c>
      <c r="C15">
        <f>Main!T15</f>
        <v>-12.998598727669442</v>
      </c>
      <c r="D15">
        <f t="shared" si="2"/>
        <v>1.3367939923072694</v>
      </c>
      <c r="E15">
        <f t="shared" si="0"/>
        <v>16.001449965757807</v>
      </c>
      <c r="F15">
        <f t="shared" ref="E15:G15" si="14" xml:space="preserve"> (E16-E15)/$A15</f>
        <v>118.52499907769935</v>
      </c>
      <c r="G15">
        <f t="shared" si="14"/>
        <v>204.87498327575793</v>
      </c>
      <c r="H15">
        <f>Main!N15</f>
        <v>2.284E-3</v>
      </c>
    </row>
    <row r="16" spans="1:8" x14ac:dyDescent="0.25">
      <c r="A16">
        <f>Main!$K$2</f>
        <v>0.02</v>
      </c>
      <c r="B16">
        <f>Main!S16</f>
        <v>1.6497183352222762</v>
      </c>
      <c r="C16">
        <f>Main!T16</f>
        <v>-12.997651301799264</v>
      </c>
      <c r="D16">
        <f t="shared" si="2"/>
        <v>1.6568229916224255</v>
      </c>
      <c r="E16">
        <f t="shared" si="0"/>
        <v>18.371949947311794</v>
      </c>
      <c r="F16">
        <f t="shared" ref="E16:G16" si="15" xml:space="preserve"> (E17-E16)/$A16</f>
        <v>122.62249874321451</v>
      </c>
      <c r="G16">
        <f t="shared" si="15"/>
        <v>4.8749802143980503</v>
      </c>
      <c r="H16">
        <f>Main!N16</f>
        <v>2.97E-3</v>
      </c>
    </row>
    <row r="17" spans="1:8" x14ac:dyDescent="0.25">
      <c r="A17">
        <f>Main!$K$2</f>
        <v>0.02</v>
      </c>
      <c r="B17">
        <f>Main!S17</f>
        <v>2.0171547493707354</v>
      </c>
      <c r="C17">
        <f>Main!T17</f>
        <v>-12.996273076732793</v>
      </c>
      <c r="D17">
        <f t="shared" si="2"/>
        <v>2.0242619905686614</v>
      </c>
      <c r="E17">
        <f t="shared" si="0"/>
        <v>20.824399922176084</v>
      </c>
      <c r="F17">
        <f t="shared" ref="E17:G17" si="16" xml:space="preserve"> (E18-E17)/$A17</f>
        <v>122.71999834750247</v>
      </c>
      <c r="G17">
        <f t="shared" si="16"/>
        <v>1.6249783973428578</v>
      </c>
      <c r="H17">
        <f>Main!N17</f>
        <v>3.7620000000000002E-3</v>
      </c>
    </row>
    <row r="18" spans="1:8" x14ac:dyDescent="0.25">
      <c r="A18">
        <f>Main!$K$2</f>
        <v>0.02</v>
      </c>
      <c r="B18">
        <f>Main!S18</f>
        <v>2.4336382425439638</v>
      </c>
      <c r="C18">
        <f>Main!T18</f>
        <v>-12.994335872118823</v>
      </c>
      <c r="D18">
        <f t="shared" si="2"/>
        <v>2.4407499890121831</v>
      </c>
      <c r="E18">
        <f t="shared" si="0"/>
        <v>23.278799889126134</v>
      </c>
      <c r="F18">
        <f t="shared" ref="E18:G18" si="17" xml:space="preserve"> (E19-E18)/$A18</f>
        <v>122.75249791544933</v>
      </c>
      <c r="G18">
        <f t="shared" si="17"/>
        <v>6.4999717925218192</v>
      </c>
      <c r="H18">
        <f>Main!N18</f>
        <v>4.6639999999999997E-3</v>
      </c>
    </row>
    <row r="19" spans="1:8" x14ac:dyDescent="0.25">
      <c r="A19">
        <f>Main!$K$2</f>
        <v>0.02</v>
      </c>
      <c r="B19">
        <f>Main!S19</f>
        <v>2.8992067706722127</v>
      </c>
      <c r="C19">
        <f>Main!T19</f>
        <v>-12.991698576593601</v>
      </c>
      <c r="D19">
        <f t="shared" si="2"/>
        <v>2.9063259867947058</v>
      </c>
      <c r="E19">
        <f t="shared" si="0"/>
        <v>25.73384984743512</v>
      </c>
      <c r="F19">
        <f t="shared" ref="E19:G19" si="18" xml:space="preserve"> (E20-E19)/$A19</f>
        <v>122.88249735129976</v>
      </c>
      <c r="G19">
        <f t="shared" si="18"/>
        <v>1.6249709550208991</v>
      </c>
      <c r="H19">
        <f>Main!N19</f>
        <v>5.679E-3</v>
      </c>
    </row>
    <row r="20" spans="1:8" x14ac:dyDescent="0.25">
      <c r="A20">
        <f>Main!$K$2</f>
        <v>0.02</v>
      </c>
      <c r="B20">
        <f>Main!S20</f>
        <v>3.4138718966582022</v>
      </c>
      <c r="C20">
        <f>Main!T20</f>
        <v>-12.988202967639507</v>
      </c>
      <c r="D20">
        <f t="shared" si="2"/>
        <v>3.4210029837434082</v>
      </c>
      <c r="E20">
        <f t="shared" si="0"/>
        <v>28.191499794461116</v>
      </c>
      <c r="F20">
        <f t="shared" ref="E20:G20" si="19" xml:space="preserve"> (E21-E20)/$A20</f>
        <v>122.91499677040018</v>
      </c>
      <c r="G20">
        <f t="shared" si="19"/>
        <v>6.4999623085526537</v>
      </c>
      <c r="H20">
        <f>Main!N20</f>
        <v>6.8079999999999998E-3</v>
      </c>
    </row>
    <row r="21" spans="1:8" x14ac:dyDescent="0.25">
      <c r="A21">
        <f>Main!$K$2</f>
        <v>0.02</v>
      </c>
      <c r="B21">
        <f>Main!S21</f>
        <v>3.9776836824733639</v>
      </c>
      <c r="C21">
        <f>Main!T21</f>
        <v>-12.983671473365149</v>
      </c>
      <c r="D21">
        <f t="shared" si="2"/>
        <v>3.9848329796326305</v>
      </c>
      <c r="E21">
        <f t="shared" si="0"/>
        <v>30.64979972986912</v>
      </c>
      <c r="F21">
        <f t="shared" ref="E21:G21" si="20" xml:space="preserve"> (E22-E21)/$A21</f>
        <v>123.04499601657123</v>
      </c>
      <c r="G21">
        <f t="shared" si="20"/>
        <v>4.8749580921651159</v>
      </c>
      <c r="H21">
        <f>Main!N21</f>
        <v>8.0549999999999997E-3</v>
      </c>
    </row>
    <row r="22" spans="1:8" x14ac:dyDescent="0.25">
      <c r="A22">
        <f>Main!$K$2</f>
        <v>0.02</v>
      </c>
      <c r="B22">
        <f>Main!S22</f>
        <v>4.5906525881112552</v>
      </c>
      <c r="C22">
        <f>Main!T22</f>
        <v>-12.977908651702116</v>
      </c>
      <c r="D22">
        <f t="shared" si="2"/>
        <v>4.5978289742300129</v>
      </c>
      <c r="E22">
        <f t="shared" si="0"/>
        <v>33.110699650200544</v>
      </c>
      <c r="F22">
        <f t="shared" ref="E22:G22" si="21" xml:space="preserve"> (E23-E22)/$A22</f>
        <v>123.14249517841453</v>
      </c>
      <c r="G22">
        <f t="shared" si="21"/>
        <v>4.9999521486299159</v>
      </c>
      <c r="H22">
        <f>Main!N22</f>
        <v>9.4210000000000006E-3</v>
      </c>
    </row>
    <row r="23" spans="1:8" x14ac:dyDescent="0.25">
      <c r="A23">
        <f>Main!$K$2</f>
        <v>0.02</v>
      </c>
      <c r="B23">
        <f>Main!S23</f>
        <v>5.2528273275366786</v>
      </c>
      <c r="C23">
        <f>Main!T23</f>
        <v>-12.970698450790275</v>
      </c>
      <c r="D23">
        <f t="shared" si="2"/>
        <v>5.2600429672340239</v>
      </c>
      <c r="E23">
        <f t="shared" si="0"/>
        <v>35.573549553768835</v>
      </c>
      <c r="F23">
        <f t="shared" ref="E23:G23" si="22" xml:space="preserve"> (E24-E23)/$A23</f>
        <v>123.24249422138713</v>
      </c>
      <c r="G23">
        <f t="shared" si="22"/>
        <v>7.8749401228961347</v>
      </c>
      <c r="H23">
        <f>Main!N23</f>
        <v>1.091E-2</v>
      </c>
    </row>
    <row r="24" spans="1:8" x14ac:dyDescent="0.25">
      <c r="A24">
        <f>Main!$K$2</f>
        <v>0.02</v>
      </c>
      <c r="B24">
        <f>Main!S24</f>
        <v>5.9642427252479528</v>
      </c>
      <c r="C24">
        <f>Main!T24</f>
        <v>-12.9618044617478</v>
      </c>
      <c r="D24">
        <f t="shared" si="2"/>
        <v>5.9715139583094006</v>
      </c>
      <c r="E24">
        <f t="shared" si="0"/>
        <v>38.038399438196578</v>
      </c>
      <c r="F24">
        <f t="shared" ref="E24:G24" si="23" xml:space="preserve"> (E25-E24)/$A24</f>
        <v>123.39999302384506</v>
      </c>
      <c r="G24">
        <f t="shared" si="23"/>
        <v>6.6249337869983549</v>
      </c>
      <c r="H24">
        <f>Main!N24</f>
        <v>1.2525E-2</v>
      </c>
    </row>
    <row r="25" spans="1:8" x14ac:dyDescent="0.25">
      <c r="A25">
        <f>Main!$K$2</f>
        <v>0.02</v>
      </c>
      <c r="B25">
        <f>Main!S25</f>
        <v>6.7249335493172282</v>
      </c>
      <c r="C25">
        <f>Main!T25</f>
        <v>-12.950969199650183</v>
      </c>
      <c r="D25">
        <f t="shared" si="2"/>
        <v>6.7322819470733322</v>
      </c>
      <c r="E25">
        <f t="shared" si="0"/>
        <v>40.506399298673479</v>
      </c>
      <c r="F25">
        <f t="shared" ref="E25:G25" si="24" xml:space="preserve"> (E26-E25)/$A25</f>
        <v>123.53249169958502</v>
      </c>
      <c r="G25">
        <f t="shared" si="24"/>
        <v>4.9999282238921694</v>
      </c>
      <c r="H25">
        <f>Main!N25</f>
        <v>1.4269E-2</v>
      </c>
    </row>
    <row r="26" spans="1:8" x14ac:dyDescent="0.25">
      <c r="A26">
        <f>Main!$K$2</f>
        <v>0.02</v>
      </c>
      <c r="B26">
        <f>Main!S26</f>
        <v>7.5349562968544008</v>
      </c>
      <c r="C26">
        <f>Main!T26</f>
        <v>-12.937911553240507</v>
      </c>
      <c r="D26">
        <f t="shared" si="2"/>
        <v>7.5424099330468017</v>
      </c>
      <c r="E26">
        <f t="shared" si="0"/>
        <v>42.977049132665179</v>
      </c>
      <c r="F26">
        <f t="shared" ref="E26:G26" si="25" xml:space="preserve"> (E27-E26)/$A26</f>
        <v>123.63249026406287</v>
      </c>
      <c r="G26">
        <f t="shared" si="25"/>
        <v>11.124902929751102</v>
      </c>
      <c r="H26">
        <f>Main!N26</f>
        <v>1.6147000000000002E-2</v>
      </c>
    </row>
    <row r="27" spans="1:8" x14ac:dyDescent="0.25">
      <c r="A27">
        <f>Main!$K$2</f>
        <v>0.02</v>
      </c>
      <c r="B27">
        <f>Main!S27</f>
        <v>8.3943559838459176</v>
      </c>
      <c r="C27">
        <f>Main!T27</f>
        <v>-12.92232698204047</v>
      </c>
      <c r="D27">
        <f t="shared" si="2"/>
        <v>8.4019509157001053</v>
      </c>
      <c r="E27">
        <f t="shared" si="0"/>
        <v>45.449698937946437</v>
      </c>
      <c r="F27">
        <f t="shared" ref="E27:G27" si="26" xml:space="preserve"> (E28-E27)/$A27</f>
        <v>123.85498832265789</v>
      </c>
      <c r="G27">
        <f t="shared" si="26"/>
        <v>4.9999059299565829</v>
      </c>
      <c r="H27">
        <f>Main!N27</f>
        <v>1.8162999999999999E-2</v>
      </c>
    </row>
    <row r="28" spans="1:8" x14ac:dyDescent="0.25">
      <c r="A28">
        <f>Main!$K$2</f>
        <v>0.02</v>
      </c>
      <c r="B28">
        <f>Main!S28</f>
        <v>9.3031629201406325</v>
      </c>
      <c r="C28">
        <f>Main!T28</f>
        <v>-12.903887731442879</v>
      </c>
      <c r="D28">
        <f t="shared" si="2"/>
        <v>9.3109448944590341</v>
      </c>
      <c r="E28">
        <f t="shared" si="0"/>
        <v>47.926798704399594</v>
      </c>
      <c r="F28">
        <f t="shared" ref="E28:G28" si="27" xml:space="preserve"> (E29-E28)/$A28</f>
        <v>123.95498644125702</v>
      </c>
      <c r="G28">
        <f t="shared" si="27"/>
        <v>11.499873954878836</v>
      </c>
      <c r="H28">
        <f>Main!N28</f>
        <v>2.0320000000000001E-2</v>
      </c>
    </row>
    <row r="29" spans="1:8" x14ac:dyDescent="0.25">
      <c r="A29">
        <f>Main!$K$2</f>
        <v>0.02</v>
      </c>
      <c r="B29">
        <f>Main!S29</f>
        <v>10.261454352562088</v>
      </c>
      <c r="C29">
        <f>Main!T29</f>
        <v>-12.882237231022586</v>
      </c>
      <c r="D29">
        <f t="shared" si="2"/>
        <v>10.269480868547026</v>
      </c>
      <c r="E29">
        <f t="shared" si="0"/>
        <v>50.405898433224735</v>
      </c>
      <c r="F29">
        <f t="shared" ref="E29:G29" si="28" xml:space="preserve"> (E30-E29)/$A29</f>
        <v>124.1849839203546</v>
      </c>
      <c r="G29">
        <f t="shared" si="28"/>
        <v>11.249854539272519</v>
      </c>
      <c r="H29">
        <f>Main!N29</f>
        <v>2.2624999999999999E-2</v>
      </c>
    </row>
    <row r="30" spans="1:8" x14ac:dyDescent="0.25">
      <c r="A30">
        <f>Main!$K$2</f>
        <v>0.02</v>
      </c>
      <c r="B30">
        <f>Main!S30</f>
        <v>11.269256238736503</v>
      </c>
      <c r="C30">
        <f>Main!T30</f>
        <v>-12.856994470327269</v>
      </c>
      <c r="D30">
        <f t="shared" ref="D30:D93" si="29">D29 + SQRT( (B30-B29)^2  + (C30-C29)^2 )</f>
        <v>11.277598837211521</v>
      </c>
      <c r="E30">
        <f t="shared" si="0"/>
        <v>52.889598111631827</v>
      </c>
      <c r="F30">
        <f t="shared" ref="E30:G30" si="30" xml:space="preserve"> (E31-E30)/$A30</f>
        <v>124.40998101114005</v>
      </c>
      <c r="G30">
        <f t="shared" si="30"/>
        <v>6.3748533296426046</v>
      </c>
      <c r="H30">
        <f>Main!N30</f>
        <v>2.5080999999999999E-2</v>
      </c>
    </row>
    <row r="31" spans="1:8" x14ac:dyDescent="0.25">
      <c r="A31">
        <f>Main!$K$2</f>
        <v>0.02</v>
      </c>
      <c r="B31">
        <f>Main!S31</f>
        <v>12.326643785760453</v>
      </c>
      <c r="C31">
        <f>Main!T31</f>
        <v>-12.827747064243201</v>
      </c>
      <c r="D31">
        <f t="shared" si="29"/>
        <v>12.335390799444157</v>
      </c>
      <c r="E31">
        <f t="shared" si="0"/>
        <v>55.377797731854628</v>
      </c>
      <c r="F31">
        <f t="shared" ref="E31:G31" si="31" xml:space="preserve"> (E32-E31)/$A31</f>
        <v>124.5374780777329</v>
      </c>
      <c r="G31">
        <f t="shared" si="31"/>
        <v>14.87479833462757</v>
      </c>
      <c r="H31">
        <f>Main!N31</f>
        <v>2.7695000000000001E-2</v>
      </c>
    </row>
    <row r="32" spans="1:8" x14ac:dyDescent="0.25">
      <c r="A32">
        <f>Main!$K$2</f>
        <v>0.02</v>
      </c>
      <c r="B32">
        <f>Main!S32</f>
        <v>13.433687034522707</v>
      </c>
      <c r="C32">
        <f>Main!T32</f>
        <v>-12.79405080299669</v>
      </c>
      <c r="D32">
        <f t="shared" si="29"/>
        <v>13.44294675408125</v>
      </c>
      <c r="E32">
        <f t="shared" si="0"/>
        <v>57.868547293409286</v>
      </c>
      <c r="F32">
        <f t="shared" ref="E32:G32" si="32" xml:space="preserve"> (E33-E32)/$A32</f>
        <v>124.83497404442545</v>
      </c>
      <c r="G32">
        <f t="shared" si="32"/>
        <v>9.6247924528114481</v>
      </c>
      <c r="H32">
        <f>Main!N32</f>
        <v>3.0474000000000001E-2</v>
      </c>
    </row>
    <row r="33" spans="1:8" x14ac:dyDescent="0.25">
      <c r="A33">
        <f>Main!$K$2</f>
        <v>0.02</v>
      </c>
      <c r="B33">
        <f>Main!S33</f>
        <v>14.5904135177417</v>
      </c>
      <c r="C33">
        <f>Main!T33</f>
        <v>-12.755432810303637</v>
      </c>
      <c r="D33">
        <f t="shared" si="29"/>
        <v>14.600317699949436</v>
      </c>
      <c r="E33">
        <f t="shared" si="0"/>
        <v>60.365246774297795</v>
      </c>
      <c r="F33">
        <f t="shared" ref="E33:G33" si="33" xml:space="preserve"> (E34-E33)/$A33</f>
        <v>125.02746989348168</v>
      </c>
      <c r="G33">
        <f t="shared" si="33"/>
        <v>16.124727540525186</v>
      </c>
      <c r="H33">
        <f>Main!N33</f>
        <v>3.3422E-2</v>
      </c>
    </row>
    <row r="34" spans="1:8" x14ac:dyDescent="0.25">
      <c r="A34">
        <f>Main!$K$2</f>
        <v>0.02</v>
      </c>
      <c r="B34">
        <f>Main!S34</f>
        <v>15.796914529627783</v>
      </c>
      <c r="C34">
        <f>Main!T34</f>
        <v>-12.711381526932939</v>
      </c>
      <c r="D34">
        <f t="shared" si="29"/>
        <v>15.807622635435392</v>
      </c>
      <c r="E34">
        <f t="shared" si="0"/>
        <v>62.865796172167428</v>
      </c>
      <c r="F34">
        <f t="shared" ref="E34:G34" si="34" xml:space="preserve"> (E35-E34)/$A34</f>
        <v>125.34996444429218</v>
      </c>
      <c r="G34">
        <f t="shared" si="34"/>
        <v>9.9997281955133133</v>
      </c>
      <c r="H34">
        <f>Main!N34</f>
        <v>3.6547999999999997E-2</v>
      </c>
    </row>
    <row r="35" spans="1:8" x14ac:dyDescent="0.25">
      <c r="A35">
        <f>Main!$K$2</f>
        <v>0.02</v>
      </c>
      <c r="B35">
        <f>Main!S35</f>
        <v>17.053234697127188</v>
      </c>
      <c r="C35">
        <f>Main!T35</f>
        <v>-12.661351854952532</v>
      </c>
      <c r="D35">
        <f t="shared" si="29"/>
        <v>17.06493855887874</v>
      </c>
      <c r="E35">
        <f t="shared" si="0"/>
        <v>65.372795461053272</v>
      </c>
      <c r="F35">
        <f t="shared" ref="E35:G35" si="35" xml:space="preserve"> (E36-E35)/$A35</f>
        <v>125.54995900820245</v>
      </c>
      <c r="G35">
        <f t="shared" si="35"/>
        <v>17.749635484491932</v>
      </c>
      <c r="H35">
        <f>Main!N35</f>
        <v>3.9857999999999998E-2</v>
      </c>
    </row>
    <row r="36" spans="1:8" x14ac:dyDescent="0.25">
      <c r="A36">
        <f>Main!$K$2</f>
        <v>0.02</v>
      </c>
      <c r="B36">
        <f>Main!S36</f>
        <v>18.359465075495173</v>
      </c>
      <c r="C36">
        <f>Main!T36</f>
        <v>-12.604755448832403</v>
      </c>
      <c r="D36">
        <f t="shared" si="29"/>
        <v>18.372394468099806</v>
      </c>
      <c r="E36">
        <f t="shared" si="0"/>
        <v>67.883794641217321</v>
      </c>
      <c r="F36">
        <f t="shared" ref="E36:G36" si="36" xml:space="preserve"> (E37-E36)/$A36</f>
        <v>125.90495171789229</v>
      </c>
      <c r="G36">
        <f t="shared" si="36"/>
        <v>16.24959285749128</v>
      </c>
      <c r="H36">
        <f>Main!N36</f>
        <v>4.3361999999999998E-2</v>
      </c>
    </row>
    <row r="37" spans="1:8" x14ac:dyDescent="0.25">
      <c r="A37">
        <f>Main!$K$2</f>
        <v>0.02</v>
      </c>
      <c r="B37">
        <f>Main!S37</f>
        <v>19.715641671152927</v>
      </c>
      <c r="C37">
        <f>Main!T37</f>
        <v>-12.54096774353952</v>
      </c>
      <c r="D37">
        <f t="shared" si="29"/>
        <v>19.730070360924152</v>
      </c>
      <c r="E37">
        <f t="shared" si="0"/>
        <v>70.401893675575167</v>
      </c>
      <c r="F37">
        <f t="shared" ref="E37:G37" si="37" xml:space="preserve"> (E38-E37)/$A37</f>
        <v>126.22994357504211</v>
      </c>
      <c r="G37">
        <f t="shared" si="37"/>
        <v>14.624549396415887</v>
      </c>
      <c r="H37">
        <f>Main!N37</f>
        <v>4.7065999999999997E-2</v>
      </c>
    </row>
    <row r="38" spans="1:8" x14ac:dyDescent="0.25">
      <c r="A38">
        <f>Main!$K$2</f>
        <v>0.02</v>
      </c>
      <c r="B38">
        <f>Main!S38</f>
        <v>21.121855225177306</v>
      </c>
      <c r="C38">
        <f>Main!T38</f>
        <v>-12.469315153070504</v>
      </c>
      <c r="D38">
        <f t="shared" si="29"/>
        <v>21.138108234435656</v>
      </c>
      <c r="E38">
        <f t="shared" si="0"/>
        <v>72.926492547076009</v>
      </c>
      <c r="F38">
        <f t="shared" ref="E38:G38" si="38" xml:space="preserve"> (E39-E38)/$A38</f>
        <v>126.52243456297043</v>
      </c>
      <c r="G38">
        <f t="shared" si="38"/>
        <v>19.499439662027385</v>
      </c>
      <c r="H38">
        <f>Main!N38</f>
        <v>5.0980999999999999E-2</v>
      </c>
    </row>
    <row r="39" spans="1:8" x14ac:dyDescent="0.25">
      <c r="A39">
        <f>Main!$K$2</f>
        <v>0.02</v>
      </c>
      <c r="B39">
        <f>Main!S39</f>
        <v>22.57817633612812</v>
      </c>
      <c r="C39">
        <f>Main!T39</f>
        <v>-12.389077083013454</v>
      </c>
      <c r="D39">
        <f t="shared" si="29"/>
        <v>22.596638085377176</v>
      </c>
      <c r="E39">
        <f t="shared" si="0"/>
        <v>75.456941238335418</v>
      </c>
      <c r="F39">
        <f t="shared" ref="E39:G39" si="39" xml:space="preserve"> (E40-E39)/$A39</f>
        <v>126.91242335621098</v>
      </c>
      <c r="G39">
        <f t="shared" si="39"/>
        <v>19.499356925614109</v>
      </c>
      <c r="H39">
        <f>Main!N39</f>
        <v>5.5116999999999999E-2</v>
      </c>
    </row>
    <row r="40" spans="1:8" x14ac:dyDescent="0.25">
      <c r="A40">
        <f>Main!$K$2</f>
        <v>0.02</v>
      </c>
      <c r="B40">
        <f>Main!S40</f>
        <v>24.084653470594208</v>
      </c>
      <c r="C40">
        <f>Main!T40</f>
        <v>-12.299485589281719</v>
      </c>
      <c r="D40">
        <f t="shared" si="29"/>
        <v>24.105776910143884</v>
      </c>
      <c r="E40">
        <f t="shared" si="0"/>
        <v>77.995189705459637</v>
      </c>
      <c r="F40">
        <f t="shared" ref="E40:G40" si="40" xml:space="preserve"> (E41-E40)/$A40</f>
        <v>127.30241049472326</v>
      </c>
      <c r="G40">
        <f t="shared" si="40"/>
        <v>21.124243842116641</v>
      </c>
      <c r="H40">
        <f>Main!N40</f>
        <v>5.9483000000000001E-2</v>
      </c>
    </row>
    <row r="41" spans="1:8" x14ac:dyDescent="0.25">
      <c r="A41">
        <f>Main!$K$2</f>
        <v>0.02</v>
      </c>
      <c r="B41">
        <f>Main!S41</f>
        <v>25.641363420511727</v>
      </c>
      <c r="C41">
        <f>Main!T41</f>
        <v>-12.199715961117388</v>
      </c>
      <c r="D41">
        <f t="shared" si="29"/>
        <v>25.665680704253077</v>
      </c>
      <c r="E41">
        <f t="shared" si="0"/>
        <v>80.541237915354102</v>
      </c>
      <c r="F41">
        <f t="shared" ref="E41:G41" si="41" xml:space="preserve"> (E42-E41)/$A41</f>
        <v>127.72489537156559</v>
      </c>
      <c r="G41">
        <f t="shared" si="41"/>
        <v>22.749111006561407</v>
      </c>
      <c r="H41">
        <f>Main!N41</f>
        <v>6.4090999999999995E-2</v>
      </c>
    </row>
    <row r="42" spans="1:8" x14ac:dyDescent="0.25">
      <c r="A42">
        <f>Main!$K$2</f>
        <v>0.02</v>
      </c>
      <c r="B42">
        <f>Main!S42</f>
        <v>27.248370928754923</v>
      </c>
      <c r="C42">
        <f>Main!T42</f>
        <v>-12.088886044465495</v>
      </c>
      <c r="D42">
        <f t="shared" si="29"/>
        <v>27.276505462560159</v>
      </c>
      <c r="E42">
        <f t="shared" si="0"/>
        <v>83.095735822785414</v>
      </c>
      <c r="F42">
        <f t="shared" ref="E42:G42" si="42" xml:space="preserve"> (E43-E42)/$A42</f>
        <v>128.17987759169682</v>
      </c>
      <c r="G42">
        <f t="shared" si="42"/>
        <v>-183.75089140846512</v>
      </c>
      <c r="H42">
        <f>Main!N42</f>
        <v>6.8953E-2</v>
      </c>
    </row>
    <row r="43" spans="1:8" x14ac:dyDescent="0.25">
      <c r="A43">
        <f>Main!$K$2</f>
        <v>0.02</v>
      </c>
      <c r="B43">
        <f>Main!S43</f>
        <v>28.90573996506436</v>
      </c>
      <c r="C43">
        <f>Main!T43</f>
        <v>-11.966051186811843</v>
      </c>
      <c r="D43">
        <f t="shared" si="29"/>
        <v>28.938420179015868</v>
      </c>
      <c r="E43">
        <f t="shared" si="0"/>
        <v>85.659333374619351</v>
      </c>
      <c r="F43">
        <f t="shared" ref="E43:G43" si="43" xml:space="preserve"> (E44-E43)/$A43</f>
        <v>124.50485976352752</v>
      </c>
      <c r="G43">
        <f t="shared" si="43"/>
        <v>-388.75088189534779</v>
      </c>
      <c r="H43">
        <f>Main!N43</f>
        <v>7.4081999999999995E-2</v>
      </c>
    </row>
    <row r="44" spans="1:8" x14ac:dyDescent="0.25">
      <c r="A44">
        <f>Main!$K$2</f>
        <v>0.02</v>
      </c>
      <c r="B44">
        <f>Main!S44</f>
        <v>30.613531784028947</v>
      </c>
      <c r="C44">
        <f>Main!T44</f>
        <v>-11.830199573824371</v>
      </c>
      <c r="D44">
        <f t="shared" si="29"/>
        <v>30.651606846508255</v>
      </c>
      <c r="E44">
        <f t="shared" si="0"/>
        <v>88.149430569889901</v>
      </c>
      <c r="F44">
        <f t="shared" ref="E44:G44" si="44" xml:space="preserve"> (E45-E44)/$A44</f>
        <v>116.72984212562056</v>
      </c>
      <c r="G44">
        <f t="shared" si="44"/>
        <v>-391.87589810875778</v>
      </c>
      <c r="H44">
        <f>Main!N44</f>
        <v>7.9491999999999993E-2</v>
      </c>
    </row>
    <row r="45" spans="1:8" x14ac:dyDescent="0.25">
      <c r="A45">
        <f>Main!$K$2</f>
        <v>0.02</v>
      </c>
      <c r="B45">
        <f>Main!S45</f>
        <v>32.370144619839046</v>
      </c>
      <c r="C45">
        <f>Main!T45</f>
        <v>-11.680399076543655</v>
      </c>
      <c r="D45">
        <f t="shared" si="29"/>
        <v>32.414595457906053</v>
      </c>
      <c r="E45">
        <f t="shared" si="0"/>
        <v>90.484027412402313</v>
      </c>
      <c r="F45">
        <f t="shared" ref="E45:G45" si="45" xml:space="preserve"> (E46-E45)/$A45</f>
        <v>108.89232416344541</v>
      </c>
      <c r="G45">
        <f t="shared" si="45"/>
        <v>-390.50099595261401</v>
      </c>
      <c r="H45">
        <f>Main!N45</f>
        <v>8.5192000000000004E-2</v>
      </c>
    </row>
    <row r="46" spans="1:8" x14ac:dyDescent="0.25">
      <c r="A46">
        <f>Main!$K$2</f>
        <v>0.02</v>
      </c>
      <c r="B46">
        <f>Main!S46</f>
        <v>34.172327828394486</v>
      </c>
      <c r="C46">
        <f>Main!T46</f>
        <v>-11.515840972798602</v>
      </c>
      <c r="D46">
        <f t="shared" si="29"/>
        <v>34.224276006154099</v>
      </c>
      <c r="E46">
        <f t="shared" si="0"/>
        <v>92.661873895671221</v>
      </c>
      <c r="F46">
        <f t="shared" ref="E46:G46" si="46" xml:space="preserve"> (E47-E46)/$A46</f>
        <v>101.08230424439313</v>
      </c>
      <c r="G46">
        <f t="shared" si="46"/>
        <v>-388.50110869503851</v>
      </c>
      <c r="H46">
        <f>Main!N46</f>
        <v>9.1187000000000004E-2</v>
      </c>
    </row>
    <row r="47" spans="1:8" x14ac:dyDescent="0.25">
      <c r="A47">
        <f>Main!$K$2</f>
        <v>0.02</v>
      </c>
      <c r="B47">
        <f>Main!S47</f>
        <v>36.016792255476958</v>
      </c>
      <c r="C47">
        <f>Main!T47</f>
        <v>-11.335729544037866</v>
      </c>
      <c r="D47">
        <f t="shared" si="29"/>
        <v>36.077513484067524</v>
      </c>
      <c r="E47">
        <f t="shared" si="0"/>
        <v>94.683519980559083</v>
      </c>
      <c r="F47">
        <f t="shared" ref="E47:G47" si="47" xml:space="preserve"> (E48-E47)/$A47</f>
        <v>93.312282070492358</v>
      </c>
      <c r="G47">
        <f t="shared" si="47"/>
        <v>-392.00111731485521</v>
      </c>
      <c r="H47">
        <f>Main!N47</f>
        <v>9.7479999999999997E-2</v>
      </c>
    </row>
    <row r="48" spans="1:8" x14ac:dyDescent="0.25">
      <c r="A48">
        <f>Main!$K$2</f>
        <v>0.02</v>
      </c>
      <c r="B48">
        <f>Main!S48</f>
        <v>37.900245512433663</v>
      </c>
      <c r="C48">
        <f>Main!T48</f>
        <v>-11.139282576072574</v>
      </c>
      <c r="D48">
        <f t="shared" si="29"/>
        <v>37.971183883678705</v>
      </c>
      <c r="E48">
        <f t="shared" si="0"/>
        <v>96.54976562196893</v>
      </c>
      <c r="F48">
        <f t="shared" ref="E48:G48" si="48" xml:space="preserve"> (E49-E48)/$A48</f>
        <v>85.472259724195254</v>
      </c>
      <c r="G48">
        <f t="shared" si="48"/>
        <v>-393.75114597017813</v>
      </c>
      <c r="H48">
        <f>Main!N48</f>
        <v>0.104075</v>
      </c>
    </row>
    <row r="49" spans="1:8" x14ac:dyDescent="0.25">
      <c r="A49">
        <f>Main!$K$2</f>
        <v>0.02</v>
      </c>
      <c r="B49">
        <f>Main!S49</f>
        <v>39.819396324660801</v>
      </c>
      <c r="C49">
        <f>Main!T49</f>
        <v>-10.925733854252973</v>
      </c>
      <c r="D49">
        <f t="shared" si="29"/>
        <v>39.902179196118084</v>
      </c>
      <c r="E49">
        <f t="shared" si="0"/>
        <v>98.259210816452836</v>
      </c>
      <c r="F49">
        <f t="shared" ref="E49:G49" si="49" xml:space="preserve"> (E50-E49)/$A49</f>
        <v>77.597236804791692</v>
      </c>
      <c r="G49">
        <f t="shared" si="49"/>
        <v>-391.75125709078884</v>
      </c>
      <c r="H49">
        <f>Main!N49</f>
        <v>0.11097700000000001</v>
      </c>
    </row>
    <row r="50" spans="1:8" x14ac:dyDescent="0.25">
      <c r="A50">
        <f>Main!$K$2</f>
        <v>0.02</v>
      </c>
      <c r="B50">
        <f>Main!S50</f>
        <v>41.770910871399224</v>
      </c>
      <c r="C50">
        <f>Main!T50</f>
        <v>-10.694346780333127</v>
      </c>
      <c r="D50">
        <f t="shared" si="29"/>
        <v>41.867363412447141</v>
      </c>
      <c r="E50">
        <f t="shared" si="0"/>
        <v>99.811155552548669</v>
      </c>
      <c r="F50">
        <f t="shared" ref="E50:G50" si="50" xml:space="preserve"> (E51-E50)/$A50</f>
        <v>69.762211662975915</v>
      </c>
      <c r="G50">
        <f t="shared" si="50"/>
        <v>-395.12623091120247</v>
      </c>
      <c r="H50">
        <f>Main!N50</f>
        <v>0.118189</v>
      </c>
    </row>
    <row r="51" spans="1:8" x14ac:dyDescent="0.25">
      <c r="A51">
        <f>Main!$K$2</f>
        <v>0.02</v>
      </c>
      <c r="B51">
        <f>Main!S51</f>
        <v>43.75142693443189</v>
      </c>
      <c r="C51">
        <f>Main!T51</f>
        <v>-10.444421125060156</v>
      </c>
      <c r="D51">
        <f t="shared" si="29"/>
        <v>43.863586523498114</v>
      </c>
      <c r="E51">
        <f t="shared" si="0"/>
        <v>101.20639978580819</v>
      </c>
      <c r="F51">
        <f t="shared" ref="E51:G51" si="51" xml:space="preserve"> (E52-E51)/$A51</f>
        <v>61.859687044751865</v>
      </c>
      <c r="G51">
        <f t="shared" si="51"/>
        <v>-392.2513959597751</v>
      </c>
      <c r="H51">
        <f>Main!N51</f>
        <v>0.12571299999999999</v>
      </c>
    </row>
    <row r="52" spans="1:8" x14ac:dyDescent="0.25">
      <c r="A52">
        <f>Main!$K$2</f>
        <v>0.02</v>
      </c>
      <c r="B52">
        <f>Main!S52</f>
        <v>45.757583579029365</v>
      </c>
      <c r="C52">
        <f>Main!T52</f>
        <v>-10.175293533796602</v>
      </c>
      <c r="D52">
        <f t="shared" si="29"/>
        <v>45.887714519214278</v>
      </c>
      <c r="E52">
        <f t="shared" si="0"/>
        <v>102.44359352670322</v>
      </c>
      <c r="F52">
        <f t="shared" ref="E52:G52" si="52" xml:space="preserve"> (E53-E52)/$A52</f>
        <v>54.014659125556364</v>
      </c>
      <c r="G52">
        <f t="shared" si="52"/>
        <v>-399.87617835901546</v>
      </c>
      <c r="H52">
        <f>Main!N52</f>
        <v>0.133552</v>
      </c>
    </row>
    <row r="53" spans="1:8" x14ac:dyDescent="0.25">
      <c r="A53">
        <f>Main!$K$2</f>
        <v>0.02</v>
      </c>
      <c r="B53">
        <f>Main!S53</f>
        <v>47.785979288604068</v>
      </c>
      <c r="C53">
        <f>Main!T53</f>
        <v>-9.8863527314777002</v>
      </c>
      <c r="D53">
        <f t="shared" si="29"/>
        <v>47.936586389748342</v>
      </c>
      <c r="E53">
        <f t="shared" si="0"/>
        <v>103.52388670921435</v>
      </c>
      <c r="F53">
        <f t="shared" ref="E53:G53" si="53" xml:space="preserve"> (E54-E53)/$A53</f>
        <v>46.017135558376054</v>
      </c>
      <c r="G53">
        <f t="shared" si="53"/>
        <v>-398.37625905025931</v>
      </c>
      <c r="H53">
        <f>Main!N53</f>
        <v>0.141707</v>
      </c>
    </row>
    <row r="54" spans="1:8" x14ac:dyDescent="0.25">
      <c r="A54">
        <f>Main!$K$2</f>
        <v>0.02</v>
      </c>
      <c r="B54">
        <f>Main!S54</f>
        <v>49.833221535535181</v>
      </c>
      <c r="C54">
        <f>Main!T54</f>
        <v>-9.5770353699647472</v>
      </c>
      <c r="D54">
        <f t="shared" si="29"/>
        <v>50.007064123932629</v>
      </c>
      <c r="E54">
        <f t="shared" si="0"/>
        <v>104.44422942038187</v>
      </c>
      <c r="F54">
        <f t="shared" ref="E54:G54" si="54" xml:space="preserve"> (E55-E54)/$A54</f>
        <v>38.049610377370868</v>
      </c>
      <c r="G54">
        <f t="shared" si="54"/>
        <v>-398.75128666988502</v>
      </c>
      <c r="H54">
        <f>Main!N54</f>
        <v>0.15018100000000001</v>
      </c>
    </row>
    <row r="55" spans="1:8" x14ac:dyDescent="0.25">
      <c r="A55">
        <f>Main!$K$2</f>
        <v>0.02</v>
      </c>
      <c r="B55">
        <f>Main!S55</f>
        <v>51.895845879464233</v>
      </c>
      <c r="C55">
        <f>Main!T55</f>
        <v>-9.2468541477273316</v>
      </c>
      <c r="D55">
        <f t="shared" si="29"/>
        <v>52.095948712340267</v>
      </c>
      <c r="E55">
        <f t="shared" si="0"/>
        <v>105.20522162792929</v>
      </c>
      <c r="F55">
        <f t="shared" ref="E55:G55" si="55" xml:space="preserve"> (E56-E55)/$A55</f>
        <v>30.074584643973168</v>
      </c>
      <c r="G55">
        <f t="shared" si="55"/>
        <v>-404.62602256763347</v>
      </c>
      <c r="H55">
        <f>Main!N55</f>
        <v>0.158972</v>
      </c>
    </row>
    <row r="56" spans="1:8" x14ac:dyDescent="0.25">
      <c r="A56">
        <f>Main!$K$2</f>
        <v>0.02</v>
      </c>
      <c r="B56">
        <f>Main!S56</f>
        <v>53.970389277395277</v>
      </c>
      <c r="C56">
        <f>Main!T56</f>
        <v>-8.895392694345329</v>
      </c>
      <c r="D56">
        <f t="shared" si="29"/>
        <v>54.200053144898853</v>
      </c>
      <c r="E56">
        <f t="shared" si="0"/>
        <v>105.80671332080875</v>
      </c>
      <c r="F56">
        <f t="shared" ref="E56:G56" si="56" xml:space="preserve"> (E57-E56)/$A56</f>
        <v>21.982064192620498</v>
      </c>
      <c r="G56">
        <f t="shared" si="56"/>
        <v>-403.50106878506153</v>
      </c>
      <c r="H56">
        <f>Main!N56</f>
        <v>0.16807900000000001</v>
      </c>
    </row>
    <row r="57" spans="1:8" x14ac:dyDescent="0.25">
      <c r="A57">
        <f>Main!$K$2</f>
        <v>0.02</v>
      </c>
      <c r="B57">
        <f>Main!S57</f>
        <v>56.05337668282769</v>
      </c>
      <c r="C57">
        <f>Main!T57</f>
        <v>-8.522314013219404</v>
      </c>
      <c r="D57">
        <f t="shared" si="29"/>
        <v>56.316187411315028</v>
      </c>
      <c r="E57">
        <f t="shared" si="0"/>
        <v>106.24635460466116</v>
      </c>
      <c r="F57">
        <f t="shared" ref="E57:G57" si="57" xml:space="preserve"> (E58-E57)/$A57</f>
        <v>13.912042816919268</v>
      </c>
      <c r="G57">
        <f t="shared" si="57"/>
        <v>-198.37638432562699</v>
      </c>
      <c r="H57">
        <f>Main!N57</f>
        <v>0.17750099999999999</v>
      </c>
    </row>
    <row r="58" spans="1:8" x14ac:dyDescent="0.25">
      <c r="A58">
        <f>Main!$K$2</f>
        <v>0.02</v>
      </c>
      <c r="B58">
        <f>Main!S58</f>
        <v>58.141281030478119</v>
      </c>
      <c r="C58">
        <f>Main!T58</f>
        <v>-8.127382903056878</v>
      </c>
      <c r="D58">
        <f t="shared" si="29"/>
        <v>58.441114503408251</v>
      </c>
      <c r="E58">
        <f t="shared" si="0"/>
        <v>106.52459546099955</v>
      </c>
      <c r="F58">
        <f t="shared" ref="E58:G58" si="58" xml:space="preserve"> (E59-E58)/$A58</f>
        <v>9.9445151304067281</v>
      </c>
      <c r="G58">
        <f t="shared" si="58"/>
        <v>17.872618613523628</v>
      </c>
      <c r="H58">
        <f>Main!N58</f>
        <v>0.18723300000000001</v>
      </c>
    </row>
    <row r="59" spans="1:8" x14ac:dyDescent="0.25">
      <c r="A59">
        <f>Main!$K$2</f>
        <v>0.02</v>
      </c>
      <c r="B59">
        <f>Main!S59</f>
        <v>60.2305805205933</v>
      </c>
      <c r="C59">
        <f>Main!T59</f>
        <v>-7.710461548535096</v>
      </c>
      <c r="D59">
        <f t="shared" si="29"/>
        <v>60.571606412628242</v>
      </c>
      <c r="E59">
        <f t="shared" si="0"/>
        <v>106.72348576360768</v>
      </c>
      <c r="F59">
        <f t="shared" ref="E59:G59" si="59" xml:space="preserve"> (E60-E59)/$A59</f>
        <v>10.301967502677201</v>
      </c>
      <c r="G59">
        <f t="shared" si="59"/>
        <v>11.372780263307902</v>
      </c>
      <c r="H59">
        <f>Main!N59</f>
        <v>0.197271</v>
      </c>
    </row>
    <row r="60" spans="1:8" x14ac:dyDescent="0.25">
      <c r="A60">
        <f>Main!$K$2</f>
        <v>0.02</v>
      </c>
      <c r="B60">
        <f>Main!S60</f>
        <v>62.319356406060088</v>
      </c>
      <c r="C60">
        <f>Main!T60</f>
        <v>-7.2711709093149803</v>
      </c>
      <c r="D60">
        <f t="shared" si="29"/>
        <v>62.706076127900396</v>
      </c>
      <c r="E60">
        <f t="shared" si="0"/>
        <v>106.92952511366123</v>
      </c>
      <c r="F60">
        <f t="shared" ref="E60:G60" si="60" xml:space="preserve"> (E61-E60)/$A60</f>
        <v>10.529423107943359</v>
      </c>
      <c r="G60">
        <f t="shared" si="60"/>
        <v>17.87223818983108</v>
      </c>
      <c r="H60">
        <f>Main!N60</f>
        <v>0.20761499999999999</v>
      </c>
    </row>
    <row r="61" spans="1:8" x14ac:dyDescent="0.25">
      <c r="A61">
        <f>Main!$K$2</f>
        <v>0.02</v>
      </c>
      <c r="B61">
        <f>Main!S61</f>
        <v>64.407362770037821</v>
      </c>
      <c r="C61">
        <f>Main!T61</f>
        <v>-6.8087871288882553</v>
      </c>
      <c r="D61">
        <f t="shared" si="29"/>
        <v>64.84466663017362</v>
      </c>
      <c r="E61">
        <f t="shared" si="0"/>
        <v>107.1401135758201</v>
      </c>
      <c r="F61">
        <f t="shared" ref="E61:G61" si="61" xml:space="preserve"> (E62-E61)/$A61</f>
        <v>10.88686787173998</v>
      </c>
      <c r="G61">
        <f t="shared" si="61"/>
        <v>16.247110201206283</v>
      </c>
      <c r="H61">
        <f>Main!N61</f>
        <v>0.218276</v>
      </c>
    </row>
    <row r="62" spans="1:8" x14ac:dyDescent="0.25">
      <c r="A62">
        <f>Main!$K$2</f>
        <v>0.02</v>
      </c>
      <c r="B62">
        <f>Main!S62</f>
        <v>66.494275882295682</v>
      </c>
      <c r="C62">
        <f>Main!T62</f>
        <v>-6.3225821960646016</v>
      </c>
      <c r="D62">
        <f t="shared" si="29"/>
        <v>66.987468901690022</v>
      </c>
      <c r="E62">
        <f t="shared" si="0"/>
        <v>107.35785093325489</v>
      </c>
      <c r="F62">
        <f t="shared" ref="E62:G62" si="62" xml:space="preserve"> (E63-E62)/$A62</f>
        <v>11.211810075764106</v>
      </c>
      <c r="G62">
        <f t="shared" si="62"/>
        <v>11.37220892566404</v>
      </c>
      <c r="H62">
        <f>Main!N62</f>
        <v>0.22926099999999999</v>
      </c>
    </row>
    <row r="63" spans="1:8" x14ac:dyDescent="0.25">
      <c r="A63">
        <f>Main!$K$2</f>
        <v>0.02</v>
      </c>
      <c r="B63">
        <f>Main!S63</f>
        <v>68.579792446506701</v>
      </c>
      <c r="C63">
        <f>Main!T63</f>
        <v>-5.8117946441369615</v>
      </c>
      <c r="D63">
        <f t="shared" si="29"/>
        <v>69.13462592035512</v>
      </c>
      <c r="E63">
        <f t="shared" si="0"/>
        <v>107.58208713477018</v>
      </c>
      <c r="F63">
        <f t="shared" ref="E63:G63" si="63" xml:space="preserve"> (E64-E63)/$A63</f>
        <v>11.439254254277387</v>
      </c>
      <c r="G63">
        <f t="shared" si="63"/>
        <v>17.871562421944986</v>
      </c>
      <c r="H63">
        <f>Main!N63</f>
        <v>0.24058099999999999</v>
      </c>
    </row>
    <row r="64" spans="1:8" x14ac:dyDescent="0.25">
      <c r="A64">
        <f>Main!$K$2</f>
        <v>0.02</v>
      </c>
      <c r="B64">
        <f>Main!S64</f>
        <v>70.663564566475713</v>
      </c>
      <c r="C64">
        <f>Main!T64</f>
        <v>-5.2756454662496965</v>
      </c>
      <c r="D64">
        <f t="shared" si="29"/>
        <v>71.286267663050523</v>
      </c>
      <c r="E64">
        <f t="shared" si="0"/>
        <v>107.81087221985572</v>
      </c>
      <c r="F64">
        <f t="shared" ref="E64:G64" si="64" xml:space="preserve"> (E65-E64)/$A64</f>
        <v>11.796685502716286</v>
      </c>
      <c r="G64">
        <f t="shared" si="64"/>
        <v>12.996654046304457</v>
      </c>
      <c r="H64">
        <f>Main!N64</f>
        <v>0.25224600000000003</v>
      </c>
    </row>
    <row r="65" spans="1:8" x14ac:dyDescent="0.25">
      <c r="A65">
        <f>Main!$K$2</f>
        <v>0.02</v>
      </c>
      <c r="B65">
        <f>Main!S65</f>
        <v>72.745174469889719</v>
      </c>
      <c r="C65">
        <f>Main!T65</f>
        <v>-4.7133520574930632</v>
      </c>
      <c r="D65">
        <f t="shared" si="29"/>
        <v>73.442485107447638</v>
      </c>
      <c r="E65">
        <f t="shared" si="0"/>
        <v>108.04680592991005</v>
      </c>
      <c r="F65">
        <f t="shared" ref="E65:G65" si="65" xml:space="preserve"> (E66-E65)/$A65</f>
        <v>12.056618583642376</v>
      </c>
      <c r="G65">
        <f t="shared" si="65"/>
        <v>14.621296298145126</v>
      </c>
      <c r="H65">
        <f>Main!N65</f>
        <v>0.26426300000000003</v>
      </c>
    </row>
    <row r="66" spans="1:8" x14ac:dyDescent="0.25">
      <c r="A66">
        <f>Main!$K$2</f>
        <v>0.02</v>
      </c>
      <c r="B66">
        <f>Main!S66</f>
        <v>74.824218799764125</v>
      </c>
      <c r="C66">
        <f>Main!T66</f>
        <v>-4.1240986458955415</v>
      </c>
      <c r="D66">
        <f t="shared" si="29"/>
        <v>75.603421226045839</v>
      </c>
      <c r="E66">
        <f t="shared" ref="E66:E129" si="66" xml:space="preserve"> IF(ISBLANK(D67), 0, (D67-D66)/$A66 )</f>
        <v>108.2879383015829</v>
      </c>
      <c r="F66">
        <f t="shared" ref="E66:G66" si="67" xml:space="preserve"> (E67-E66)/$A66</f>
        <v>12.349044509605278</v>
      </c>
      <c r="G66">
        <f t="shared" si="67"/>
        <v>14.621033633588354</v>
      </c>
      <c r="H66">
        <f>Main!N66</f>
        <v>0.27664299999999997</v>
      </c>
    </row>
    <row r="67" spans="1:8" x14ac:dyDescent="0.25">
      <c r="A67">
        <f>Main!$K$2</f>
        <v>0.02</v>
      </c>
      <c r="B67">
        <f>Main!S67</f>
        <v>76.900220125657484</v>
      </c>
      <c r="C67">
        <f>Main!T67</f>
        <v>-3.5070658043611669</v>
      </c>
      <c r="D67">
        <f t="shared" si="29"/>
        <v>77.769179992077497</v>
      </c>
      <c r="E67">
        <f t="shared" si="66"/>
        <v>108.534919191775</v>
      </c>
      <c r="F67">
        <f t="shared" ref="E67:G67" si="68" xml:space="preserve"> (E68-E67)/$A67</f>
        <v>12.641465182277045</v>
      </c>
      <c r="G67">
        <f t="shared" si="68"/>
        <v>11.371045731678464</v>
      </c>
      <c r="H67">
        <f>Main!N67</f>
        <v>0.28939399999999998</v>
      </c>
    </row>
    <row r="68" spans="1:8" x14ac:dyDescent="0.25">
      <c r="A68">
        <f>Main!$K$2</f>
        <v>0.02</v>
      </c>
      <c r="B68">
        <f>Main!S68</f>
        <v>78.972674765309179</v>
      </c>
      <c r="C68">
        <f>Main!T68</f>
        <v>-2.8614163327651472</v>
      </c>
      <c r="D68">
        <f t="shared" si="29"/>
        <v>79.939878375912997</v>
      </c>
      <c r="E68">
        <f t="shared" si="66"/>
        <v>108.78774849542054</v>
      </c>
      <c r="F68">
        <f t="shared" ref="E68:G68" si="69" xml:space="preserve"> (E69-E68)/$A68</f>
        <v>12.868886096910614</v>
      </c>
      <c r="G68">
        <f t="shared" si="69"/>
        <v>12.995650157776595</v>
      </c>
      <c r="H68">
        <f>Main!N68</f>
        <v>0.30252499999999999</v>
      </c>
    </row>
    <row r="69" spans="1:8" x14ac:dyDescent="0.25">
      <c r="A69">
        <f>Main!$K$2</f>
        <v>0.02</v>
      </c>
      <c r="B69">
        <f>Main!S69</f>
        <v>81.04103813510676</v>
      </c>
      <c r="C69">
        <f>Main!T69</f>
        <v>-2.1862995580063238</v>
      </c>
      <c r="D69">
        <f t="shared" si="29"/>
        <v>82.115633345821408</v>
      </c>
      <c r="E69">
        <f t="shared" si="66"/>
        <v>109.04512621735876</v>
      </c>
      <c r="F69">
        <f t="shared" ref="E69:G69" si="70" xml:space="preserve"> (E70-E69)/$A69</f>
        <v>13.128799100066146</v>
      </c>
      <c r="G69">
        <f t="shared" si="70"/>
        <v>11.370532101651065</v>
      </c>
      <c r="H69">
        <f>Main!N69</f>
        <v>0.31604500000000002</v>
      </c>
    </row>
    <row r="70" spans="1:8" x14ac:dyDescent="0.25">
      <c r="A70">
        <f>Main!$K$2</f>
        <v>0.02</v>
      </c>
      <c r="B70">
        <f>Main!S70</f>
        <v>83.104699325254344</v>
      </c>
      <c r="C70">
        <f>Main!T70</f>
        <v>-1.4808647183630654</v>
      </c>
      <c r="D70">
        <f t="shared" si="29"/>
        <v>84.296535870168583</v>
      </c>
      <c r="E70">
        <f t="shared" si="66"/>
        <v>109.30770219936008</v>
      </c>
      <c r="F70">
        <f t="shared" ref="E70:G70" si="71" xml:space="preserve"> (E71-E70)/$A70</f>
        <v>13.356209742099168</v>
      </c>
      <c r="G70">
        <f t="shared" si="71"/>
        <v>11.370266051358158</v>
      </c>
      <c r="H70">
        <f>Main!N70</f>
        <v>0.329961</v>
      </c>
    </row>
    <row r="71" spans="1:8" x14ac:dyDescent="0.25">
      <c r="A71">
        <f>Main!$K$2</f>
        <v>0.02</v>
      </c>
      <c r="B71">
        <f>Main!S71</f>
        <v>85.16301578458598</v>
      </c>
      <c r="C71">
        <f>Main!T71</f>
        <v>-0.74424890446406167</v>
      </c>
      <c r="D71">
        <f t="shared" si="29"/>
        <v>86.482689914155785</v>
      </c>
      <c r="E71">
        <f t="shared" si="66"/>
        <v>109.57482639420206</v>
      </c>
      <c r="F71">
        <f t="shared" ref="E71:G71" si="72" xml:space="preserve"> (E72-E71)/$A71</f>
        <v>13.583615063126331</v>
      </c>
      <c r="G71">
        <f t="shared" si="72"/>
        <v>4.8707057835883916</v>
      </c>
      <c r="H71">
        <f>Main!N71</f>
        <v>0.344281</v>
      </c>
    </row>
    <row r="72" spans="1:8" x14ac:dyDescent="0.25">
      <c r="A72">
        <f>Main!$K$2</f>
        <v>0.02</v>
      </c>
      <c r="B72">
        <f>Main!S72</f>
        <v>87.215287316415271</v>
      </c>
      <c r="C72">
        <f>Main!T72</f>
        <v>2.4411352977969258E-2</v>
      </c>
      <c r="D72">
        <f t="shared" si="29"/>
        <v>88.674186442039826</v>
      </c>
      <c r="E72">
        <f t="shared" si="66"/>
        <v>109.84649869546459</v>
      </c>
      <c r="F72">
        <f t="shared" ref="E72:G72" si="73" xml:space="preserve"> (E73-E72)/$A72</f>
        <v>13.681029178798099</v>
      </c>
      <c r="G72">
        <f t="shared" si="73"/>
        <v>9.74496458638896</v>
      </c>
      <c r="H72">
        <f>Main!N72</f>
        <v>0.359012</v>
      </c>
    </row>
    <row r="73" spans="1:8" x14ac:dyDescent="0.25">
      <c r="A73">
        <f>Main!$K$2</f>
        <v>0.02</v>
      </c>
      <c r="B73">
        <f>Main!S73</f>
        <v>89.26076652669876</v>
      </c>
      <c r="C73">
        <f>Main!T73</f>
        <v>0.82598237949970077</v>
      </c>
      <c r="D73">
        <f t="shared" si="29"/>
        <v>90.871116415949118</v>
      </c>
      <c r="E73">
        <f t="shared" si="66"/>
        <v>110.12011927904055</v>
      </c>
      <c r="F73">
        <f t="shared" ref="E73:G73" si="74" xml:space="preserve"> (E74-E73)/$A73</f>
        <v>13.875928470525878</v>
      </c>
      <c r="G73">
        <f t="shared" si="74"/>
        <v>1.620690547099457</v>
      </c>
      <c r="H73">
        <f>Main!N73</f>
        <v>0.37416100000000002</v>
      </c>
    </row>
    <row r="74" spans="1:8" x14ac:dyDescent="0.25">
      <c r="A74">
        <f>Main!$K$2</f>
        <v>0.02</v>
      </c>
      <c r="B74">
        <f>Main!S74</f>
        <v>91.298611774886211</v>
      </c>
      <c r="C74">
        <f>Main!T74</f>
        <v>1.6613044805193518</v>
      </c>
      <c r="D74">
        <f t="shared" si="29"/>
        <v>93.073518801529929</v>
      </c>
      <c r="E74">
        <f t="shared" si="66"/>
        <v>110.39763784845107</v>
      </c>
      <c r="F74">
        <f t="shared" ref="E74:G74" si="75" xml:space="preserve"> (E75-E74)/$A74</f>
        <v>13.908342281467867</v>
      </c>
      <c r="G74">
        <f t="shared" si="75"/>
        <v>6.494939610135475</v>
      </c>
      <c r="H74">
        <f>Main!N74</f>
        <v>0.38973099999999999</v>
      </c>
    </row>
    <row r="75" spans="1:8" x14ac:dyDescent="0.25">
      <c r="A75">
        <f>Main!$K$2</f>
        <v>0.02</v>
      </c>
      <c r="B75">
        <f>Main!S75</f>
        <v>93.327968491791296</v>
      </c>
      <c r="C75">
        <f>Main!T75</f>
        <v>2.5312278636740615</v>
      </c>
      <c r="D75">
        <f t="shared" si="29"/>
        <v>95.28147155849895</v>
      </c>
      <c r="E75">
        <f t="shared" si="66"/>
        <v>110.67580469408043</v>
      </c>
      <c r="F75">
        <f t="shared" ref="E75:G75" si="76" xml:space="preserve"> (E76-E75)/$A75</f>
        <v>14.038241073670576</v>
      </c>
      <c r="G75">
        <f t="shared" si="76"/>
        <v>-3.2539654473140445</v>
      </c>
      <c r="H75">
        <f>Main!N75</f>
        <v>0.40572799999999998</v>
      </c>
    </row>
    <row r="76" spans="1:8" x14ac:dyDescent="0.25">
      <c r="A76">
        <f>Main!$K$2</f>
        <v>0.02</v>
      </c>
      <c r="B76">
        <f>Main!S76</f>
        <v>95.347875443435854</v>
      </c>
      <c r="C76">
        <f>Main!T76</f>
        <v>3.4365617272685398</v>
      </c>
      <c r="D76">
        <f t="shared" si="29"/>
        <v>97.494987652380559</v>
      </c>
      <c r="E76">
        <f t="shared" si="66"/>
        <v>110.95656951555384</v>
      </c>
      <c r="F76">
        <f t="shared" ref="E76:G76" si="77" xml:space="preserve"> (E77-E76)/$A76</f>
        <v>13.973161764724296</v>
      </c>
      <c r="G76">
        <f t="shared" si="77"/>
        <v>-1.629229140931443</v>
      </c>
      <c r="H76">
        <f>Main!N76</f>
        <v>0.422153</v>
      </c>
    </row>
    <row r="77" spans="1:8" x14ac:dyDescent="0.25">
      <c r="A77">
        <f>Main!$K$2</f>
        <v>0.02</v>
      </c>
      <c r="B77">
        <f>Main!S77</f>
        <v>97.357357392976823</v>
      </c>
      <c r="C77">
        <f>Main!T77</f>
        <v>4.3781170479656257</v>
      </c>
      <c r="D77">
        <f t="shared" si="29"/>
        <v>99.714119042691635</v>
      </c>
      <c r="E77">
        <f t="shared" si="66"/>
        <v>111.23603275084832</v>
      </c>
      <c r="F77">
        <f t="shared" ref="E77:G77" si="78" xml:space="preserve"> (E78-E77)/$A77</f>
        <v>13.940577181905667</v>
      </c>
      <c r="G77">
        <f t="shared" si="78"/>
        <v>-4.8788124296095248</v>
      </c>
      <c r="H77">
        <f>Main!N77</f>
        <v>0.43901000000000001</v>
      </c>
    </row>
    <row r="78" spans="1:8" x14ac:dyDescent="0.25">
      <c r="A78">
        <f>Main!$K$2</f>
        <v>0.02</v>
      </c>
      <c r="B78">
        <f>Main!S78</f>
        <v>99.355322642193627</v>
      </c>
      <c r="C78">
        <f>Main!T78</f>
        <v>5.3566449503685956</v>
      </c>
      <c r="D78">
        <f t="shared" si="29"/>
        <v>101.9388396977086</v>
      </c>
      <c r="E78">
        <f t="shared" si="66"/>
        <v>111.51484429448644</v>
      </c>
      <c r="F78">
        <f t="shared" ref="E78:G78" si="79" xml:space="preserve"> (E79-E78)/$A78</f>
        <v>13.843000933313476</v>
      </c>
      <c r="G78">
        <f t="shared" si="79"/>
        <v>-11.377806520940226</v>
      </c>
      <c r="H78">
        <f>Main!N78</f>
        <v>0.45629700000000001</v>
      </c>
    </row>
    <row r="79" spans="1:8" x14ac:dyDescent="0.25">
      <c r="A79">
        <f>Main!$K$2</f>
        <v>0.02</v>
      </c>
      <c r="B79">
        <f>Main!S79</f>
        <v>101.34064556023478</v>
      </c>
      <c r="C79">
        <f>Main!T79</f>
        <v>6.3728718493975549</v>
      </c>
      <c r="D79">
        <f t="shared" si="29"/>
        <v>104.16913658359833</v>
      </c>
      <c r="E79">
        <f t="shared" si="66"/>
        <v>111.79170431315271</v>
      </c>
      <c r="F79">
        <f t="shared" ref="E79:G79" si="80" xml:space="preserve"> (E80-E79)/$A79</f>
        <v>13.615444802894672</v>
      </c>
      <c r="G79">
        <f t="shared" si="80"/>
        <v>-9.7529314757593966</v>
      </c>
      <c r="H79">
        <f>Main!N79</f>
        <v>0.47401300000000002</v>
      </c>
    </row>
    <row r="80" spans="1:8" x14ac:dyDescent="0.25">
      <c r="A80">
        <f>Main!$K$2</f>
        <v>0.02</v>
      </c>
      <c r="B80">
        <f>Main!S80</f>
        <v>103.3121332552594</v>
      </c>
      <c r="C80">
        <f>Main!T80</f>
        <v>7.4274761968484011</v>
      </c>
      <c r="D80">
        <f t="shared" si="29"/>
        <v>106.40497066986138</v>
      </c>
      <c r="E80">
        <f t="shared" si="66"/>
        <v>112.0640132092106</v>
      </c>
      <c r="F80">
        <f t="shared" ref="E80:G80" si="81" xml:space="preserve"> (E81-E80)/$A80</f>
        <v>13.420386173379484</v>
      </c>
      <c r="G80">
        <f t="shared" si="81"/>
        <v>-19.501190456239215</v>
      </c>
      <c r="H80">
        <f>Main!N80</f>
        <v>0.49215500000000001</v>
      </c>
    </row>
    <row r="81" spans="1:8" x14ac:dyDescent="0.25">
      <c r="A81">
        <f>Main!$K$2</f>
        <v>0.02</v>
      </c>
      <c r="B81">
        <f>Main!S81</f>
        <v>105.26850796555816</v>
      </c>
      <c r="C81">
        <f>Main!T81</f>
        <v>8.5210644262679924</v>
      </c>
      <c r="D81">
        <f t="shared" si="29"/>
        <v>108.6462509340456</v>
      </c>
      <c r="E81">
        <f t="shared" si="66"/>
        <v>112.33242093267819</v>
      </c>
      <c r="F81">
        <f t="shared" ref="E81:G81" si="82" xml:space="preserve"> (E82-E81)/$A81</f>
        <v>13.0303623642547</v>
      </c>
      <c r="G81">
        <f t="shared" si="82"/>
        <v>-16.251450078996754</v>
      </c>
      <c r="H81">
        <f>Main!N81</f>
        <v>0.51071599999999995</v>
      </c>
    </row>
    <row r="82" spans="1:8" x14ac:dyDescent="0.25">
      <c r="A82">
        <f>Main!$K$2</f>
        <v>0.02</v>
      </c>
      <c r="B82">
        <f>Main!S82</f>
        <v>107.2084653738561</v>
      </c>
      <c r="C82">
        <f>Main!T82</f>
        <v>9.6541991804029461</v>
      </c>
      <c r="D82">
        <f t="shared" si="29"/>
        <v>110.89289935269916</v>
      </c>
      <c r="E82">
        <f t="shared" si="66"/>
        <v>112.59302817996328</v>
      </c>
      <c r="F82">
        <f t="shared" ref="E82:G82" si="83" xml:space="preserve"> (E83-E82)/$A82</f>
        <v>12.705333362674764</v>
      </c>
      <c r="G82">
        <f t="shared" si="83"/>
        <v>-29.248864313657919</v>
      </c>
      <c r="H82">
        <f>Main!N82</f>
        <v>0.52968999999999999</v>
      </c>
    </row>
    <row r="83" spans="1:8" x14ac:dyDescent="0.25">
      <c r="A83">
        <f>Main!$K$2</f>
        <v>0.02</v>
      </c>
      <c r="B83">
        <f>Main!S83</f>
        <v>109.13060366210189</v>
      </c>
      <c r="C83">
        <f>Main!T83</f>
        <v>10.827340433088718</v>
      </c>
      <c r="D83">
        <f t="shared" si="29"/>
        <v>113.14475991629843</v>
      </c>
      <c r="E83">
        <f t="shared" si="66"/>
        <v>112.84713484721678</v>
      </c>
      <c r="F83">
        <f t="shared" ref="E83:G83" si="84" xml:space="preserve"> (E84-E83)/$A83</f>
        <v>12.120356076401606</v>
      </c>
      <c r="G83">
        <f t="shared" si="84"/>
        <v>-24.374282558525806</v>
      </c>
      <c r="H83">
        <f>Main!N83</f>
        <v>0.54906500000000003</v>
      </c>
    </row>
    <row r="84" spans="1:8" x14ac:dyDescent="0.25">
      <c r="A84">
        <f>Main!$K$2</f>
        <v>0.02</v>
      </c>
      <c r="B84">
        <f>Main!S84</f>
        <v>111.03351502344361</v>
      </c>
      <c r="C84">
        <f>Main!T84</f>
        <v>12.04089664858388</v>
      </c>
      <c r="D84">
        <f t="shared" si="29"/>
        <v>115.40170261324276</v>
      </c>
      <c r="E84">
        <f t="shared" si="66"/>
        <v>113.08954196874481</v>
      </c>
      <c r="F84">
        <f t="shared" ref="E84:G84" si="85" xml:space="preserve"> (E85-E84)/$A84</f>
        <v>11.63287042523109</v>
      </c>
      <c r="G84">
        <f t="shared" si="85"/>
        <v>-34.122017941839999</v>
      </c>
      <c r="H84">
        <f>Main!N84</f>
        <v>0.56883099999999998</v>
      </c>
    </row>
    <row r="85" spans="1:8" x14ac:dyDescent="0.25">
      <c r="A85">
        <f>Main!$K$2</f>
        <v>0.02</v>
      </c>
      <c r="B85">
        <f>Main!S85</f>
        <v>112.91568729718621</v>
      </c>
      <c r="C85">
        <f>Main!T85</f>
        <v>13.295139580808273</v>
      </c>
      <c r="D85">
        <f t="shared" si="29"/>
        <v>117.66349345261766</v>
      </c>
      <c r="E85">
        <f t="shared" si="66"/>
        <v>113.32219937724943</v>
      </c>
      <c r="F85">
        <f t="shared" ref="E85:G85" si="86" xml:space="preserve"> (E86-E85)/$A85</f>
        <v>10.95043006639429</v>
      </c>
      <c r="G85">
        <f t="shared" si="86"/>
        <v>-37.370824305327233</v>
      </c>
      <c r="H85">
        <f>Main!N85</f>
        <v>0.58896999999999999</v>
      </c>
    </row>
    <row r="86" spans="1:8" x14ac:dyDescent="0.25">
      <c r="A86">
        <f>Main!$K$2</f>
        <v>0.02</v>
      </c>
      <c r="B86">
        <f>Main!S86</f>
        <v>114.77562719176402</v>
      </c>
      <c r="C86">
        <f>Main!T86</f>
        <v>14.590281247668216</v>
      </c>
      <c r="D86">
        <f t="shared" si="29"/>
        <v>119.92993744016265</v>
      </c>
      <c r="E86">
        <f t="shared" si="66"/>
        <v>113.54120797857732</v>
      </c>
      <c r="F86">
        <f t="shared" ref="E86:G86" si="87" xml:space="preserve"> (E87-E86)/$A86</f>
        <v>10.203013580287745</v>
      </c>
      <c r="G86">
        <f t="shared" si="87"/>
        <v>-42.244256206913633</v>
      </c>
      <c r="H86">
        <f>Main!N86</f>
        <v>0.60946699999999998</v>
      </c>
    </row>
    <row r="87" spans="1:8" x14ac:dyDescent="0.25">
      <c r="A87">
        <f>Main!$K$2</f>
        <v>0.02</v>
      </c>
      <c r="B87">
        <f>Main!S87</f>
        <v>116.61177420531709</v>
      </c>
      <c r="C87">
        <f>Main!T87</f>
        <v>15.926397450815957</v>
      </c>
      <c r="D87">
        <f t="shared" si="29"/>
        <v>122.20076159973419</v>
      </c>
      <c r="E87">
        <f t="shared" si="66"/>
        <v>113.74526825018307</v>
      </c>
      <c r="F87">
        <f t="shared" ref="E87:G87" si="88" xml:space="preserve"> (E88-E87)/$A87</f>
        <v>9.3581284561494726</v>
      </c>
      <c r="G87">
        <f t="shared" si="88"/>
        <v>-43.868300290128559</v>
      </c>
      <c r="H87">
        <f>Main!N87</f>
        <v>0.630301</v>
      </c>
    </row>
    <row r="88" spans="1:8" x14ac:dyDescent="0.25">
      <c r="A88">
        <f>Main!$K$2</f>
        <v>0.02</v>
      </c>
      <c r="B88">
        <f>Main!S88</f>
        <v>118.42255382408725</v>
      </c>
      <c r="C88">
        <f>Main!T88</f>
        <v>17.303449226156687</v>
      </c>
      <c r="D88">
        <f t="shared" si="29"/>
        <v>124.47566696473785</v>
      </c>
      <c r="E88">
        <f t="shared" si="66"/>
        <v>113.93243081930606</v>
      </c>
      <c r="F88">
        <f t="shared" ref="E88:G88" si="89" xml:space="preserve"> (E89-E88)/$A88</f>
        <v>8.4807624503469015</v>
      </c>
      <c r="G88">
        <f t="shared" si="89"/>
        <v>-47.11701856230377</v>
      </c>
      <c r="H88">
        <f>Main!N88</f>
        <v>0.65144899999999994</v>
      </c>
    </row>
    <row r="89" spans="1:8" x14ac:dyDescent="0.25">
      <c r="A89">
        <f>Main!$K$2</f>
        <v>0.02</v>
      </c>
      <c r="B89">
        <f>Main!S89</f>
        <v>120.20637813350174</v>
      </c>
      <c r="C89">
        <f>Main!T89</f>
        <v>18.721268096852196</v>
      </c>
      <c r="D89">
        <f t="shared" si="29"/>
        <v>126.75431558112398</v>
      </c>
      <c r="E89">
        <f t="shared" si="66"/>
        <v>114.102046068313</v>
      </c>
      <c r="F89">
        <f t="shared" ref="E89:G89" si="90" xml:space="preserve"> (E90-E89)/$A89</f>
        <v>7.5384220791008261</v>
      </c>
      <c r="G89">
        <f t="shared" si="90"/>
        <v>-56.86434366403148</v>
      </c>
      <c r="H89">
        <f>Main!N89</f>
        <v>0.67288499999999996</v>
      </c>
    </row>
    <row r="90" spans="1:8" x14ac:dyDescent="0.25">
      <c r="A90">
        <f>Main!$K$2</f>
        <v>0.02</v>
      </c>
      <c r="B90">
        <f>Main!S90</f>
        <v>121.96167572166377</v>
      </c>
      <c r="C90">
        <f>Main!T90</f>
        <v>20.17956886959518</v>
      </c>
      <c r="D90">
        <f t="shared" si="29"/>
        <v>129.03635650249024</v>
      </c>
      <c r="E90">
        <f t="shared" si="66"/>
        <v>114.25281450989502</v>
      </c>
      <c r="F90">
        <f t="shared" ref="E90:G90" si="91" xml:space="preserve"> (E91-E90)/$A90</f>
        <v>6.4011352058201965</v>
      </c>
      <c r="G90">
        <f t="shared" si="91"/>
        <v>-50.365156923248833</v>
      </c>
      <c r="H90">
        <f>Main!N90</f>
        <v>0.69458200000000003</v>
      </c>
    </row>
    <row r="91" spans="1:8" x14ac:dyDescent="0.25">
      <c r="A91">
        <f>Main!$K$2</f>
        <v>0.02</v>
      </c>
      <c r="B91">
        <f>Main!S91</f>
        <v>123.6868918005248</v>
      </c>
      <c r="C91">
        <f>Main!T91</f>
        <v>21.677938560496717</v>
      </c>
      <c r="D91">
        <f t="shared" si="29"/>
        <v>131.32141279268814</v>
      </c>
      <c r="E91">
        <f t="shared" si="66"/>
        <v>114.38083721401142</v>
      </c>
      <c r="F91">
        <f t="shared" ref="E91:G91" si="92" xml:space="preserve"> (E92-E91)/$A91</f>
        <v>5.3938320673552198</v>
      </c>
      <c r="G91">
        <f t="shared" si="92"/>
        <v>-60.112552692004328</v>
      </c>
      <c r="H91">
        <f>Main!N91</f>
        <v>0.71651100000000001</v>
      </c>
    </row>
    <row r="92" spans="1:8" x14ac:dyDescent="0.25">
      <c r="A92">
        <f>Main!$K$2</f>
        <v>0.02</v>
      </c>
      <c r="B92">
        <f>Main!S92</f>
        <v>125.38046646441447</v>
      </c>
      <c r="C92">
        <f>Main!T92</f>
        <v>23.215792658433937</v>
      </c>
      <c r="D92">
        <f t="shared" si="29"/>
        <v>133.60902953696836</v>
      </c>
      <c r="E92">
        <f t="shared" si="66"/>
        <v>114.48871385535853</v>
      </c>
      <c r="F92">
        <f t="shared" ref="E92:G92" si="93" xml:space="preserve"> (E93-E92)/$A92</f>
        <v>4.1915810135151332</v>
      </c>
      <c r="G92">
        <f t="shared" si="93"/>
        <v>-58.487487009983852</v>
      </c>
      <c r="H92">
        <f>Main!N92</f>
        <v>0.73863699999999999</v>
      </c>
    </row>
    <row r="93" spans="1:8" x14ac:dyDescent="0.25">
      <c r="A93">
        <f>Main!$K$2</f>
        <v>0.02</v>
      </c>
      <c r="B93">
        <f>Main!S93</f>
        <v>127.04093682099997</v>
      </c>
      <c r="C93">
        <f>Main!T93</f>
        <v>24.792467778743259</v>
      </c>
      <c r="D93">
        <f t="shared" si="29"/>
        <v>135.89880381407554</v>
      </c>
      <c r="E93">
        <f t="shared" si="66"/>
        <v>114.57254547562883</v>
      </c>
      <c r="F93">
        <f t="shared" ref="E93:G93" si="94" xml:space="preserve"> (E94-E93)/$A93</f>
        <v>3.0218312733154562</v>
      </c>
      <c r="G93">
        <f t="shared" si="94"/>
        <v>-63.361097943470668</v>
      </c>
      <c r="H93">
        <f>Main!N93</f>
        <v>0.76092899999999997</v>
      </c>
    </row>
    <row r="94" spans="1:8" x14ac:dyDescent="0.25">
      <c r="A94">
        <f>Main!$K$2</f>
        <v>0.02</v>
      </c>
      <c r="B94">
        <f>Main!S94</f>
        <v>128.66685656524675</v>
      </c>
      <c r="C94">
        <f>Main!T94</f>
        <v>26.407129432457296</v>
      </c>
      <c r="D94">
        <f t="shared" ref="D94:D157" si="95">D93 + SQRT( (B94-B93)^2  + (C94-C93)^2 )</f>
        <v>138.19025472358811</v>
      </c>
      <c r="E94">
        <f t="shared" si="66"/>
        <v>114.63298210109514</v>
      </c>
      <c r="F94">
        <f t="shared" ref="E94:G94" si="96" xml:space="preserve"> (E95-E94)/$A94</f>
        <v>1.7546093144460428</v>
      </c>
      <c r="G94">
        <f t="shared" si="96"/>
        <v>-60.111633629844619</v>
      </c>
      <c r="H94">
        <f>Main!N94</f>
        <v>0.78334999999999999</v>
      </c>
    </row>
    <row r="95" spans="1:8" x14ac:dyDescent="0.25">
      <c r="A95">
        <f>Main!$K$2</f>
        <v>0.02</v>
      </c>
      <c r="B95">
        <f>Main!S95</f>
        <v>130.25687143374071</v>
      </c>
      <c r="C95">
        <f>Main!T95</f>
        <v>28.058837927357075</v>
      </c>
      <c r="D95">
        <f t="shared" si="95"/>
        <v>140.48291436561001</v>
      </c>
      <c r="E95">
        <f t="shared" si="66"/>
        <v>114.66807428738406</v>
      </c>
      <c r="F95">
        <f t="shared" ref="E95:G95" si="97" xml:space="preserve"> (E96-E95)/$A95</f>
        <v>0.55237664184915047</v>
      </c>
      <c r="G95">
        <f t="shared" si="97"/>
        <v>-61.736214181706828</v>
      </c>
      <c r="H95">
        <f>Main!N95</f>
        <v>0.80586400000000002</v>
      </c>
    </row>
    <row r="96" spans="1:8" x14ac:dyDescent="0.25">
      <c r="A96">
        <f>Main!$K$2</f>
        <v>0.02</v>
      </c>
      <c r="B96">
        <f>Main!S96</f>
        <v>131.80969493032259</v>
      </c>
      <c r="C96">
        <f>Main!T96</f>
        <v>29.746512686537315</v>
      </c>
      <c r="D96">
        <f t="shared" si="95"/>
        <v>142.7762758513577</v>
      </c>
      <c r="E96">
        <f t="shared" si="66"/>
        <v>114.67912182022104</v>
      </c>
      <c r="F96">
        <f t="shared" ref="E96:G96" si="98" xml:space="preserve"> (E97-E96)/$A96</f>
        <v>-0.68234764178498608</v>
      </c>
      <c r="G96">
        <f t="shared" si="98"/>
        <v>-61.736286479430191</v>
      </c>
      <c r="H96">
        <f>Main!N96</f>
        <v>0.82843199999999995</v>
      </c>
    </row>
    <row r="97" spans="1:8" x14ac:dyDescent="0.25">
      <c r="A97">
        <f>Main!$K$2</f>
        <v>0.02</v>
      </c>
      <c r="B97">
        <f>Main!S97</f>
        <v>133.32415891747047</v>
      </c>
      <c r="C97">
        <f>Main!T97</f>
        <v>31.468987424876037</v>
      </c>
      <c r="D97">
        <f t="shared" si="95"/>
        <v>145.06985828776212</v>
      </c>
      <c r="E97">
        <f t="shared" si="66"/>
        <v>114.66547486738534</v>
      </c>
      <c r="F97">
        <f t="shared" ref="E97:G97" si="99" xml:space="preserve"> (E98-E97)/$A97</f>
        <v>-1.9170733713735899</v>
      </c>
      <c r="G97">
        <f t="shared" si="99"/>
        <v>-60.111846835297911</v>
      </c>
      <c r="H97">
        <f>Main!N97</f>
        <v>0.85101700000000002</v>
      </c>
    </row>
    <row r="98" spans="1:8" x14ac:dyDescent="0.25">
      <c r="A98">
        <f>Main!$K$2</f>
        <v>0.02</v>
      </c>
      <c r="B98">
        <f>Main!S98</f>
        <v>134.79919479738834</v>
      </c>
      <c r="C98">
        <f>Main!T98</f>
        <v>33.224987881476245</v>
      </c>
      <c r="D98">
        <f t="shared" si="95"/>
        <v>147.36316778510982</v>
      </c>
      <c r="E98">
        <f t="shared" si="66"/>
        <v>114.62713339995787</v>
      </c>
      <c r="F98">
        <f t="shared" ref="E98:G98" si="100" xml:space="preserve"> (E99-E98)/$A98</f>
        <v>-3.1193103080795481</v>
      </c>
      <c r="G98">
        <f t="shared" si="100"/>
        <v>-58.487520092853629</v>
      </c>
      <c r="H98">
        <f>Main!N98</f>
        <v>0.87358100000000005</v>
      </c>
    </row>
    <row r="99" spans="1:8" x14ac:dyDescent="0.25">
      <c r="A99">
        <f>Main!$K$2</f>
        <v>0.02</v>
      </c>
      <c r="B99">
        <f>Main!S99</f>
        <v>136.23384920735961</v>
      </c>
      <c r="C99">
        <f>Main!T99</f>
        <v>35.013148558973285</v>
      </c>
      <c r="D99">
        <f t="shared" si="95"/>
        <v>149.65571045310898</v>
      </c>
      <c r="E99">
        <f t="shared" si="66"/>
        <v>114.56474719379628</v>
      </c>
      <c r="F99">
        <f t="shared" ref="E99:G99" si="101" xml:space="preserve"> (E100-E99)/$A99</f>
        <v>-4.2890607099366207</v>
      </c>
      <c r="G99">
        <f t="shared" si="101"/>
        <v>-56.863293234954426</v>
      </c>
      <c r="H99">
        <f>Main!N99</f>
        <v>0.89608600000000005</v>
      </c>
    </row>
    <row r="100" spans="1:8" x14ac:dyDescent="0.25">
      <c r="A100">
        <f>Main!$K$2</f>
        <v>0.02</v>
      </c>
      <c r="B100">
        <f>Main!S100</f>
        <v>137.62729624164339</v>
      </c>
      <c r="C100">
        <f>Main!T100</f>
        <v>36.832032250273279</v>
      </c>
      <c r="D100">
        <f t="shared" si="95"/>
        <v>151.94700539698491</v>
      </c>
      <c r="E100">
        <f t="shared" si="66"/>
        <v>114.47896597959755</v>
      </c>
      <c r="F100">
        <f t="shared" ref="E100:G100" si="102" xml:space="preserve"> (E101-E100)/$A100</f>
        <v>-5.4263265746357092</v>
      </c>
      <c r="G100">
        <f t="shared" si="102"/>
        <v>-53.614495971743281</v>
      </c>
      <c r="H100">
        <f>Main!N100</f>
        <v>0.91849499999999995</v>
      </c>
    </row>
    <row r="101" spans="1:8" x14ac:dyDescent="0.25">
      <c r="A101">
        <f>Main!$K$2</f>
        <v>0.02</v>
      </c>
      <c r="B101">
        <f>Main!S101</f>
        <v>138.97883987930939</v>
      </c>
      <c r="C101">
        <f>Main!T101</f>
        <v>38.68014027097653</v>
      </c>
      <c r="D101">
        <f t="shared" si="95"/>
        <v>154.23658471657686</v>
      </c>
      <c r="E101">
        <f t="shared" si="66"/>
        <v>114.37043944810483</v>
      </c>
      <c r="F101">
        <f t="shared" ref="E101:G101" si="103" xml:space="preserve"> (E102-E101)/$A101</f>
        <v>-6.4986164940705748</v>
      </c>
      <c r="G101">
        <f t="shared" si="103"/>
        <v>-50.365744797886691</v>
      </c>
      <c r="H101">
        <f>Main!N101</f>
        <v>0.94077200000000005</v>
      </c>
    </row>
    <row r="102" spans="1:8" x14ac:dyDescent="0.25">
      <c r="A102">
        <f>Main!$K$2</f>
        <v>0.02</v>
      </c>
      <c r="B102">
        <f>Main!S102</f>
        <v>140.28791561634651</v>
      </c>
      <c r="C102">
        <f>Main!T102</f>
        <v>40.555922689734587</v>
      </c>
      <c r="D102">
        <f t="shared" si="95"/>
        <v>156.52399350553895</v>
      </c>
      <c r="E102">
        <f t="shared" si="66"/>
        <v>114.24046711822342</v>
      </c>
      <c r="F102">
        <f t="shared" ref="E102:G102" si="104" xml:space="preserve"> (E103-E102)/$A102</f>
        <v>-7.5059313900283087</v>
      </c>
      <c r="G102">
        <f t="shared" si="104"/>
        <v>-45.492346817610496</v>
      </c>
      <c r="H102">
        <f>Main!N102</f>
        <v>0.96288200000000002</v>
      </c>
    </row>
    <row r="103" spans="1:8" x14ac:dyDescent="0.25">
      <c r="A103">
        <f>Main!$K$2</f>
        <v>0.02</v>
      </c>
      <c r="B103">
        <f>Main!S103</f>
        <v>141.55409683079779</v>
      </c>
      <c r="C103">
        <f>Main!T103</f>
        <v>42.457800410074839</v>
      </c>
      <c r="D103">
        <f t="shared" si="95"/>
        <v>158.80880284790342</v>
      </c>
      <c r="E103">
        <f t="shared" si="66"/>
        <v>114.09034849042285</v>
      </c>
      <c r="F103">
        <f t="shared" ref="E103:G103" si="105" xml:space="preserve"> (E104-E103)/$A103</f>
        <v>-8.4157783263805186</v>
      </c>
      <c r="G103">
        <f t="shared" si="105"/>
        <v>-43.868279792746989</v>
      </c>
      <c r="H103">
        <f>Main!N103</f>
        <v>0.984792</v>
      </c>
    </row>
    <row r="104" spans="1:8" x14ac:dyDescent="0.25">
      <c r="A104">
        <f>Main!$K$2</f>
        <v>0.02</v>
      </c>
      <c r="B104">
        <f>Main!S104</f>
        <v>142.77709188267156</v>
      </c>
      <c r="C104">
        <f>Main!T104</f>
        <v>44.38417684020439</v>
      </c>
      <c r="D104">
        <f t="shared" si="95"/>
        <v>161.09060981771188</v>
      </c>
      <c r="E104">
        <f t="shared" si="66"/>
        <v>113.92203292389524</v>
      </c>
      <c r="F104">
        <f t="shared" ref="E104:G104" si="106" xml:space="preserve"> (E105-E104)/$A104</f>
        <v>-9.2931439222354584</v>
      </c>
      <c r="G104">
        <f t="shared" si="106"/>
        <v>-38.994853955642839</v>
      </c>
      <c r="H104">
        <f>Main!N104</f>
        <v>1.0064709999999999</v>
      </c>
    </row>
    <row r="105" spans="1:8" x14ac:dyDescent="0.25">
      <c r="A105">
        <f>Main!$K$2</f>
        <v>0.02</v>
      </c>
      <c r="B105">
        <f>Main!S105</f>
        <v>143.95674535787447</v>
      </c>
      <c r="C105">
        <f>Main!T105</f>
        <v>46.333461199308246</v>
      </c>
      <c r="D105">
        <f t="shared" si="95"/>
        <v>163.36905047618978</v>
      </c>
      <c r="E105">
        <f t="shared" si="66"/>
        <v>113.73617004545054</v>
      </c>
      <c r="F105">
        <f t="shared" ref="E105:G105" si="107" xml:space="preserve"> (E106-E105)/$A105</f>
        <v>-10.073041001348315</v>
      </c>
      <c r="G105">
        <f t="shared" si="107"/>
        <v>-34.121361018435437</v>
      </c>
      <c r="H105">
        <f>Main!N105</f>
        <v>1.0278910000000001</v>
      </c>
    </row>
    <row r="106" spans="1:8" x14ac:dyDescent="0.25">
      <c r="A106">
        <f>Main!$K$2</f>
        <v>0.02</v>
      </c>
      <c r="B106">
        <f>Main!S106</f>
        <v>145.09302102041718</v>
      </c>
      <c r="C106">
        <f>Main!T106</f>
        <v>48.304056076332984</v>
      </c>
      <c r="D106">
        <f t="shared" si="95"/>
        <v>165.64377387709879</v>
      </c>
      <c r="E106">
        <f t="shared" si="66"/>
        <v>113.53470922542357</v>
      </c>
      <c r="F106">
        <f t="shared" ref="E106:G106" si="108" xml:space="preserve"> (E107-E106)/$A106</f>
        <v>-10.755468221717024</v>
      </c>
      <c r="G106">
        <f t="shared" si="108"/>
        <v>-30.872489684696802</v>
      </c>
      <c r="H106">
        <f>Main!N106</f>
        <v>1.0490250000000001</v>
      </c>
    </row>
    <row r="107" spans="1:8" x14ac:dyDescent="0.25">
      <c r="A107">
        <f>Main!$K$2</f>
        <v>0.02</v>
      </c>
      <c r="B107">
        <f>Main!S107</f>
        <v>146.18600846295675</v>
      </c>
      <c r="C107">
        <f>Main!T107</f>
        <v>50.294390352280459</v>
      </c>
      <c r="D107">
        <f t="shared" si="95"/>
        <v>167.91446806160727</v>
      </c>
      <c r="E107">
        <f t="shared" si="66"/>
        <v>113.31959986098923</v>
      </c>
      <c r="F107">
        <f t="shared" ref="E107:G107" si="109" xml:space="preserve"> (E108-E107)/$A107</f>
        <v>-11.37291801541096</v>
      </c>
      <c r="G107">
        <f t="shared" si="109"/>
        <v>-24.374122677528476</v>
      </c>
      <c r="H107">
        <f>Main!N107</f>
        <v>1.069849</v>
      </c>
    </row>
    <row r="108" spans="1:8" x14ac:dyDescent="0.25">
      <c r="A108">
        <f>Main!$K$2</f>
        <v>0.02</v>
      </c>
      <c r="B108">
        <f>Main!S108</f>
        <v>147.23591417178162</v>
      </c>
      <c r="C108">
        <f>Main!T108</f>
        <v>52.302929793675325</v>
      </c>
      <c r="D108">
        <f t="shared" si="95"/>
        <v>170.18086005882705</v>
      </c>
      <c r="E108">
        <f t="shared" si="66"/>
        <v>113.09214150068101</v>
      </c>
      <c r="F108">
        <f t="shared" ref="E108:G108" si="110" xml:space="preserve"> (E109-E108)/$A108</f>
        <v>-11.860400468961529</v>
      </c>
      <c r="G108">
        <f t="shared" si="110"/>
        <v>-25.99924174262469</v>
      </c>
      <c r="H108">
        <f>Main!N108</f>
        <v>1.0903419999999999</v>
      </c>
    </row>
    <row r="109" spans="1:8" x14ac:dyDescent="0.25">
      <c r="A109">
        <f>Main!$K$2</f>
        <v>0.02</v>
      </c>
      <c r="B109">
        <f>Main!S109</f>
        <v>148.24304798441048</v>
      </c>
      <c r="C109">
        <f>Main!T109</f>
        <v>54.328174092801639</v>
      </c>
      <c r="D109">
        <f t="shared" si="95"/>
        <v>172.44270288884067</v>
      </c>
      <c r="E109">
        <f t="shared" si="66"/>
        <v>112.85493349130178</v>
      </c>
      <c r="F109">
        <f t="shared" ref="E109:G109" si="111" xml:space="preserve"> (E110-E109)/$A109</f>
        <v>-12.380385303814023</v>
      </c>
      <c r="G109">
        <f t="shared" si="111"/>
        <v>-13.001764482822864</v>
      </c>
      <c r="H109">
        <f>Main!N109</f>
        <v>1.1104849999999999</v>
      </c>
    </row>
    <row r="110" spans="1:8" x14ac:dyDescent="0.25">
      <c r="A110">
        <f>Main!$K$2</f>
        <v>0.02</v>
      </c>
      <c r="B110">
        <f>Main!S110</f>
        <v>149.2078235200178</v>
      </c>
      <c r="C110">
        <f>Main!T110</f>
        <v>56.368689363811406</v>
      </c>
      <c r="D110">
        <f t="shared" si="95"/>
        <v>174.69980155866671</v>
      </c>
      <c r="E110">
        <f t="shared" si="66"/>
        <v>112.6073257852255</v>
      </c>
      <c r="F110">
        <f t="shared" ref="E110:G110" si="112" xml:space="preserve"> (E111-E110)/$A110</f>
        <v>-12.640420593470481</v>
      </c>
      <c r="G110">
        <f t="shared" si="112"/>
        <v>-19.500934744343112</v>
      </c>
      <c r="H110">
        <f>Main!N110</f>
        <v>1.130263</v>
      </c>
    </row>
    <row r="111" spans="1:8" x14ac:dyDescent="0.25">
      <c r="A111">
        <f>Main!$K$2</f>
        <v>0.02</v>
      </c>
      <c r="B111">
        <f>Main!S111</f>
        <v>150.13072725194556</v>
      </c>
      <c r="C111">
        <f>Main!T111</f>
        <v>58.423053652294278</v>
      </c>
      <c r="D111">
        <f t="shared" si="95"/>
        <v>176.95194807437122</v>
      </c>
      <c r="E111">
        <f t="shared" si="66"/>
        <v>112.35451737335609</v>
      </c>
      <c r="F111">
        <f t="shared" ref="E111:G111" si="113" xml:space="preserve"> (E112-E111)/$A111</f>
        <v>-13.030439288357343</v>
      </c>
      <c r="G111">
        <f t="shared" si="113"/>
        <v>-6.5031639557844301</v>
      </c>
      <c r="H111">
        <f>Main!N111</f>
        <v>1.1496599999999999</v>
      </c>
    </row>
    <row r="112" spans="1:8" x14ac:dyDescent="0.25">
      <c r="A112">
        <f>Main!$K$2</f>
        <v>0.02</v>
      </c>
      <c r="B112">
        <f>Main!S112</f>
        <v>151.01234907161847</v>
      </c>
      <c r="C112">
        <f>Main!T112</f>
        <v>60.489973582227833</v>
      </c>
      <c r="D112">
        <f t="shared" si="95"/>
        <v>179.19903842183834</v>
      </c>
      <c r="E112">
        <f t="shared" si="66"/>
        <v>112.09390858758894</v>
      </c>
      <c r="F112">
        <f t="shared" ref="E112:G112" si="114" xml:space="preserve"> (E113-E112)/$A112</f>
        <v>-13.160502567473031</v>
      </c>
      <c r="G112">
        <f t="shared" si="114"/>
        <v>-50.50203791512331</v>
      </c>
      <c r="H112">
        <f>Main!N112</f>
        <v>1.168668</v>
      </c>
    </row>
    <row r="113" spans="1:8" x14ac:dyDescent="0.25">
      <c r="A113">
        <f>Main!$K$2</f>
        <v>0.02</v>
      </c>
      <c r="B113">
        <f>Main!S113</f>
        <v>151.85332010386395</v>
      </c>
      <c r="C113">
        <f>Main!T113</f>
        <v>62.568142357833203</v>
      </c>
      <c r="D113">
        <f t="shared" si="95"/>
        <v>181.44091659359012</v>
      </c>
      <c r="E113">
        <f t="shared" si="66"/>
        <v>111.83069853623948</v>
      </c>
      <c r="F113">
        <f t="shared" ref="E113:G113" si="115" xml:space="preserve"> (E114-E113)/$A113</f>
        <v>-14.170543325775498</v>
      </c>
      <c r="G113">
        <f t="shared" si="115"/>
        <v>-261.87539416966388</v>
      </c>
      <c r="H113">
        <f>Main!N113</f>
        <v>1.1872750000000001</v>
      </c>
    </row>
    <row r="114" spans="1:8" x14ac:dyDescent="0.25">
      <c r="A114">
        <f>Main!$K$2</f>
        <v>0.02</v>
      </c>
      <c r="B114">
        <f>Main!S114</f>
        <v>152.65435599835794</v>
      </c>
      <c r="C114">
        <f>Main!T114</f>
        <v>64.656391277328567</v>
      </c>
      <c r="D114">
        <f t="shared" si="95"/>
        <v>183.67753056431491</v>
      </c>
      <c r="E114">
        <f t="shared" si="66"/>
        <v>111.54728766972397</v>
      </c>
      <c r="F114">
        <f t="shared" ref="E114:G114" si="116" xml:space="preserve"> (E115-E114)/$A114</f>
        <v>-19.408051209168775</v>
      </c>
      <c r="G114">
        <f t="shared" si="116"/>
        <v>-440.62370676556384</v>
      </c>
      <c r="H114">
        <f>Main!N114</f>
        <v>1.2054769999999999</v>
      </c>
    </row>
    <row r="115" spans="1:8" x14ac:dyDescent="0.25">
      <c r="A115">
        <f>Main!$K$2</f>
        <v>0.02</v>
      </c>
      <c r="B115">
        <f>Main!S115</f>
        <v>153.41609986149615</v>
      </c>
      <c r="C115">
        <f>Main!T115</f>
        <v>66.75326162180869</v>
      </c>
      <c r="D115">
        <f t="shared" si="95"/>
        <v>185.90847631770939</v>
      </c>
      <c r="E115">
        <f t="shared" si="66"/>
        <v>111.1591266455406</v>
      </c>
      <c r="F115">
        <f t="shared" ref="E115:G115" si="117" xml:space="preserve"> (E116-E115)/$A115</f>
        <v>-28.220525344480052</v>
      </c>
      <c r="G115">
        <f t="shared" si="117"/>
        <v>-432.75051032054535</v>
      </c>
      <c r="H115">
        <f>Main!N115</f>
        <v>1.223265</v>
      </c>
    </row>
    <row r="116" spans="1:8" x14ac:dyDescent="0.25">
      <c r="A116">
        <f>Main!$K$2</f>
        <v>0.02</v>
      </c>
      <c r="B116">
        <f>Main!S116</f>
        <v>154.13872542704786</v>
      </c>
      <c r="C116">
        <f>Main!T116</f>
        <v>68.855725145071546</v>
      </c>
      <c r="D116">
        <f t="shared" si="95"/>
        <v>188.1316588506202</v>
      </c>
      <c r="E116">
        <f t="shared" si="66"/>
        <v>110.59471613865099</v>
      </c>
      <c r="F116">
        <f t="shared" ref="E116:G116" si="118" xml:space="preserve"> (E117-E116)/$A116</f>
        <v>-36.875535550890959</v>
      </c>
      <c r="G116">
        <f t="shared" si="118"/>
        <v>-424.25208673790848</v>
      </c>
      <c r="H116">
        <f>Main!N116</f>
        <v>1.2406219999999999</v>
      </c>
    </row>
    <row r="117" spans="1:8" x14ac:dyDescent="0.25">
      <c r="A117">
        <f>Main!$K$2</f>
        <v>0.02</v>
      </c>
      <c r="B117">
        <f>Main!S117</f>
        <v>154.82214422881609</v>
      </c>
      <c r="C117">
        <f>Main!T117</f>
        <v>70.959392237675587</v>
      </c>
      <c r="D117">
        <f t="shared" si="95"/>
        <v>190.34355317339322</v>
      </c>
      <c r="E117">
        <f t="shared" si="66"/>
        <v>109.85720542763318</v>
      </c>
      <c r="F117">
        <f t="shared" ref="E117:G117" si="119" xml:space="preserve"> (E118-E117)/$A117</f>
        <v>-45.360577285649128</v>
      </c>
      <c r="G117">
        <f t="shared" si="119"/>
        <v>-421.37789533569503</v>
      </c>
      <c r="H117">
        <f>Main!N117</f>
        <v>1.2575210000000001</v>
      </c>
    </row>
    <row r="118" spans="1:8" x14ac:dyDescent="0.25">
      <c r="A118">
        <f>Main!$K$2</f>
        <v>0.02</v>
      </c>
      <c r="B118">
        <f>Main!S118</f>
        <v>155.46651831189794</v>
      </c>
      <c r="C118">
        <f>Main!T118</f>
        <v>73.05992176015323</v>
      </c>
      <c r="D118">
        <f t="shared" si="95"/>
        <v>192.54069728194588</v>
      </c>
      <c r="E118">
        <f t="shared" si="66"/>
        <v>108.94999388192019</v>
      </c>
      <c r="F118">
        <f t="shared" ref="E118:G118" si="120" xml:space="preserve"> (E119-E118)/$A118</f>
        <v>-53.788135192363029</v>
      </c>
      <c r="G118">
        <f t="shared" si="120"/>
        <v>-414.62892216515002</v>
      </c>
      <c r="H118">
        <f>Main!N118</f>
        <v>1.2739400000000001</v>
      </c>
    </row>
    <row r="119" spans="1:8" x14ac:dyDescent="0.25">
      <c r="A119">
        <f>Main!$K$2</f>
        <v>0.02</v>
      </c>
      <c r="B119">
        <f>Main!S119</f>
        <v>156.07223659373491</v>
      </c>
      <c r="C119">
        <f>Main!T119</f>
        <v>75.153040445225031</v>
      </c>
      <c r="D119">
        <f t="shared" si="95"/>
        <v>194.71969715958429</v>
      </c>
      <c r="E119">
        <f t="shared" si="66"/>
        <v>107.87423117807293</v>
      </c>
      <c r="F119">
        <f t="shared" ref="E119:G119" si="121" xml:space="preserve"> (E120-E119)/$A119</f>
        <v>-62.080713635666029</v>
      </c>
      <c r="G119">
        <f t="shared" si="121"/>
        <v>-409.75459412706527</v>
      </c>
      <c r="H119">
        <f>Main!N119</f>
        <v>1.2898620000000001</v>
      </c>
    </row>
    <row r="120" spans="1:8" x14ac:dyDescent="0.25">
      <c r="A120">
        <f>Main!$K$2</f>
        <v>0.02</v>
      </c>
      <c r="B120">
        <f>Main!S120</f>
        <v>156.63988274840531</v>
      </c>
      <c r="C120">
        <f>Main!T120</f>
        <v>77.23451053724942</v>
      </c>
      <c r="D120">
        <f t="shared" si="95"/>
        <v>196.87718178314574</v>
      </c>
      <c r="E120">
        <f t="shared" si="66"/>
        <v>106.63261690535961</v>
      </c>
      <c r="F120">
        <f t="shared" ref="E120:G120" si="122" xml:space="preserve"> (E121-E120)/$A120</f>
        <v>-70.275805518207335</v>
      </c>
      <c r="G120">
        <f t="shared" si="122"/>
        <v>-406.75497066544608</v>
      </c>
      <c r="H120">
        <f>Main!N120</f>
        <v>1.305272</v>
      </c>
    </row>
    <row r="121" spans="1:8" x14ac:dyDescent="0.25">
      <c r="A121">
        <f>Main!$K$2</f>
        <v>0.02</v>
      </c>
      <c r="B121">
        <f>Main!S121</f>
        <v>157.17022160665968</v>
      </c>
      <c r="C121">
        <f>Main!T121</f>
        <v>79.300169437130904</v>
      </c>
      <c r="D121">
        <f t="shared" si="95"/>
        <v>199.00983412125294</v>
      </c>
      <c r="E121">
        <f t="shared" si="66"/>
        <v>105.22710079499547</v>
      </c>
      <c r="F121">
        <f t="shared" ref="E121:G121" si="123" xml:space="preserve"> (E122-E121)/$A121</f>
        <v>-78.410904931516257</v>
      </c>
      <c r="G121">
        <f t="shared" si="123"/>
        <v>-400.00550536944957</v>
      </c>
      <c r="H121">
        <f>Main!N121</f>
        <v>1.3201590000000001</v>
      </c>
    </row>
    <row r="122" spans="1:8" x14ac:dyDescent="0.25">
      <c r="A122">
        <f>Main!$K$2</f>
        <v>0.02</v>
      </c>
      <c r="B122">
        <f>Main!S122</f>
        <v>157.66417381052995</v>
      </c>
      <c r="C122">
        <f>Main!T122</f>
        <v>81.345923165461812</v>
      </c>
      <c r="D122">
        <f t="shared" si="95"/>
        <v>201.11437613715285</v>
      </c>
      <c r="E122">
        <f t="shared" si="66"/>
        <v>103.65888269636514</v>
      </c>
      <c r="F122">
        <f t="shared" ref="E122:G122" si="124" xml:space="preserve"> (E123-E122)/$A122</f>
        <v>-86.411015038905248</v>
      </c>
      <c r="G122">
        <f t="shared" si="124"/>
        <v>-396.75561644259005</v>
      </c>
      <c r="H122">
        <f>Main!N122</f>
        <v>1.3345149999999999</v>
      </c>
    </row>
    <row r="123" spans="1:8" x14ac:dyDescent="0.25">
      <c r="A123">
        <f>Main!$K$2</f>
        <v>0.02</v>
      </c>
      <c r="B123">
        <f>Main!S123</f>
        <v>158.12279359437446</v>
      </c>
      <c r="C123">
        <f>Main!T123</f>
        <v>83.367737568073977</v>
      </c>
      <c r="D123">
        <f t="shared" si="95"/>
        <v>203.18755379108015</v>
      </c>
      <c r="E123">
        <f t="shared" si="66"/>
        <v>101.93066239558704</v>
      </c>
      <c r="F123">
        <f t="shared" ref="E123:G123" si="125" xml:space="preserve"> (E124-E123)/$A123</f>
        <v>-94.346127367757049</v>
      </c>
      <c r="G123">
        <f t="shared" si="125"/>
        <v>-400.13019419049556</v>
      </c>
      <c r="H123">
        <f>Main!N123</f>
        <v>1.3483339999999999</v>
      </c>
    </row>
    <row r="124" spans="1:8" x14ac:dyDescent="0.25">
      <c r="A124">
        <f>Main!$K$2</f>
        <v>0.02</v>
      </c>
      <c r="B124">
        <f>Main!S124</f>
        <v>158.54725352464351</v>
      </c>
      <c r="C124">
        <f>Main!T124</f>
        <v>85.361672808285462</v>
      </c>
      <c r="D124">
        <f t="shared" si="95"/>
        <v>205.22616703899189</v>
      </c>
      <c r="E124">
        <f t="shared" si="66"/>
        <v>100.04373984823189</v>
      </c>
      <c r="F124">
        <f t="shared" ref="E124:G124" si="126" xml:space="preserve"> (E125-E124)/$A124</f>
        <v>-102.34873125156696</v>
      </c>
      <c r="G124">
        <f t="shared" si="126"/>
        <v>-388.63076056827595</v>
      </c>
      <c r="H124">
        <f>Main!N124</f>
        <v>1.3616140000000001</v>
      </c>
    </row>
    <row r="125" spans="1:8" x14ac:dyDescent="0.25">
      <c r="A125">
        <f>Main!$K$2</f>
        <v>0.02</v>
      </c>
      <c r="B125">
        <f>Main!S125</f>
        <v>158.93881975793897</v>
      </c>
      <c r="C125">
        <f>Main!T125</f>
        <v>87.323859302498249</v>
      </c>
      <c r="D125">
        <f t="shared" si="95"/>
        <v>207.22704183595653</v>
      </c>
      <c r="E125">
        <f t="shared" si="66"/>
        <v>97.996765223200555</v>
      </c>
      <c r="F125">
        <f t="shared" ref="E125:G125" si="127" xml:space="preserve"> (E126-E125)/$A125</f>
        <v>-110.12134646293248</v>
      </c>
      <c r="G125">
        <f t="shared" si="127"/>
        <v>-395.38004371664215</v>
      </c>
      <c r="H125">
        <f>Main!N125</f>
        <v>1.374355</v>
      </c>
    </row>
    <row r="126" spans="1:8" x14ac:dyDescent="0.25">
      <c r="A126">
        <f>Main!$K$2</f>
        <v>0.02</v>
      </c>
      <c r="B126">
        <f>Main!S126</f>
        <v>159.29883241277409</v>
      </c>
      <c r="C126">
        <f>Main!T126</f>
        <v>89.250446255127954</v>
      </c>
      <c r="D126">
        <f t="shared" si="95"/>
        <v>209.18697714042054</v>
      </c>
      <c r="E126">
        <f t="shared" si="66"/>
        <v>95.794338293941905</v>
      </c>
      <c r="F126">
        <f t="shared" ref="E126:G126" si="128" xml:space="preserve"> (E127-E126)/$A126</f>
        <v>-118.02894733726532</v>
      </c>
      <c r="G126">
        <f t="shared" si="128"/>
        <v>-387.00523286294697</v>
      </c>
      <c r="H126">
        <f>Main!N126</f>
        <v>1.386555</v>
      </c>
    </row>
    <row r="127" spans="1:8" x14ac:dyDescent="0.25">
      <c r="A127">
        <f>Main!$K$2</f>
        <v>0.02</v>
      </c>
      <c r="B127">
        <f>Main!S127</f>
        <v>159.62870337700269</v>
      </c>
      <c r="C127">
        <f>Main!T127</f>
        <v>91.137721340172135</v>
      </c>
      <c r="D127">
        <f t="shared" si="95"/>
        <v>211.10286390629938</v>
      </c>
      <c r="E127">
        <f t="shared" si="66"/>
        <v>93.433759347196599</v>
      </c>
      <c r="F127">
        <f t="shared" ref="E127:G127" si="129" xml:space="preserve"> (E128-E127)/$A127</f>
        <v>-125.76905199452426</v>
      </c>
      <c r="G127">
        <f t="shared" si="129"/>
        <v>-352.75480377805479</v>
      </c>
      <c r="H127">
        <f>Main!N127</f>
        <v>1.3982190000000001</v>
      </c>
    </row>
    <row r="128" spans="1:8" x14ac:dyDescent="0.25">
      <c r="A128">
        <f>Main!$K$2</f>
        <v>0.02</v>
      </c>
      <c r="B128">
        <f>Main!S128</f>
        <v>159.92988347669504</v>
      </c>
      <c r="C128">
        <f>Main!T128</f>
        <v>92.98196576590567</v>
      </c>
      <c r="D128">
        <f t="shared" si="95"/>
        <v>212.97153909324331</v>
      </c>
      <c r="E128">
        <f t="shared" si="66"/>
        <v>90.918378307306114</v>
      </c>
      <c r="F128">
        <f t="shared" ref="E128:G128" si="130" xml:space="preserve"> (E129-E128)/$A128</f>
        <v>-132.82414807008536</v>
      </c>
      <c r="G128">
        <f t="shared" si="130"/>
        <v>-133.5053922097984</v>
      </c>
      <c r="H128">
        <f>Main!N128</f>
        <v>1.409348</v>
      </c>
    </row>
    <row r="129" spans="1:8" x14ac:dyDescent="0.25">
      <c r="A129">
        <f>Main!$K$2</f>
        <v>0.02</v>
      </c>
      <c r="B129">
        <f>Main!S129</f>
        <v>160.20386409792272</v>
      </c>
      <c r="C129">
        <f>Main!T129</f>
        <v>94.7795739614822</v>
      </c>
      <c r="D129">
        <f t="shared" si="95"/>
        <v>214.78990665938943</v>
      </c>
      <c r="E129">
        <f t="shared" si="66"/>
        <v>88.261895345904406</v>
      </c>
      <c r="F129">
        <f t="shared" ref="E129:G129" si="131" xml:space="preserve"> (E130-E129)/$A129</f>
        <v>-135.49425591428133</v>
      </c>
      <c r="G129">
        <f t="shared" si="131"/>
        <v>35.994936006034095</v>
      </c>
      <c r="H129">
        <f>Main!N129</f>
        <v>1.419948</v>
      </c>
    </row>
    <row r="130" spans="1:8" x14ac:dyDescent="0.25">
      <c r="A130">
        <f>Main!$K$2</f>
        <v>0.02</v>
      </c>
      <c r="B130">
        <f>Main!S130</f>
        <v>160.45219418830553</v>
      </c>
      <c r="C130">
        <f>Main!T130</f>
        <v>96.527257294992879</v>
      </c>
      <c r="D130">
        <f t="shared" si="95"/>
        <v>216.55514456630752</v>
      </c>
      <c r="E130">
        <f t="shared" ref="E130:E171" si="132" xml:space="preserve"> IF(ISBLANK(D131), 0, (D131-D130)/$A130 )</f>
        <v>85.55201022761878</v>
      </c>
      <c r="F130">
        <f t="shared" ref="E130:G130" si="133" xml:space="preserve"> (E131-E130)/$A130</f>
        <v>-134.77435719416064</v>
      </c>
      <c r="G130">
        <f t="shared" si="133"/>
        <v>37.245492215731701</v>
      </c>
      <c r="H130">
        <f>Main!N130</f>
        <v>1.430024</v>
      </c>
    </row>
    <row r="131" spans="1:8" x14ac:dyDescent="0.25">
      <c r="A131">
        <f>Main!$K$2</f>
        <v>0.02</v>
      </c>
      <c r="B131">
        <f>Main!S131</f>
        <v>160.67663329512607</v>
      </c>
      <c r="C131">
        <f>Main!T131</f>
        <v>98.223513663860587</v>
      </c>
      <c r="D131">
        <f t="shared" si="95"/>
        <v>218.26618477085989</v>
      </c>
      <c r="E131">
        <f t="shared" si="132"/>
        <v>82.856523083735567</v>
      </c>
      <c r="F131">
        <f t="shared" ref="E131:G131" si="134" xml:space="preserve"> (E132-E131)/$A131</f>
        <v>-134.02944734984601</v>
      </c>
      <c r="G131">
        <f t="shared" si="134"/>
        <v>30.746262101644106</v>
      </c>
      <c r="H131">
        <f>Main!N131</f>
        <v>1.439594</v>
      </c>
    </row>
    <row r="132" spans="1:8" x14ac:dyDescent="0.25">
      <c r="A132">
        <f>Main!$K$2</f>
        <v>0.02</v>
      </c>
      <c r="B132">
        <f>Main!S132</f>
        <v>160.87902600260341</v>
      </c>
      <c r="C132">
        <f>Main!T132</f>
        <v>99.868238126793571</v>
      </c>
      <c r="D132">
        <f t="shared" si="95"/>
        <v>219.92331523253461</v>
      </c>
      <c r="E132">
        <f t="shared" si="132"/>
        <v>80.175934136738647</v>
      </c>
      <c r="F132">
        <f t="shared" ref="E132:G132" si="135" xml:space="preserve"> (E133-E132)/$A132</f>
        <v>-133.41452210781313</v>
      </c>
      <c r="G132">
        <f t="shared" si="135"/>
        <v>34.371616727923993</v>
      </c>
      <c r="H132">
        <f>Main!N132</f>
        <v>1.44868</v>
      </c>
    </row>
    <row r="133" spans="1:8" x14ac:dyDescent="0.25">
      <c r="A133">
        <f>Main!$K$2</f>
        <v>0.02</v>
      </c>
      <c r="B133">
        <f>Main!S133</f>
        <v>161.06110146341936</v>
      </c>
      <c r="C133">
        <f>Main!T133</f>
        <v>101.46138617153018</v>
      </c>
      <c r="D133">
        <f t="shared" si="95"/>
        <v>221.52683391526938</v>
      </c>
      <c r="E133">
        <f t="shared" si="132"/>
        <v>77.507643694582384</v>
      </c>
      <c r="F133">
        <f t="shared" ref="E133:G133" si="136" xml:space="preserve"> (E134-E133)/$A133</f>
        <v>-132.72708977325465</v>
      </c>
      <c r="G133">
        <f t="shared" si="136"/>
        <v>28.997169380318155</v>
      </c>
      <c r="H133">
        <f>Main!N133</f>
        <v>1.4573050000000001</v>
      </c>
    </row>
    <row r="134" spans="1:8" x14ac:dyDescent="0.25">
      <c r="A134">
        <f>Main!$K$2</f>
        <v>0.02</v>
      </c>
      <c r="B134">
        <f>Main!S134</f>
        <v>161.22447674066572</v>
      </c>
      <c r="C134">
        <f>Main!T134</f>
        <v>103.00290569823726</v>
      </c>
      <c r="D134">
        <f t="shared" si="95"/>
        <v>223.07698678916103</v>
      </c>
      <c r="E134">
        <f t="shared" si="132"/>
        <v>74.853101899117291</v>
      </c>
      <c r="F134">
        <f t="shared" ref="E134:G134" si="137" xml:space="preserve"> (E135-E134)/$A134</f>
        <v>-132.14714638564828</v>
      </c>
      <c r="G134">
        <f t="shared" si="137"/>
        <v>26.122589122934414</v>
      </c>
      <c r="H134">
        <f>Main!N134</f>
        <v>1.4654879999999999</v>
      </c>
    </row>
    <row r="135" spans="1:8" x14ac:dyDescent="0.25">
      <c r="A135">
        <f>Main!$K$2</f>
        <v>0.02</v>
      </c>
      <c r="B135">
        <f>Main!S135</f>
        <v>161.3706679103575</v>
      </c>
      <c r="C135">
        <f>Main!T135</f>
        <v>104.49281270455408</v>
      </c>
      <c r="D135">
        <f t="shared" si="95"/>
        <v>224.57404882714337</v>
      </c>
      <c r="E135">
        <f t="shared" si="132"/>
        <v>72.210158971404326</v>
      </c>
      <c r="F135">
        <f t="shared" ref="E135:G135" si="138" xml:space="preserve"> (E136-E135)/$A135</f>
        <v>-131.6246946031896</v>
      </c>
      <c r="G135">
        <f t="shared" si="138"/>
        <v>27.747843816428031</v>
      </c>
      <c r="H135">
        <f>Main!N135</f>
        <v>1.4732499999999999</v>
      </c>
    </row>
    <row r="136" spans="1:8" x14ac:dyDescent="0.25">
      <c r="A136">
        <f>Main!$K$2</f>
        <v>0.02</v>
      </c>
      <c r="B136">
        <f>Main!S136</f>
        <v>161.50109080828881</v>
      </c>
      <c r="C136">
        <f>Main!T136</f>
        <v>105.93111472122702</v>
      </c>
      <c r="D136">
        <f t="shared" si="95"/>
        <v>226.01825200657146</v>
      </c>
      <c r="E136">
        <f t="shared" si="132"/>
        <v>69.577665079340534</v>
      </c>
      <c r="F136">
        <f t="shared" ref="E136:G136" si="139" xml:space="preserve"> (E137-E136)/$A136</f>
        <v>-131.06973772686104</v>
      </c>
      <c r="G136">
        <f t="shared" si="139"/>
        <v>22.498202934428946</v>
      </c>
      <c r="H136">
        <f>Main!N136</f>
        <v>1.4806090000000001</v>
      </c>
    </row>
    <row r="137" spans="1:8" x14ac:dyDescent="0.25">
      <c r="A137">
        <f>Main!$K$2</f>
        <v>0.02</v>
      </c>
      <c r="B137">
        <f>Main!S137</f>
        <v>161.61707063000091</v>
      </c>
      <c r="C137">
        <f>Main!T137</f>
        <v>107.31782639713978</v>
      </c>
      <c r="D137">
        <f t="shared" si="95"/>
        <v>227.40980530815827</v>
      </c>
      <c r="E137">
        <f t="shared" si="132"/>
        <v>66.956270324803313</v>
      </c>
      <c r="F137">
        <f t="shared" ref="E137:G137" si="140" xml:space="preserve"> (E138-E137)/$A137</f>
        <v>-130.61977366817246</v>
      </c>
      <c r="G137">
        <f t="shared" si="140"/>
        <v>24.498389919358488</v>
      </c>
      <c r="H137">
        <f>Main!N137</f>
        <v>1.487581</v>
      </c>
    </row>
    <row r="138" spans="1:8" x14ac:dyDescent="0.25">
      <c r="A138">
        <f>Main!$K$2</f>
        <v>0.02</v>
      </c>
      <c r="B138">
        <f>Main!S138</f>
        <v>161.71984762393302</v>
      </c>
      <c r="C138">
        <f>Main!T138</f>
        <v>108.653001945089</v>
      </c>
      <c r="D138">
        <f t="shared" si="95"/>
        <v>228.74893071465434</v>
      </c>
      <c r="E138">
        <f t="shared" si="132"/>
        <v>64.343874851439864</v>
      </c>
      <c r="F138">
        <f t="shared" ref="E138:G138" si="141" xml:space="preserve"> (E139-E138)/$A138</f>
        <v>-130.12980586978529</v>
      </c>
      <c r="G138">
        <f t="shared" si="141"/>
        <v>21.123638870079731</v>
      </c>
      <c r="H138">
        <f>Main!N138</f>
        <v>1.494183</v>
      </c>
    </row>
    <row r="139" spans="1:8" x14ac:dyDescent="0.25">
      <c r="A139">
        <f>Main!$K$2</f>
        <v>0.02</v>
      </c>
      <c r="B139">
        <f>Main!S139</f>
        <v>161.81057999232218</v>
      </c>
      <c r="C139">
        <f>Main!T139</f>
        <v>109.93667687655943</v>
      </c>
      <c r="D139">
        <f t="shared" si="95"/>
        <v>230.03580821168313</v>
      </c>
      <c r="E139">
        <f t="shared" si="132"/>
        <v>61.741278734044158</v>
      </c>
      <c r="F139">
        <f t="shared" ref="E139:G139" si="142" xml:space="preserve"> (E140-E139)/$A139</f>
        <v>-129.70733309238369</v>
      </c>
      <c r="G139">
        <f t="shared" si="142"/>
        <v>17.998846310263161</v>
      </c>
      <c r="H139">
        <f>Main!N139</f>
        <v>1.500429</v>
      </c>
    </row>
    <row r="140" spans="1:8" x14ac:dyDescent="0.25">
      <c r="A140">
        <f>Main!$K$2</f>
        <v>0.02</v>
      </c>
      <c r="B140">
        <f>Main!S140</f>
        <v>161.89035078141845</v>
      </c>
      <c r="C140">
        <f>Main!T140</f>
        <v>111.16892312674361</v>
      </c>
      <c r="D140">
        <f t="shared" si="95"/>
        <v>231.27063378636402</v>
      </c>
      <c r="E140">
        <f t="shared" si="132"/>
        <v>59.147132072196484</v>
      </c>
      <c r="F140">
        <f t="shared" ref="E140:G140" si="143" xml:space="preserve"> (E141-E140)/$A140</f>
        <v>-129.34735616617843</v>
      </c>
      <c r="G140">
        <f t="shared" si="143"/>
        <v>19.248962242812695</v>
      </c>
      <c r="H140">
        <f>Main!N140</f>
        <v>1.5063340000000001</v>
      </c>
    </row>
    <row r="141" spans="1:8" x14ac:dyDescent="0.25">
      <c r="A141">
        <f>Main!$K$2</f>
        <v>0.02</v>
      </c>
      <c r="B141">
        <f>Main!S141</f>
        <v>161.96017031322353</v>
      </c>
      <c r="C141">
        <f>Main!T141</f>
        <v>112.34980352963159</v>
      </c>
      <c r="D141">
        <f t="shared" si="95"/>
        <v>232.45357642780795</v>
      </c>
      <c r="E141">
        <f t="shared" si="132"/>
        <v>56.560184948872916</v>
      </c>
      <c r="F141">
        <f t="shared" ref="E141:G141" si="144" xml:space="preserve"> (E142-E141)/$A141</f>
        <v>-128.96237692132217</v>
      </c>
      <c r="G141">
        <f t="shared" si="144"/>
        <v>19.624090946024353</v>
      </c>
      <c r="H141">
        <f>Main!N141</f>
        <v>1.511911</v>
      </c>
    </row>
    <row r="142" spans="1:8" x14ac:dyDescent="0.25">
      <c r="A142">
        <f>Main!$K$2</f>
        <v>0.02</v>
      </c>
      <c r="B142">
        <f>Main!S142</f>
        <v>162.02098199149376</v>
      </c>
      <c r="C142">
        <f>Main!T142</f>
        <v>113.47937147728513</v>
      </c>
      <c r="D142">
        <f t="shared" si="95"/>
        <v>233.5847801267854</v>
      </c>
      <c r="E142">
        <f t="shared" si="132"/>
        <v>53.980937410446472</v>
      </c>
      <c r="F142">
        <f t="shared" ref="E142:G142" si="145" xml:space="preserve"> (E143-E142)/$A142</f>
        <v>-128.56989510240169</v>
      </c>
      <c r="G142">
        <f t="shared" si="145"/>
        <v>11.374280198594988</v>
      </c>
      <c r="H142">
        <f>Main!N142</f>
        <v>1.517171</v>
      </c>
    </row>
    <row r="143" spans="1:8" x14ac:dyDescent="0.25">
      <c r="A143">
        <f>Main!$K$2</f>
        <v>0.02</v>
      </c>
      <c r="B143">
        <f>Main!S143</f>
        <v>162.07366604459435</v>
      </c>
      <c r="C143">
        <f>Main!T143</f>
        <v>114.55770400115385</v>
      </c>
      <c r="D143">
        <f t="shared" si="95"/>
        <v>234.66439887499433</v>
      </c>
      <c r="E143">
        <f t="shared" si="132"/>
        <v>51.409539508398439</v>
      </c>
      <c r="F143">
        <f t="shared" ref="E143:G143" si="146" xml:space="preserve"> (E144-E143)/$A143</f>
        <v>-128.34240949842979</v>
      </c>
      <c r="G143">
        <f t="shared" si="146"/>
        <v>16.249318871786045</v>
      </c>
      <c r="H143">
        <f>Main!N143</f>
        <v>1.5221260000000001</v>
      </c>
    </row>
    <row r="144" spans="1:8" x14ac:dyDescent="0.25">
      <c r="A144">
        <f>Main!$K$2</f>
        <v>0.02</v>
      </c>
      <c r="B144">
        <f>Main!S144</f>
        <v>162.11904153157525</v>
      </c>
      <c r="C144">
        <f>Main!T144</f>
        <v>115.58489306173007</v>
      </c>
      <c r="D144">
        <f t="shared" si="95"/>
        <v>235.6925896651623</v>
      </c>
      <c r="E144">
        <f t="shared" si="132"/>
        <v>48.842691318429843</v>
      </c>
      <c r="F144">
        <f t="shared" ref="E144:G144" si="147" xml:space="preserve"> (E145-E144)/$A144</f>
        <v>-128.01742312099407</v>
      </c>
      <c r="G144">
        <f t="shared" si="147"/>
        <v>16.249404790613653</v>
      </c>
      <c r="H144">
        <f>Main!N144</f>
        <v>1.526788</v>
      </c>
    </row>
    <row r="145" spans="1:8" x14ac:dyDescent="0.25">
      <c r="A145">
        <f>Main!$K$2</f>
        <v>0.02</v>
      </c>
      <c r="B145">
        <f>Main!S145</f>
        <v>162.15787076006143</v>
      </c>
      <c r="C145">
        <f>Main!T145</f>
        <v>116.56097486624553</v>
      </c>
      <c r="D145">
        <f t="shared" si="95"/>
        <v>236.6694434915309</v>
      </c>
      <c r="E145">
        <f t="shared" si="132"/>
        <v>46.282342856009961</v>
      </c>
      <c r="F145">
        <f t="shared" ref="E145:G145" si="148" xml:space="preserve"> (E146-E145)/$A145</f>
        <v>-127.69243502518179</v>
      </c>
      <c r="G145">
        <f t="shared" si="148"/>
        <v>9.6245214571410997</v>
      </c>
      <c r="H145">
        <f>Main!N145</f>
        <v>1.531164</v>
      </c>
    </row>
    <row r="146" spans="1:8" x14ac:dyDescent="0.25">
      <c r="A146">
        <f>Main!$K$2</f>
        <v>0.02</v>
      </c>
      <c r="B146">
        <f>Main!S146</f>
        <v>162.19086342183229</v>
      </c>
      <c r="C146">
        <f>Main!T146</f>
        <v>117.48603356079727</v>
      </c>
      <c r="D146">
        <f t="shared" si="95"/>
        <v>237.5950903486511</v>
      </c>
      <c r="E146">
        <f t="shared" si="132"/>
        <v>43.728494155506326</v>
      </c>
      <c r="F146">
        <f t="shared" ref="E146:G146" si="149" xml:space="preserve"> (E147-E146)/$A146</f>
        <v>-127.49994459603897</v>
      </c>
      <c r="G146">
        <f t="shared" si="149"/>
        <v>14.874549673749016</v>
      </c>
      <c r="H146">
        <f>Main!N146</f>
        <v>1.535264</v>
      </c>
    </row>
    <row r="147" spans="1:8" x14ac:dyDescent="0.25">
      <c r="A147">
        <f>Main!$K$2</f>
        <v>0.02</v>
      </c>
      <c r="B147">
        <f>Main!S147</f>
        <v>162.21867668035486</v>
      </c>
      <c r="C147">
        <f>Main!T147</f>
        <v>118.36016107042823</v>
      </c>
      <c r="D147">
        <f t="shared" si="95"/>
        <v>238.46966023176122</v>
      </c>
      <c r="E147">
        <f t="shared" si="132"/>
        <v>41.178495263585546</v>
      </c>
      <c r="F147">
        <f t="shared" ref="E147:G147" si="150" xml:space="preserve"> (E148-E147)/$A147</f>
        <v>-127.20245360256399</v>
      </c>
      <c r="G147">
        <f t="shared" si="150"/>
        <v>6.3746463396796571</v>
      </c>
      <c r="H147">
        <f>Main!N147</f>
        <v>1.5390980000000001</v>
      </c>
    </row>
    <row r="148" spans="1:8" x14ac:dyDescent="0.25">
      <c r="A148">
        <f>Main!$K$2</f>
        <v>0.02</v>
      </c>
      <c r="B148">
        <f>Main!S148</f>
        <v>162.24191897069971</v>
      </c>
      <c r="C148">
        <f>Main!T148</f>
        <v>119.18340294546179</v>
      </c>
      <c r="D148">
        <f t="shared" si="95"/>
        <v>239.29323013703294</v>
      </c>
      <c r="E148">
        <f t="shared" si="132"/>
        <v>38.634446191534266</v>
      </c>
      <c r="F148">
        <f t="shared" ref="E148:G148" si="151" xml:space="preserve"> (E149-E148)/$A148</f>
        <v>-127.0749606757704</v>
      </c>
      <c r="G148">
        <f t="shared" si="151"/>
        <v>14.624653285721934</v>
      </c>
      <c r="H148">
        <f>Main!N148</f>
        <v>1.542672</v>
      </c>
    </row>
    <row r="149" spans="1:8" x14ac:dyDescent="0.25">
      <c r="A149">
        <f>Main!$K$2</f>
        <v>0.02</v>
      </c>
      <c r="B149">
        <f>Main!S149</f>
        <v>162.26115246956886</v>
      </c>
      <c r="C149">
        <f>Main!T149</f>
        <v>119.95585245548293</v>
      </c>
      <c r="D149">
        <f t="shared" si="95"/>
        <v>240.06591906086362</v>
      </c>
      <c r="E149">
        <f t="shared" si="132"/>
        <v>36.092946978018858</v>
      </c>
      <c r="F149">
        <f t="shared" ref="E149:G149" si="152" xml:space="preserve"> (E150-E149)/$A149</f>
        <v>-126.78246761005596</v>
      </c>
      <c r="G149">
        <f t="shared" si="152"/>
        <v>4.7497346784552974</v>
      </c>
      <c r="H149">
        <f>Main!N149</f>
        <v>1.545995</v>
      </c>
    </row>
    <row r="150" spans="1:8" x14ac:dyDescent="0.25">
      <c r="A150">
        <f>Main!$K$2</f>
        <v>0.02</v>
      </c>
      <c r="B150">
        <f>Main!S150</f>
        <v>162.27689534421191</v>
      </c>
      <c r="C150">
        <f>Main!T150</f>
        <v>120.67753970805235</v>
      </c>
      <c r="D150">
        <f t="shared" si="95"/>
        <v>240.787778000424</v>
      </c>
      <c r="E150">
        <f t="shared" si="132"/>
        <v>33.557297625817739</v>
      </c>
      <c r="F150">
        <f t="shared" ref="E150:G150" si="153" xml:space="preserve"> (E151-E150)/$A150</f>
        <v>-126.68747291648685</v>
      </c>
      <c r="G150">
        <f t="shared" si="153"/>
        <v>11.624746317551171</v>
      </c>
      <c r="H150">
        <f>Main!N150</f>
        <v>1.5490710000000001</v>
      </c>
    </row>
    <row r="151" spans="1:8" x14ac:dyDescent="0.25">
      <c r="A151">
        <f>Main!$K$2</f>
        <v>0.02</v>
      </c>
      <c r="B151">
        <f>Main!S151</f>
        <v>162.28962308666925</v>
      </c>
      <c r="C151">
        <f>Main!T151</f>
        <v>121.34856496402341</v>
      </c>
      <c r="D151">
        <f t="shared" si="95"/>
        <v>241.45892395294035</v>
      </c>
      <c r="E151">
        <f t="shared" si="132"/>
        <v>31.023548167488002</v>
      </c>
      <c r="F151">
        <f t="shared" ref="E151:G151" si="154" xml:space="preserve"> (E152-E151)/$A151</f>
        <v>-126.45497799013583</v>
      </c>
      <c r="G151">
        <f t="shared" si="154"/>
        <v>6.3747937346647632</v>
      </c>
      <c r="H151">
        <f>Main!N151</f>
        <v>1.551909</v>
      </c>
    </row>
    <row r="152" spans="1:8" x14ac:dyDescent="0.25">
      <c r="A152">
        <f>Main!$K$2</f>
        <v>0.02</v>
      </c>
      <c r="B152">
        <f>Main!S152</f>
        <v>162.29977062761816</v>
      </c>
      <c r="C152">
        <f>Main!T152</f>
        <v>121.96895294244729</v>
      </c>
      <c r="D152">
        <f t="shared" si="95"/>
        <v>242.07939491629011</v>
      </c>
      <c r="E152">
        <f t="shared" si="132"/>
        <v>28.494448607685285</v>
      </c>
      <c r="F152">
        <f t="shared" ref="E152:G152" si="155" xml:space="preserve"> (E153-E152)/$A152</f>
        <v>-126.32748211544254</v>
      </c>
      <c r="G152">
        <f t="shared" si="155"/>
        <v>4.7498234394538486</v>
      </c>
      <c r="H152">
        <f>Main!N152</f>
        <v>1.5545119999999999</v>
      </c>
    </row>
    <row r="153" spans="1:8" x14ac:dyDescent="0.25">
      <c r="A153">
        <f>Main!$K$2</f>
        <v>0.02</v>
      </c>
      <c r="B153">
        <f>Main!S153</f>
        <v>162.30773380445544</v>
      </c>
      <c r="C153">
        <f>Main!T153</f>
        <v>122.53878627632402</v>
      </c>
      <c r="D153">
        <f t="shared" si="95"/>
        <v>242.64928388844382</v>
      </c>
      <c r="E153">
        <f t="shared" si="132"/>
        <v>25.967898965376435</v>
      </c>
      <c r="F153">
        <f t="shared" ref="E153:G153" si="156" xml:space="preserve"> (E154-E153)/$A153</f>
        <v>-126.23248564665346</v>
      </c>
      <c r="G153">
        <f t="shared" si="156"/>
        <v>8.3748419363871562</v>
      </c>
      <c r="H153">
        <f>Main!N153</f>
        <v>1.5568869999999999</v>
      </c>
    </row>
    <row r="154" spans="1:8" x14ac:dyDescent="0.25">
      <c r="A154">
        <f>Main!$K$2</f>
        <v>0.02</v>
      </c>
      <c r="B154">
        <f>Main!S154</f>
        <v>162.3138705166875</v>
      </c>
      <c r="C154">
        <f>Main!T154</f>
        <v>123.05810799879802</v>
      </c>
      <c r="D154">
        <f t="shared" si="95"/>
        <v>243.16864186775135</v>
      </c>
      <c r="E154">
        <f t="shared" si="132"/>
        <v>23.443249252443366</v>
      </c>
      <c r="F154">
        <f t="shared" ref="E154:G154" si="157" xml:space="preserve"> (E155-E154)/$A154</f>
        <v>-126.06498880792572</v>
      </c>
      <c r="G154">
        <f t="shared" si="157"/>
        <v>42.124868446791197</v>
      </c>
      <c r="H154">
        <f>Main!N154</f>
        <v>1.5590379999999999</v>
      </c>
    </row>
    <row r="155" spans="1:8" x14ac:dyDescent="0.25">
      <c r="A155">
        <f>Main!$K$2</f>
        <v>0.02</v>
      </c>
      <c r="B155">
        <f>Main!S155</f>
        <v>162.31850281146228</v>
      </c>
      <c r="C155">
        <f>Main!T155</f>
        <v>123.52695010020318</v>
      </c>
      <c r="D155">
        <f t="shared" si="95"/>
        <v>243.63750685280021</v>
      </c>
      <c r="E155">
        <f t="shared" si="132"/>
        <v>20.921949476284851</v>
      </c>
      <c r="F155">
        <f t="shared" ref="E155:G155" si="158" xml:space="preserve"> (E156-E155)/$A155</f>
        <v>-125.22249143898989</v>
      </c>
      <c r="G155">
        <f t="shared" si="158"/>
        <v>250.62488171556652</v>
      </c>
      <c r="H155">
        <f>Main!N155</f>
        <v>1.5609679999999999</v>
      </c>
    </row>
    <row r="156" spans="1:8" x14ac:dyDescent="0.25">
      <c r="A156">
        <f>Main!$K$2</f>
        <v>0.02</v>
      </c>
      <c r="B156">
        <f>Main!S156</f>
        <v>162.32191721994468</v>
      </c>
      <c r="C156">
        <f>Main!T156</f>
        <v>123.94537515892937</v>
      </c>
      <c r="D156">
        <f t="shared" si="95"/>
        <v>244.05594584232591</v>
      </c>
      <c r="E156">
        <f t="shared" si="132"/>
        <v>18.417499647505053</v>
      </c>
      <c r="F156">
        <f t="shared" ref="E156:G156" si="159" xml:space="preserve"> (E157-E156)/$A156</f>
        <v>-120.20999380467856</v>
      </c>
      <c r="G156">
        <f t="shared" si="159"/>
        <v>424.49990109005853</v>
      </c>
      <c r="H156">
        <f>Main!N156</f>
        <v>1.5626819999999999</v>
      </c>
    </row>
    <row r="157" spans="1:8" x14ac:dyDescent="0.25">
      <c r="A157">
        <f>Main!$K$2</f>
        <v>0.02</v>
      </c>
      <c r="B157">
        <f>Main!S157</f>
        <v>162.32436751642479</v>
      </c>
      <c r="C157">
        <f>Main!T157</f>
        <v>124.3137170019957</v>
      </c>
      <c r="D157">
        <f t="shared" si="95"/>
        <v>244.42429583527601</v>
      </c>
      <c r="E157">
        <f t="shared" si="132"/>
        <v>16.013299771411482</v>
      </c>
      <c r="F157">
        <f t="shared" ref="E157:G157" si="160" xml:space="preserve"> (E158-E157)/$A157</f>
        <v>-111.71999578287739</v>
      </c>
      <c r="G157">
        <f t="shared" si="160"/>
        <v>422.74992949842272</v>
      </c>
      <c r="H157">
        <f>Main!N157</f>
        <v>1.564184</v>
      </c>
    </row>
    <row r="158" spans="1:8" x14ac:dyDescent="0.25">
      <c r="A158">
        <f>Main!$K$2</f>
        <v>0.02</v>
      </c>
      <c r="B158">
        <f>Main!S158</f>
        <v>162.32607985089399</v>
      </c>
      <c r="C158">
        <f>Main!T158</f>
        <v>124.63397841980667</v>
      </c>
      <c r="D158">
        <f t="shared" ref="D158:D172" si="161">D157 + SQRT( (B158-B157)^2  + (C158-C157)^2 )</f>
        <v>244.74456183070424</v>
      </c>
      <c r="E158">
        <f t="shared" si="132"/>
        <v>13.778899855753934</v>
      </c>
      <c r="F158">
        <f t="shared" ref="E158:G158" si="162" xml:space="preserve"> (E159-E158)/$A158</f>
        <v>-103.26499719290894</v>
      </c>
      <c r="G158">
        <f t="shared" si="162"/>
        <v>417.8749516121627</v>
      </c>
      <c r="H158">
        <f>Main!N158</f>
        <v>1.5654840000000001</v>
      </c>
    </row>
    <row r="159" spans="1:8" x14ac:dyDescent="0.25">
      <c r="A159">
        <f>Main!$K$2</f>
        <v>0.02</v>
      </c>
      <c r="B159">
        <f>Main!S159</f>
        <v>162.32724461929899</v>
      </c>
      <c r="C159">
        <f>Main!T159</f>
        <v>124.9095539553836</v>
      </c>
      <c r="D159">
        <f t="shared" si="161"/>
        <v>245.02013982781932</v>
      </c>
      <c r="E159">
        <f t="shared" si="132"/>
        <v>11.713599911895756</v>
      </c>
      <c r="F159">
        <f t="shared" ref="E159:G159" si="163" xml:space="preserve"> (E160-E159)/$A159</f>
        <v>-94.907498160665682</v>
      </c>
      <c r="G159">
        <f t="shared" si="163"/>
        <v>421.37496519245587</v>
      </c>
      <c r="H159">
        <f>Main!N159</f>
        <v>1.5665990000000001</v>
      </c>
    </row>
    <row r="160" spans="1:8" x14ac:dyDescent="0.25">
      <c r="A160">
        <f>Main!$K$2</f>
        <v>0.02</v>
      </c>
      <c r="B160">
        <f>Main!S160</f>
        <v>162.32801212970475</v>
      </c>
      <c r="C160">
        <f>Main!T160</f>
        <v>125.14382469637822</v>
      </c>
      <c r="D160">
        <f t="shared" si="161"/>
        <v>245.25441182605724</v>
      </c>
      <c r="E160">
        <f t="shared" si="132"/>
        <v>9.815449948682442</v>
      </c>
      <c r="F160">
        <f t="shared" ref="E160:G160" si="164" xml:space="preserve"> (E161-E160)/$A160</f>
        <v>-86.479998856816565</v>
      </c>
      <c r="G160">
        <f t="shared" si="164"/>
        <v>422.74997653279911</v>
      </c>
      <c r="H160">
        <f>Main!N160</f>
        <v>1.567545</v>
      </c>
    </row>
    <row r="161" spans="1:8" x14ac:dyDescent="0.25">
      <c r="A161">
        <f>Main!$K$2</f>
        <v>0.02</v>
      </c>
      <c r="B161">
        <f>Main!S161</f>
        <v>162.32849936645351</v>
      </c>
      <c r="C161">
        <f>Main!T161</f>
        <v>125.34013309069285</v>
      </c>
      <c r="D161">
        <f t="shared" si="161"/>
        <v>245.45072082503088</v>
      </c>
      <c r="E161">
        <f t="shared" si="132"/>
        <v>8.0858499715461107</v>
      </c>
      <c r="F161">
        <f t="shared" ref="E161:G161" si="165" xml:space="preserve"> (E162-E161)/$A161</f>
        <v>-78.024999326160582</v>
      </c>
      <c r="G161">
        <f t="shared" si="165"/>
        <v>414.74998581136902</v>
      </c>
      <c r="H161">
        <f>Main!N161</f>
        <v>1.568335</v>
      </c>
    </row>
    <row r="162" spans="1:8" x14ac:dyDescent="0.25">
      <c r="A162">
        <f>Main!$K$2</f>
        <v>0.02</v>
      </c>
      <c r="B162">
        <f>Main!S162</f>
        <v>162.32879518814622</v>
      </c>
      <c r="C162">
        <f>Main!T162</f>
        <v>125.50184981955682</v>
      </c>
      <c r="D162">
        <f t="shared" si="161"/>
        <v>245.61243782446181</v>
      </c>
      <c r="E162">
        <f t="shared" si="132"/>
        <v>6.5253499850228991</v>
      </c>
      <c r="F162">
        <f t="shared" ref="E162:G162" si="166" xml:space="preserve"> (E163-E162)/$A162</f>
        <v>-69.729999609933202</v>
      </c>
      <c r="G162">
        <f t="shared" si="166"/>
        <v>424.374990455334</v>
      </c>
      <c r="H162">
        <f>Main!N162</f>
        <v>1.5689839999999999</v>
      </c>
    </row>
    <row r="163" spans="1:8" x14ac:dyDescent="0.25">
      <c r="A163">
        <f>Main!$K$2</f>
        <v>0.02</v>
      </c>
      <c r="B163">
        <f>Main!S163</f>
        <v>162.32896510850679</v>
      </c>
      <c r="C163">
        <f>Main!T163</f>
        <v>125.63235670863892</v>
      </c>
      <c r="D163">
        <f t="shared" si="161"/>
        <v>245.74294482416227</v>
      </c>
      <c r="E163">
        <f t="shared" si="132"/>
        <v>5.1307499928242351</v>
      </c>
      <c r="F163">
        <f t="shared" ref="E163:G163" si="167" xml:space="preserve"> (E164-E163)/$A163</f>
        <v>-61.242499800826522</v>
      </c>
      <c r="G163">
        <f t="shared" si="167"/>
        <v>416.24999493450332</v>
      </c>
      <c r="H163">
        <f>Main!N163</f>
        <v>1.5695079999999999</v>
      </c>
    </row>
    <row r="164" spans="1:8" x14ac:dyDescent="0.25">
      <c r="A164">
        <f>Main!$K$2</f>
        <v>0.02</v>
      </c>
      <c r="B164">
        <f>Main!S164</f>
        <v>162.32905633064868</v>
      </c>
      <c r="C164">
        <f>Main!T164</f>
        <v>125.73497166794832</v>
      </c>
      <c r="D164">
        <f t="shared" si="161"/>
        <v>245.84555982401875</v>
      </c>
      <c r="E164">
        <f t="shared" si="132"/>
        <v>3.9058999968077046</v>
      </c>
      <c r="F164">
        <f t="shared" ref="E164:G164" si="168" xml:space="preserve"> (E165-E164)/$A164</f>
        <v>-52.917499902136456</v>
      </c>
      <c r="G164">
        <f t="shared" si="168"/>
        <v>418.12499720705887</v>
      </c>
      <c r="H164">
        <f>Main!N164</f>
        <v>1.5699179999999999</v>
      </c>
    </row>
    <row r="165" spans="1:8" x14ac:dyDescent="0.25">
      <c r="A165">
        <f>Main!$K$2</f>
        <v>0.02</v>
      </c>
      <c r="B165">
        <f>Main!S165</f>
        <v>162.32910112964328</v>
      </c>
      <c r="C165">
        <f>Main!T165</f>
        <v>125.81308965503885</v>
      </c>
      <c r="D165">
        <f t="shared" si="161"/>
        <v>245.9236778239549</v>
      </c>
      <c r="E165">
        <f t="shared" si="132"/>
        <v>2.8475499987649755</v>
      </c>
      <c r="F165">
        <f t="shared" ref="E165:G165" si="169" xml:space="preserve"> (E166-E165)/$A165</f>
        <v>-44.554999957995278</v>
      </c>
      <c r="G165">
        <f t="shared" si="169"/>
        <v>421.12499863478092</v>
      </c>
      <c r="H165">
        <f>Main!N165</f>
        <v>1.5702309999999999</v>
      </c>
    </row>
    <row r="166" spans="1:8" x14ac:dyDescent="0.25">
      <c r="A166">
        <f>Main!$K$2</f>
        <v>0.02</v>
      </c>
      <c r="B166">
        <f>Main!S166</f>
        <v>162.32912067863717</v>
      </c>
      <c r="C166">
        <f>Main!T166</f>
        <v>125.87004065165895</v>
      </c>
      <c r="D166">
        <f t="shared" si="161"/>
        <v>245.9806288239302</v>
      </c>
      <c r="E166">
        <f t="shared" si="132"/>
        <v>1.9564499996050699</v>
      </c>
      <c r="F166">
        <f t="shared" ref="E166:G166" si="170" xml:space="preserve"> (E167-E166)/$A166</f>
        <v>-36.13249998529966</v>
      </c>
      <c r="G166">
        <f t="shared" si="170"/>
        <v>416.37499947810852</v>
      </c>
      <c r="H166">
        <f>Main!N166</f>
        <v>1.570459</v>
      </c>
    </row>
    <row r="167" spans="1:8" x14ac:dyDescent="0.25">
      <c r="A167">
        <f>Main!$K$2</f>
        <v>0.02</v>
      </c>
      <c r="B167">
        <f>Main!S167</f>
        <v>162.32912793195729</v>
      </c>
      <c r="C167">
        <f>Main!T167</f>
        <v>125.90916965097878</v>
      </c>
      <c r="D167">
        <f t="shared" si="161"/>
        <v>246.0197578239223</v>
      </c>
      <c r="E167">
        <f t="shared" si="132"/>
        <v>1.2337999998990767</v>
      </c>
      <c r="F167">
        <f t="shared" ref="E167:G167" si="171" xml:space="preserve"> (E168-E167)/$A167</f>
        <v>-27.804999995737489</v>
      </c>
      <c r="G167">
        <f t="shared" si="171"/>
        <v>419.3749998222529</v>
      </c>
      <c r="H167">
        <f>Main!N167</f>
        <v>1.5706150000000001</v>
      </c>
    </row>
    <row r="168" spans="1:8" x14ac:dyDescent="0.25">
      <c r="A168">
        <f>Main!$K$2</f>
        <v>0.02</v>
      </c>
      <c r="B168">
        <f>Main!S168</f>
        <v>162.32913002715975</v>
      </c>
      <c r="C168">
        <f>Main!T168</f>
        <v>125.9338456508878</v>
      </c>
      <c r="D168">
        <f t="shared" si="161"/>
        <v>246.04443382392029</v>
      </c>
      <c r="E168">
        <f t="shared" si="132"/>
        <v>0.67769999998432695</v>
      </c>
      <c r="F168">
        <f t="shared" ref="E168:G168" si="172" xml:space="preserve"> (E169-E168)/$A168</f>
        <v>-19.417499999292431</v>
      </c>
      <c r="G168">
        <f t="shared" si="172"/>
        <v>418.24999997075452</v>
      </c>
      <c r="H168">
        <f>Main!N168</f>
        <v>1.5707139999999999</v>
      </c>
    </row>
    <row r="169" spans="1:8" x14ac:dyDescent="0.25">
      <c r="A169">
        <f>Main!$K$2</f>
        <v>0.02</v>
      </c>
      <c r="B169">
        <f>Main!S169</f>
        <v>162.32913043005516</v>
      </c>
      <c r="C169">
        <f>Main!T169</f>
        <v>125.94739965088151</v>
      </c>
      <c r="D169">
        <f t="shared" si="161"/>
        <v>246.05798782391997</v>
      </c>
      <c r="E169">
        <f t="shared" si="132"/>
        <v>0.28934999999847832</v>
      </c>
      <c r="F169">
        <f t="shared" ref="E169:G169" si="173" xml:space="preserve"> (E170-E169)/$A169</f>
        <v>-11.052499999877341</v>
      </c>
      <c r="G169">
        <f t="shared" si="173"/>
        <v>381.87499999153829</v>
      </c>
      <c r="H169">
        <f>Main!N169</f>
        <v>1.5707679999999999</v>
      </c>
    </row>
    <row r="170" spans="1:8" x14ac:dyDescent="0.25">
      <c r="A170">
        <f>Main!$K$2</f>
        <v>0.02</v>
      </c>
      <c r="B170">
        <f>Main!S170</f>
        <v>162.32913046431983</v>
      </c>
      <c r="C170">
        <f>Main!T170</f>
        <v>125.95318665088136</v>
      </c>
      <c r="D170">
        <f t="shared" si="161"/>
        <v>246.06377482391994</v>
      </c>
      <c r="E170">
        <f t="shared" si="132"/>
        <v>6.8300000000931504E-2</v>
      </c>
      <c r="F170">
        <f t="shared" ref="E170:G170" si="174" xml:space="preserve"> (E171-E170)/$A170</f>
        <v>-3.4150000000465752</v>
      </c>
      <c r="G170">
        <f t="shared" si="174"/>
        <v>170.75000000232876</v>
      </c>
      <c r="H170">
        <f>Main!N170</f>
        <v>1.570791</v>
      </c>
    </row>
    <row r="171" spans="1:8" x14ac:dyDescent="0.25">
      <c r="A171">
        <f>Main!$K$2</f>
        <v>0.02</v>
      </c>
      <c r="B171">
        <f>Main!S171</f>
        <v>162.32913046492874</v>
      </c>
      <c r="C171">
        <f>Main!T171</f>
        <v>125.95455265088138</v>
      </c>
      <c r="D171">
        <f t="shared" ref="D171:D172" si="175">D170 + SQRT( (B171-B170)^2  + (C171-C170)^2 )</f>
        <v>246.06514082391996</v>
      </c>
      <c r="E171">
        <f t="shared" si="132"/>
        <v>0</v>
      </c>
      <c r="F171">
        <f t="shared" ref="E171:G171" si="176" xml:space="preserve"> (E172-E171)/$A171</f>
        <v>0</v>
      </c>
      <c r="G171">
        <f t="shared" si="176"/>
        <v>0</v>
      </c>
      <c r="H171">
        <f>Main!N171</f>
        <v>1.5707960000000001</v>
      </c>
    </row>
    <row r="172" spans="1:8" x14ac:dyDescent="0.25">
      <c r="A172">
        <f>Main!$K$2</f>
        <v>0.02</v>
      </c>
      <c r="B172">
        <f>Main!S172</f>
        <v>162.32913046492874</v>
      </c>
      <c r="C172">
        <f>Main!T172</f>
        <v>125.95455265088138</v>
      </c>
      <c r="D172">
        <f t="shared" si="175"/>
        <v>246.06514082391996</v>
      </c>
      <c r="E172">
        <f xml:space="preserve"> IF(ISBLANK(D173), 0, (D173-D172)/$A172 )</f>
        <v>0</v>
      </c>
      <c r="F172">
        <f t="shared" ref="E172:G172" si="177" xml:space="preserve"> (E173-E172)/$A172</f>
        <v>0</v>
      </c>
      <c r="G172">
        <f t="shared" si="177"/>
        <v>0</v>
      </c>
      <c r="H172">
        <f>Main!N172</f>
        <v>1.5707960000000001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f>Main!$K$2</f>
        <v>0.02</v>
      </c>
      <c r="B2">
        <f>Main!V2</f>
        <v>7.1019929813620781E-3</v>
      </c>
      <c r="C2">
        <f>Main!W2</f>
        <v>12.999998060065074</v>
      </c>
      <c r="D2">
        <v>0</v>
      </c>
      <c r="E2">
        <f t="shared" ref="E2:E65" si="0" xml:space="preserve"> IF(ISBLANK(D3), 0, (D3-D2)/$A2 )</f>
        <v>7.9350000000000004E-2</v>
      </c>
      <c r="F2">
        <f xml:space="preserve"> (E3-E2)/$A2</f>
        <v>11.452500000009328</v>
      </c>
      <c r="G2">
        <f xml:space="preserve"> (F3-F2)/$A2</f>
        <v>393.25000000693541</v>
      </c>
      <c r="H2">
        <f>Main!N2</f>
        <v>6.2826389999999996</v>
      </c>
    </row>
    <row r="3" spans="1:8" x14ac:dyDescent="0.25">
      <c r="A3">
        <f>Main!$K$2</f>
        <v>0.02</v>
      </c>
      <c r="B3">
        <f>Main!V3</f>
        <v>8.6889927445407914E-3</v>
      </c>
      <c r="C3">
        <f>Main!W3</f>
        <v>12.999997193075624</v>
      </c>
      <c r="D3">
        <f>D2 + SQRT( (B3-B2)^2  + (C3-C2)^2 )</f>
        <v>1.5870000000000001E-3</v>
      </c>
      <c r="E3">
        <f t="shared" si="0"/>
        <v>0.30840000000018658</v>
      </c>
      <c r="F3">
        <f t="shared" ref="F3:G3" si="1" xml:space="preserve"> (E4-E3)/$A3</f>
        <v>19.317500000148037</v>
      </c>
      <c r="G3">
        <f t="shared" si="1"/>
        <v>382.50000002982301</v>
      </c>
      <c r="H3">
        <f>Main!N3</f>
        <v>6.2826389999999996</v>
      </c>
    </row>
    <row r="4" spans="1:8" x14ac:dyDescent="0.25">
      <c r="A4">
        <f>Main!$K$2</f>
        <v>0.02</v>
      </c>
      <c r="B4">
        <f>Main!V4</f>
        <v>1.4856991871368292E-2</v>
      </c>
      <c r="C4">
        <f>Main!W4</f>
        <v>12.999993911079093</v>
      </c>
      <c r="D4">
        <f t="shared" ref="D4:D67" si="2">D3 + SQRT( (B4-B3)^2  + (C4-C3)^2 )</f>
        <v>7.7550000000037311E-3</v>
      </c>
      <c r="E4">
        <f t="shared" si="0"/>
        <v>0.69475000000314735</v>
      </c>
      <c r="F4">
        <f t="shared" ref="F4:G4" si="3" xml:space="preserve"> (E5-E4)/$A4</f>
        <v>26.967500000744497</v>
      </c>
      <c r="G4">
        <f t="shared" si="3"/>
        <v>387.00000009436604</v>
      </c>
      <c r="H4">
        <f>Main!N4</f>
        <v>6.2826529999999998</v>
      </c>
    </row>
    <row r="5" spans="1:8" x14ac:dyDescent="0.25">
      <c r="A5">
        <f>Main!$K$2</f>
        <v>0.02</v>
      </c>
      <c r="B5">
        <f>Main!V5</f>
        <v>2.8751990121427429E-2</v>
      </c>
      <c r="C5">
        <f>Main!W5</f>
        <v>12.999986937371126</v>
      </c>
      <c r="D5">
        <f t="shared" si="2"/>
        <v>2.1650000000066678E-2</v>
      </c>
      <c r="E5">
        <f t="shared" si="0"/>
        <v>1.2341000000180373</v>
      </c>
      <c r="F5">
        <f t="shared" ref="F5:G5" si="4" xml:space="preserve"> (E6-E5)/$A5</f>
        <v>34.707500002631818</v>
      </c>
      <c r="G5">
        <f t="shared" si="4"/>
        <v>385.25000021859978</v>
      </c>
      <c r="H5">
        <f>Main!N5</f>
        <v>6.2826829999999996</v>
      </c>
    </row>
    <row r="6" spans="1:8" x14ac:dyDescent="0.25">
      <c r="A6">
        <f>Main!$K$2</f>
        <v>0.02</v>
      </c>
      <c r="B6">
        <f>Main!V6</f>
        <v>5.3433987661342462E-2</v>
      </c>
      <c r="C6">
        <f>Main!W6</f>
        <v>12.999975916598185</v>
      </c>
      <c r="D6">
        <f t="shared" si="2"/>
        <v>4.6332000000427427E-2</v>
      </c>
      <c r="E6">
        <f t="shared" si="0"/>
        <v>1.9282500000706737</v>
      </c>
      <c r="F6">
        <f t="shared" ref="F6:G6" si="5" xml:space="preserve"> (E7-E6)/$A6</f>
        <v>42.412500007003814</v>
      </c>
      <c r="G6">
        <f t="shared" si="5"/>
        <v>387.37500043576529</v>
      </c>
      <c r="H6">
        <f>Main!N6</f>
        <v>6.2827380000000002</v>
      </c>
    </row>
    <row r="7" spans="1:8" x14ac:dyDescent="0.25">
      <c r="A7">
        <f>Main!$K$2</f>
        <v>0.02</v>
      </c>
      <c r="B7">
        <f>Main!V7</f>
        <v>9.1998985162902433E-2</v>
      </c>
      <c r="C7">
        <f>Main!W7</f>
        <v>12.999962030861106</v>
      </c>
      <c r="D7">
        <f t="shared" si="2"/>
        <v>8.4897000001840903E-2</v>
      </c>
      <c r="E7">
        <f t="shared" si="0"/>
        <v>2.7765000002107501</v>
      </c>
      <c r="F7">
        <f t="shared" ref="F7:G7" si="6" xml:space="preserve"> (E8-E7)/$A7</f>
        <v>50.16000001571912</v>
      </c>
      <c r="G7">
        <f t="shared" si="6"/>
        <v>383.2508340316387</v>
      </c>
      <c r="H7">
        <f>Main!N7</f>
        <v>6.2828239999999997</v>
      </c>
    </row>
    <row r="8" spans="1:8" x14ac:dyDescent="0.25">
      <c r="A8">
        <f>Main!$K$2</f>
        <v>0.02</v>
      </c>
      <c r="B8">
        <f>Main!V8</f>
        <v>0.14752898362716735</v>
      </c>
      <c r="C8">
        <f>Main!W8</f>
        <v>12.999948953137542</v>
      </c>
      <c r="D8">
        <f t="shared" si="2"/>
        <v>0.1404270000060559</v>
      </c>
      <c r="E8">
        <f t="shared" si="0"/>
        <v>3.7797000005251324</v>
      </c>
      <c r="F8">
        <f t="shared" ref="F8:G8" si="7" xml:space="preserve"> (E9-E8)/$A8</f>
        <v>57.825016696351895</v>
      </c>
      <c r="G8">
        <f t="shared" si="7"/>
        <v>386.24833506190157</v>
      </c>
      <c r="H8">
        <f>Main!N8</f>
        <v>6.2829480000000002</v>
      </c>
    </row>
    <row r="9" spans="1:8" x14ac:dyDescent="0.25">
      <c r="A9">
        <f>Main!$K$2</f>
        <v>0.02</v>
      </c>
      <c r="B9">
        <f>Main!V9</f>
        <v>0.22312298346860487</v>
      </c>
      <c r="C9">
        <f>Main!W9</f>
        <v>12.999943897386611</v>
      </c>
      <c r="D9">
        <f t="shared" si="2"/>
        <v>0.21602100001655855</v>
      </c>
      <c r="E9">
        <f t="shared" si="0"/>
        <v>4.9362003344521703</v>
      </c>
      <c r="F9">
        <f t="shared" ref="F9:G9" si="8" xml:space="preserve"> (E10-E9)/$A9</f>
        <v>65.549983397589926</v>
      </c>
      <c r="G9">
        <f t="shared" si="8"/>
        <v>383.50083557433976</v>
      </c>
      <c r="H9">
        <f>Main!N9</f>
        <v>6.2831159999999997</v>
      </c>
    </row>
    <row r="10" spans="1:8" x14ac:dyDescent="0.25">
      <c r="A10">
        <f>Main!$K$2</f>
        <v>0.02</v>
      </c>
      <c r="B10">
        <f>Main!V10</f>
        <v>0.32184698898400382</v>
      </c>
      <c r="C10">
        <f>Main!W10</f>
        <v>12.999959120190708</v>
      </c>
      <c r="D10">
        <f t="shared" si="2"/>
        <v>0.31474500670560196</v>
      </c>
      <c r="E10">
        <f t="shared" si="0"/>
        <v>6.2472000024039689</v>
      </c>
      <c r="F10">
        <f t="shared" ref="F10:G10" si="9" xml:space="preserve"> (E11-E10)/$A10</f>
        <v>73.220000109076722</v>
      </c>
      <c r="G10">
        <f t="shared" si="9"/>
        <v>387.12500344104012</v>
      </c>
      <c r="H10">
        <f>Main!N10</f>
        <v>1.5100000000000001E-4</v>
      </c>
    </row>
    <row r="11" spans="1:8" x14ac:dyDescent="0.25">
      <c r="A11">
        <f>Main!$K$2</f>
        <v>0.02</v>
      </c>
      <c r="B11">
        <f>Main!V11</f>
        <v>0.44679097726242051</v>
      </c>
      <c r="C11">
        <f>Main!W11</f>
        <v>13.000013352075522</v>
      </c>
      <c r="D11">
        <f t="shared" si="2"/>
        <v>0.43968900675368133</v>
      </c>
      <c r="E11">
        <f t="shared" si="0"/>
        <v>7.7116000045855033</v>
      </c>
      <c r="F11">
        <f t="shared" ref="F11:G11" si="10" xml:space="preserve"> (E12-E11)/$A11</f>
        <v>80.962500177897525</v>
      </c>
      <c r="G11">
        <f t="shared" si="10"/>
        <v>383.62500534387249</v>
      </c>
      <c r="H11">
        <f>Main!N11</f>
        <v>4.2999999999999999E-4</v>
      </c>
    </row>
    <row r="12" spans="1:8" x14ac:dyDescent="0.25">
      <c r="A12">
        <f>Main!$K$2</f>
        <v>0.02</v>
      </c>
      <c r="B12">
        <f>Main!V12</f>
        <v>0.60102293031091802</v>
      </c>
      <c r="C12">
        <f>Main!W12</f>
        <v>13.000133814249336</v>
      </c>
      <c r="D12">
        <f t="shared" si="2"/>
        <v>0.5939210068453914</v>
      </c>
      <c r="E12">
        <f t="shared" si="0"/>
        <v>9.3308500081434538</v>
      </c>
      <c r="F12">
        <f t="shared" ref="F12:G12" si="11" xml:space="preserve"> (E13-E12)/$A12</f>
        <v>88.635000284774975</v>
      </c>
      <c r="G12">
        <f t="shared" si="11"/>
        <v>384.00000772456548</v>
      </c>
      <c r="H12">
        <f>Main!N12</f>
        <v>7.76E-4</v>
      </c>
    </row>
    <row r="13" spans="1:8" x14ac:dyDescent="0.25">
      <c r="A13">
        <f>Main!$K$2</f>
        <v>0.02</v>
      </c>
      <c r="B13">
        <f>Main!V13</f>
        <v>0.7876397958597734</v>
      </c>
      <c r="C13">
        <f>Main!W13</f>
        <v>13.000357962657118</v>
      </c>
      <c r="D13">
        <f t="shared" si="2"/>
        <v>0.78053800700826048</v>
      </c>
      <c r="E13">
        <f t="shared" si="0"/>
        <v>11.103550013838953</v>
      </c>
      <c r="F13">
        <f t="shared" ref="F13:G13" si="12" xml:space="preserve"> (E14-E13)/$A13</f>
        <v>96.315000439266285</v>
      </c>
      <c r="G13">
        <f t="shared" si="12"/>
        <v>383.75001084393716</v>
      </c>
      <c r="H13">
        <f>Main!N13</f>
        <v>1.1950000000000001E-3</v>
      </c>
    </row>
    <row r="14" spans="1:8" x14ac:dyDescent="0.25">
      <c r="A14">
        <f>Main!$K$2</f>
        <v>0.02</v>
      </c>
      <c r="B14">
        <f>Main!V14</f>
        <v>1.0097104743685419</v>
      </c>
      <c r="C14">
        <f>Main!W14</f>
        <v>13.000735997819969</v>
      </c>
      <c r="D14">
        <f t="shared" si="2"/>
        <v>1.0026090072850395</v>
      </c>
      <c r="E14">
        <f t="shared" si="0"/>
        <v>13.029850022624279</v>
      </c>
      <c r="F14">
        <f t="shared" ref="F14:G14" si="13" xml:space="preserve"> (E15-E14)/$A14</f>
        <v>103.99000065614503</v>
      </c>
      <c r="G14">
        <f t="shared" si="13"/>
        <v>382.25001536842808</v>
      </c>
      <c r="H14">
        <f>Main!N14</f>
        <v>1.6949999999999999E-3</v>
      </c>
    </row>
    <row r="15" spans="1:8" x14ac:dyDescent="0.25">
      <c r="A15">
        <f>Main!$K$2</f>
        <v>0.02</v>
      </c>
      <c r="B15">
        <f>Main!V15</f>
        <v>1.270306789938729</v>
      </c>
      <c r="C15">
        <f>Main!W15</f>
        <v>13.001333455832039</v>
      </c>
      <c r="D15">
        <f t="shared" si="2"/>
        <v>1.2632060077375251</v>
      </c>
      <c r="E15">
        <f t="shared" si="0"/>
        <v>15.10965003574718</v>
      </c>
      <c r="F15">
        <f t="shared" ref="F15:G15" si="14" xml:space="preserve"> (E16-E15)/$A15</f>
        <v>111.63500096351359</v>
      </c>
      <c r="G15">
        <f t="shared" si="14"/>
        <v>191.8750174846906</v>
      </c>
      <c r="H15">
        <f>Main!N15</f>
        <v>2.284E-3</v>
      </c>
    </row>
    <row r="16" spans="1:8" x14ac:dyDescent="0.25">
      <c r="A16">
        <f>Main!$K$2</f>
        <v>0.02</v>
      </c>
      <c r="B16">
        <f>Main!V16</f>
        <v>1.5724984487472091</v>
      </c>
      <c r="C16">
        <f>Main!W16</f>
        <v>13.002234026585027</v>
      </c>
      <c r="D16">
        <f t="shared" si="2"/>
        <v>1.5653990084524687</v>
      </c>
      <c r="E16">
        <f t="shared" si="0"/>
        <v>17.342350055017452</v>
      </c>
      <c r="F16">
        <f t="shared" ref="F16:G16" si="15" xml:space="preserve"> (E17-E16)/$A16</f>
        <v>115.4725013132074</v>
      </c>
      <c r="G16">
        <f t="shared" si="15"/>
        <v>-4.8749792783105761</v>
      </c>
      <c r="H16">
        <f>Main!N16</f>
        <v>2.97E-3</v>
      </c>
    </row>
    <row r="17" spans="1:8" x14ac:dyDescent="0.25">
      <c r="A17">
        <f>Main!$K$2</f>
        <v>0.02</v>
      </c>
      <c r="B17">
        <f>Main!V17</f>
        <v>1.9193429800869748</v>
      </c>
      <c r="C17">
        <f>Main!W17</f>
        <v>13.003542939112195</v>
      </c>
      <c r="D17">
        <f t="shared" si="2"/>
        <v>1.9122460095528178</v>
      </c>
      <c r="E17">
        <f t="shared" si="0"/>
        <v>19.6518000812816</v>
      </c>
      <c r="F17">
        <f t="shared" ref="F17:G17" si="16" xml:space="preserve"> (E18-E17)/$A17</f>
        <v>115.37500172764119</v>
      </c>
      <c r="G17">
        <f t="shared" si="16"/>
        <v>-1.6249773801035872</v>
      </c>
      <c r="H17">
        <f>Main!N17</f>
        <v>3.7620000000000002E-3</v>
      </c>
    </row>
    <row r="18" spans="1:8" x14ac:dyDescent="0.25">
      <c r="A18">
        <f>Main!$K$2</f>
        <v>0.02</v>
      </c>
      <c r="B18">
        <f>Main!V18</f>
        <v>2.3123746821840161</v>
      </c>
      <c r="C18">
        <f>Main!W18</f>
        <v>13.005381340745798</v>
      </c>
      <c r="D18">
        <f t="shared" si="2"/>
        <v>2.3052820111784498</v>
      </c>
      <c r="E18">
        <f t="shared" si="0"/>
        <v>21.959300115834424</v>
      </c>
      <c r="F18">
        <f t="shared" ref="F18:G18" si="17" xml:space="preserve"> (E19-E18)/$A18</f>
        <v>115.34250218003912</v>
      </c>
      <c r="G18">
        <f t="shared" si="17"/>
        <v>-6.4999704025851202</v>
      </c>
      <c r="H18">
        <f>Main!N18</f>
        <v>4.6639999999999997E-3</v>
      </c>
    </row>
    <row r="19" spans="1:8" x14ac:dyDescent="0.25">
      <c r="A19">
        <f>Main!$K$2</f>
        <v>0.02</v>
      </c>
      <c r="B19">
        <f>Main!V19</f>
        <v>2.7515535643368008</v>
      </c>
      <c r="C19">
        <f>Main!W19</f>
        <v>13.007882161000206</v>
      </c>
      <c r="D19">
        <f t="shared" si="2"/>
        <v>2.7444680134951382</v>
      </c>
      <c r="E19">
        <f t="shared" si="0"/>
        <v>24.266150159435206</v>
      </c>
      <c r="F19">
        <f t="shared" ref="F19:G19" si="18" xml:space="preserve"> (E20-E19)/$A19</f>
        <v>115.21250277198742</v>
      </c>
      <c r="G19">
        <f t="shared" si="18"/>
        <v>-1.6249695396460595</v>
      </c>
      <c r="H19">
        <f>Main!N19</f>
        <v>5.679E-3</v>
      </c>
    </row>
    <row r="20" spans="1:8" x14ac:dyDescent="0.25">
      <c r="A20">
        <f>Main!$K$2</f>
        <v>0.02</v>
      </c>
      <c r="B20">
        <f>Main!V20</f>
        <v>3.23686526400832</v>
      </c>
      <c r="C20">
        <f>Main!W20</f>
        <v>13.011194499455724</v>
      </c>
      <c r="D20">
        <f t="shared" si="2"/>
        <v>3.2297910166838424</v>
      </c>
      <c r="E20">
        <f t="shared" si="0"/>
        <v>26.570400214874955</v>
      </c>
      <c r="F20">
        <f t="shared" ref="F20:G20" si="19" xml:space="preserve"> (E21-E20)/$A20</f>
        <v>115.1800033811945</v>
      </c>
      <c r="G20">
        <f t="shared" si="19"/>
        <v>-6.4999603882576196</v>
      </c>
      <c r="H20">
        <f>Main!N20</f>
        <v>6.8079999999999998E-3</v>
      </c>
    </row>
    <row r="21" spans="1:8" x14ac:dyDescent="0.25">
      <c r="A21">
        <f>Main!$K$2</f>
        <v>0.02</v>
      </c>
      <c r="B21">
        <f>Main!V21</f>
        <v>3.7682559472080044</v>
      </c>
      <c r="C21">
        <f>Main!W21</f>
        <v>13.015485051870463</v>
      </c>
      <c r="D21">
        <f t="shared" si="2"/>
        <v>3.7611990209813415</v>
      </c>
      <c r="E21">
        <f t="shared" si="0"/>
        <v>28.874000282498844</v>
      </c>
      <c r="F21">
        <f t="shared" ref="F21:G21" si="20" xml:space="preserve"> (E22-E21)/$A21</f>
        <v>115.05000417342934</v>
      </c>
      <c r="G21">
        <f t="shared" si="20"/>
        <v>-4.8749559311559665</v>
      </c>
      <c r="H21">
        <f>Main!N21</f>
        <v>8.0549999999999997E-3</v>
      </c>
    </row>
    <row r="22" spans="1:8" x14ac:dyDescent="0.25">
      <c r="A22">
        <f>Main!$K$2</f>
        <v>0.02</v>
      </c>
      <c r="B22">
        <f>Main!V22</f>
        <v>4.3457102114687194</v>
      </c>
      <c r="C22">
        <f>Main!W22</f>
        <v>13.02093753869881</v>
      </c>
      <c r="D22">
        <f t="shared" si="2"/>
        <v>4.3386790266313184</v>
      </c>
      <c r="E22">
        <f t="shared" si="0"/>
        <v>31.175000365967431</v>
      </c>
      <c r="F22">
        <f t="shared" ref="F22:G22" si="21" xml:space="preserve"> (E23-E22)/$A22</f>
        <v>114.95250505480622</v>
      </c>
      <c r="G22">
        <f t="shared" si="21"/>
        <v>-4.7499496354049597</v>
      </c>
      <c r="H22">
        <f>Main!N22</f>
        <v>9.4210000000000006E-3</v>
      </c>
    </row>
    <row r="23" spans="1:8" x14ac:dyDescent="0.25">
      <c r="A23">
        <f>Main!$K$2</f>
        <v>0.02</v>
      </c>
      <c r="B23">
        <f>Main!V23</f>
        <v>4.9691729547549954</v>
      </c>
      <c r="C23">
        <f>Main!W23</f>
        <v>13.027754199257993</v>
      </c>
      <c r="D23">
        <f t="shared" si="2"/>
        <v>4.9621790339506671</v>
      </c>
      <c r="E23">
        <f t="shared" si="0"/>
        <v>33.474050467063556</v>
      </c>
      <c r="F23">
        <f t="shared" ref="F23:G23" si="22" xml:space="preserve"> (E24-E23)/$A23</f>
        <v>114.85750606209812</v>
      </c>
      <c r="G23">
        <f t="shared" si="22"/>
        <v>-8.3749368624452813</v>
      </c>
      <c r="H23">
        <f>Main!N23</f>
        <v>1.091E-2</v>
      </c>
    </row>
    <row r="24" spans="1:8" x14ac:dyDescent="0.25">
      <c r="A24">
        <f>Main!$K$2</f>
        <v>0.02</v>
      </c>
      <c r="B24">
        <f>Main!V24</f>
        <v>5.6386012396057144</v>
      </c>
      <c r="C24">
        <f>Main!W24</f>
        <v>13.036156181787852</v>
      </c>
      <c r="D24">
        <f t="shared" si="2"/>
        <v>5.6316600432919381</v>
      </c>
      <c r="E24">
        <f t="shared" si="0"/>
        <v>35.771200588305518</v>
      </c>
      <c r="F24">
        <f t="shared" ref="F24:G24" si="23" xml:space="preserve"> (E25-E24)/$A24</f>
        <v>114.69000732484922</v>
      </c>
      <c r="G24">
        <f t="shared" si="23"/>
        <v>-6.3749301236804001</v>
      </c>
      <c r="H24">
        <f>Main!N24</f>
        <v>1.2525E-2</v>
      </c>
    </row>
    <row r="25" spans="1:8" x14ac:dyDescent="0.25">
      <c r="A25">
        <f>Main!$K$2</f>
        <v>0.02</v>
      </c>
      <c r="B25">
        <f>Main!V25</f>
        <v>6.3539521385217839</v>
      </c>
      <c r="C25">
        <f>Main!W25</f>
        <v>13.046383988565809</v>
      </c>
      <c r="D25">
        <f t="shared" si="2"/>
        <v>6.3470840550580485</v>
      </c>
      <c r="E25">
        <f t="shared" si="0"/>
        <v>38.065000734802503</v>
      </c>
      <c r="F25">
        <f t="shared" ref="F25:G25" si="24" xml:space="preserve"> (E26-E25)/$A25</f>
        <v>114.56250872237561</v>
      </c>
      <c r="G25">
        <f t="shared" si="24"/>
        <v>-4.7499242053028468</v>
      </c>
      <c r="H25">
        <f>Main!N25</f>
        <v>1.4269E-2</v>
      </c>
    </row>
    <row r="26" spans="1:8" x14ac:dyDescent="0.25">
      <c r="A26">
        <f>Main!$K$2</f>
        <v>0.02</v>
      </c>
      <c r="B26">
        <f>Main!V26</f>
        <v>7.1151525396743507</v>
      </c>
      <c r="C26">
        <f>Main!W26</f>
        <v>13.058699087484516</v>
      </c>
      <c r="D26">
        <f t="shared" si="2"/>
        <v>7.1083840697540985</v>
      </c>
      <c r="E26">
        <f t="shared" si="0"/>
        <v>40.356250909250015</v>
      </c>
      <c r="F26">
        <f t="shared" ref="F26:G26" si="25" xml:space="preserve"> (E27-E26)/$A26</f>
        <v>114.46751023826955</v>
      </c>
      <c r="G26">
        <f t="shared" si="25"/>
        <v>-11.624897235371634</v>
      </c>
      <c r="H26">
        <f>Main!N26</f>
        <v>1.6147000000000002E-2</v>
      </c>
    </row>
    <row r="27" spans="1:8" x14ac:dyDescent="0.25">
      <c r="A27">
        <f>Main!$K$2</f>
        <v>0.02</v>
      </c>
      <c r="B27">
        <f>Main!V27</f>
        <v>7.922143948209551</v>
      </c>
      <c r="C27">
        <f>Main!W27</f>
        <v>13.073384506460862</v>
      </c>
      <c r="D27">
        <f t="shared" si="2"/>
        <v>7.9155090879390988</v>
      </c>
      <c r="E27">
        <f t="shared" si="0"/>
        <v>42.645601114015406</v>
      </c>
      <c r="F27">
        <f t="shared" ref="F27:G27" si="26" xml:space="preserve"> (E28-E27)/$A27</f>
        <v>114.23501229356212</v>
      </c>
      <c r="G27">
        <f t="shared" si="26"/>
        <v>-4.7499004046791526</v>
      </c>
      <c r="H27">
        <f>Main!N27</f>
        <v>1.8162999999999999E-2</v>
      </c>
    </row>
    <row r="28" spans="1:8" x14ac:dyDescent="0.25">
      <c r="A28">
        <f>Main!$K$2</f>
        <v>0.02</v>
      </c>
      <c r="B28">
        <f>Main!V28</f>
        <v>8.7748792768226984</v>
      </c>
      <c r="C28">
        <f>Main!W28</f>
        <v>13.090744722050335</v>
      </c>
      <c r="D28">
        <f t="shared" si="2"/>
        <v>8.768421110219407</v>
      </c>
      <c r="E28">
        <f t="shared" si="0"/>
        <v>44.930301359886649</v>
      </c>
      <c r="F28">
        <f t="shared" ref="F28:G28" si="27" xml:space="preserve"> (E29-E28)/$A28</f>
        <v>114.14001428546854</v>
      </c>
      <c r="G28">
        <f t="shared" si="27"/>
        <v>-11.249866231679562</v>
      </c>
      <c r="H28">
        <f>Main!N28</f>
        <v>2.0320000000000001E-2</v>
      </c>
    </row>
    <row r="29" spans="1:8" x14ac:dyDescent="0.25">
      <c r="A29">
        <f>Main!$K$2</f>
        <v>0.02</v>
      </c>
      <c r="B29">
        <f>Main!V29</f>
        <v>9.6732545378876278</v>
      </c>
      <c r="C29">
        <f>Main!W29</f>
        <v>13.111108474715586</v>
      </c>
      <c r="D29">
        <f t="shared" si="2"/>
        <v>9.6670271374171399</v>
      </c>
      <c r="E29">
        <f t="shared" si="0"/>
        <v>47.213101645596019</v>
      </c>
      <c r="F29">
        <f t="shared" ref="F29:G29" si="28" xml:space="preserve"> (E30-E29)/$A29</f>
        <v>113.91501696083495</v>
      </c>
      <c r="G29">
        <f t="shared" si="28"/>
        <v>-11.499845389284502</v>
      </c>
      <c r="H29">
        <f>Main!N29</f>
        <v>2.2624999999999999E-2</v>
      </c>
    </row>
    <row r="30" spans="1:8" x14ac:dyDescent="0.25">
      <c r="A30">
        <f>Main!$K$2</f>
        <v>0.02</v>
      </c>
      <c r="B30">
        <f>Main!V30</f>
        <v>10.617218605179112</v>
      </c>
      <c r="C30">
        <f>Main!W30</f>
        <v>13.134828223058914</v>
      </c>
      <c r="D30">
        <f t="shared" si="2"/>
        <v>10.61128917032906</v>
      </c>
      <c r="E30">
        <f t="shared" si="0"/>
        <v>49.491401984812718</v>
      </c>
      <c r="F30">
        <f t="shared" ref="F30:G30" si="29" xml:space="preserve"> (E31-E30)/$A30</f>
        <v>113.68502005304926</v>
      </c>
      <c r="G30">
        <f t="shared" si="29"/>
        <v>-6.6248439920535418</v>
      </c>
      <c r="H30">
        <f>Main!N30</f>
        <v>2.5080999999999999E-2</v>
      </c>
    </row>
    <row r="31" spans="1:8" x14ac:dyDescent="0.25">
      <c r="A31">
        <f>Main!$K$2</f>
        <v>0.02</v>
      </c>
      <c r="B31">
        <f>Main!V31</f>
        <v>11.606665832741804</v>
      </c>
      <c r="C31">
        <f>Main!W31</f>
        <v>13.162282403750233</v>
      </c>
      <c r="D31">
        <f t="shared" si="2"/>
        <v>11.601117210025315</v>
      </c>
      <c r="E31">
        <f t="shared" si="0"/>
        <v>51.765102385873703</v>
      </c>
      <c r="F31">
        <f t="shared" ref="F31:G31" si="30" xml:space="preserve"> (E32-E31)/$A31</f>
        <v>113.55252317320819</v>
      </c>
      <c r="G31">
        <f t="shared" si="30"/>
        <v>-14.374784964577003</v>
      </c>
      <c r="H31">
        <f>Main!N31</f>
        <v>2.7695000000000001E-2</v>
      </c>
    </row>
    <row r="32" spans="1:8" x14ac:dyDescent="0.25">
      <c r="A32">
        <f>Main!$K$2</f>
        <v>0.02</v>
      </c>
      <c r="B32">
        <f>Main!V32</f>
        <v>12.641485662713668</v>
      </c>
      <c r="C32">
        <f>Main!W32</f>
        <v>13.193877490472644</v>
      </c>
      <c r="D32">
        <f t="shared" si="2"/>
        <v>12.636419257742789</v>
      </c>
      <c r="E32">
        <f t="shared" si="0"/>
        <v>54.036152849337867</v>
      </c>
      <c r="F32">
        <f t="shared" ref="F32:G32" si="31" xml:space="preserve"> (E33-E32)/$A32</f>
        <v>113.26502747391665</v>
      </c>
      <c r="G32">
        <f t="shared" si="31"/>
        <v>-9.874778430507547</v>
      </c>
      <c r="H32">
        <f>Main!N32</f>
        <v>3.0474000000000001E-2</v>
      </c>
    </row>
    <row r="33" spans="1:8" x14ac:dyDescent="0.25">
      <c r="A33">
        <f>Main!$K$2</f>
        <v>0.02</v>
      </c>
      <c r="B33">
        <f>Main!V33</f>
        <v>13.721603286684088</v>
      </c>
      <c r="C33">
        <f>Main!W33</f>
        <v>13.230047150289925</v>
      </c>
      <c r="D33">
        <f t="shared" si="2"/>
        <v>13.717142314729546</v>
      </c>
      <c r="E33">
        <f t="shared" si="0"/>
        <v>56.3014533988162</v>
      </c>
      <c r="F33">
        <f t="shared" ref="F33:G33" si="32" xml:space="preserve"> (E34-E33)/$A33</f>
        <v>113.0675319053065</v>
      </c>
      <c r="G33">
        <f t="shared" si="32"/>
        <v>-16.374708473367861</v>
      </c>
      <c r="H33">
        <f>Main!N33</f>
        <v>3.3422E-2</v>
      </c>
    </row>
    <row r="34" spans="1:8" x14ac:dyDescent="0.25">
      <c r="A34">
        <f>Main!$K$2</f>
        <v>0.02</v>
      </c>
      <c r="B34">
        <f>Main!V34</f>
        <v>14.846878065458666</v>
      </c>
      <c r="C34">
        <f>Main!W34</f>
        <v>13.271255573960978</v>
      </c>
      <c r="D34">
        <f t="shared" si="2"/>
        <v>14.84317138270587</v>
      </c>
      <c r="E34">
        <f t="shared" si="0"/>
        <v>58.56280403692233</v>
      </c>
      <c r="F34">
        <f t="shared" ref="F34:G34" si="33" xml:space="preserve"> (E35-E34)/$A34</f>
        <v>112.74003773583914</v>
      </c>
      <c r="G34">
        <f t="shared" si="33"/>
        <v>-9.4997087922799039</v>
      </c>
      <c r="H34">
        <f>Main!N34</f>
        <v>3.6547999999999997E-2</v>
      </c>
    </row>
    <row r="35" spans="1:8" x14ac:dyDescent="0.25">
      <c r="A35">
        <f>Main!$K$2</f>
        <v>0.02</v>
      </c>
      <c r="B35">
        <f>Main!V35</f>
        <v>16.017201065538579</v>
      </c>
      <c r="C35">
        <f>Main!W35</f>
        <v>13.317998296931894</v>
      </c>
      <c r="D35">
        <f t="shared" si="2"/>
        <v>16.014427463444317</v>
      </c>
      <c r="E35">
        <f t="shared" si="0"/>
        <v>60.817604791639113</v>
      </c>
      <c r="F35">
        <f t="shared" ref="F35:G35" si="34" xml:space="preserve"> (E36-E35)/$A35</f>
        <v>112.55004355999354</v>
      </c>
      <c r="G35">
        <f t="shared" si="34"/>
        <v>-17.999608555641089</v>
      </c>
      <c r="H35">
        <f>Main!N35</f>
        <v>3.9857999999999998E-2</v>
      </c>
    </row>
    <row r="36" spans="1:8" x14ac:dyDescent="0.25">
      <c r="A36">
        <f>Main!$K$2</f>
        <v>0.02</v>
      </c>
      <c r="B36">
        <f>Main!V36</f>
        <v>17.232406347467823</v>
      </c>
      <c r="C36">
        <f>Main!W36</f>
        <v>13.370804961360431</v>
      </c>
      <c r="D36">
        <f t="shared" si="2"/>
        <v>17.230779559277099</v>
      </c>
      <c r="E36">
        <f t="shared" si="0"/>
        <v>63.068605662838984</v>
      </c>
      <c r="F36">
        <f t="shared" ref="F36:G36" si="35" xml:space="preserve"> (E37-E36)/$A36</f>
        <v>112.19005138888072</v>
      </c>
      <c r="G36">
        <f t="shared" si="35"/>
        <v>-16.249561904064791</v>
      </c>
      <c r="H36">
        <f>Main!N36</f>
        <v>4.3361999999999998E-2</v>
      </c>
    </row>
    <row r="37" spans="1:8" x14ac:dyDescent="0.25">
      <c r="A37">
        <f>Main!$K$2</f>
        <v>0.02</v>
      </c>
      <c r="B37">
        <f>Main!V37</f>
        <v>18.492377418765695</v>
      </c>
      <c r="C37">
        <f>Main!W37</f>
        <v>13.430239863517018</v>
      </c>
      <c r="D37">
        <f t="shared" si="2"/>
        <v>18.492151672533879</v>
      </c>
      <c r="E37">
        <f t="shared" si="0"/>
        <v>65.312406690616598</v>
      </c>
      <c r="F37">
        <f t="shared" ref="F37:G37" si="36" xml:space="preserve"> (E38-E37)/$A37</f>
        <v>111.86506015079942</v>
      </c>
      <c r="G37">
        <f t="shared" si="36"/>
        <v>-14.624514175203274</v>
      </c>
      <c r="H37">
        <f>Main!N37</f>
        <v>4.7065999999999997E-2</v>
      </c>
    </row>
    <row r="38" spans="1:8" x14ac:dyDescent="0.25">
      <c r="A38">
        <f>Main!$K$2</f>
        <v>0.02</v>
      </c>
      <c r="B38">
        <f>Main!V38</f>
        <v>19.796923329357909</v>
      </c>
      <c r="C38">
        <f>Main!W38</f>
        <v>13.496904353654774</v>
      </c>
      <c r="D38">
        <f t="shared" si="2"/>
        <v>19.798399806346211</v>
      </c>
      <c r="E38">
        <f t="shared" si="0"/>
        <v>67.549707893632586</v>
      </c>
      <c r="F38">
        <f t="shared" ref="F38:G38" si="37" xml:space="preserve"> (E39-E38)/$A38</f>
        <v>111.57256986729536</v>
      </c>
      <c r="G38">
        <f t="shared" si="37"/>
        <v>-19.499394496840239</v>
      </c>
      <c r="H38">
        <f>Main!N38</f>
        <v>5.0980999999999999E-2</v>
      </c>
    </row>
    <row r="39" spans="1:8" x14ac:dyDescent="0.25">
      <c r="A39">
        <f>Main!$K$2</f>
        <v>0.02</v>
      </c>
      <c r="B39">
        <f>Main!V39</f>
        <v>21.145859795079264</v>
      </c>
      <c r="C39">
        <f>Main!W39</f>
        <v>13.571440425815947</v>
      </c>
      <c r="D39">
        <f t="shared" si="2"/>
        <v>21.149393964218863</v>
      </c>
      <c r="E39">
        <f t="shared" si="0"/>
        <v>69.781159290978493</v>
      </c>
      <c r="F39">
        <f t="shared" ref="F39:G39" si="38" xml:space="preserve"> (E40-E39)/$A39</f>
        <v>111.18258197735855</v>
      </c>
      <c r="G39">
        <f t="shared" si="38"/>
        <v>-19.499303468357709</v>
      </c>
      <c r="H39">
        <f>Main!N39</f>
        <v>5.5116999999999999E-2</v>
      </c>
    </row>
    <row r="40" spans="1:8" x14ac:dyDescent="0.25">
      <c r="A40">
        <f>Main!$K$2</f>
        <v>0.02</v>
      </c>
      <c r="B40">
        <f>Main!V40</f>
        <v>22.539007321549068</v>
      </c>
      <c r="C40">
        <f>Main!W40</f>
        <v>13.654531016668543</v>
      </c>
      <c r="D40">
        <f t="shared" si="2"/>
        <v>22.545017150038433</v>
      </c>
      <c r="E40">
        <f t="shared" si="0"/>
        <v>72.004810930525665</v>
      </c>
      <c r="F40">
        <f t="shared" ref="F40:G40" si="39" xml:space="preserve"> (E41-E40)/$A40</f>
        <v>110.7925959079914</v>
      </c>
      <c r="G40">
        <f t="shared" si="39"/>
        <v>-21.124178987825815</v>
      </c>
      <c r="H40">
        <f>Main!N40</f>
        <v>5.9483000000000001E-2</v>
      </c>
    </row>
    <row r="41" spans="1:8" x14ac:dyDescent="0.25">
      <c r="A41">
        <f>Main!$K$2</f>
        <v>0.02</v>
      </c>
      <c r="B41">
        <f>Main!V41</f>
        <v>23.976137996026306</v>
      </c>
      <c r="C41">
        <f>Main!W41</f>
        <v>13.746902783637147</v>
      </c>
      <c r="D41">
        <f t="shared" si="2"/>
        <v>23.985113368648946</v>
      </c>
      <c r="E41">
        <f t="shared" si="0"/>
        <v>74.220662848685492</v>
      </c>
      <c r="F41">
        <f t="shared" ref="F41:G41" si="40" xml:space="preserve"> (E42-E41)/$A41</f>
        <v>110.37011232823488</v>
      </c>
      <c r="G41">
        <f t="shared" si="40"/>
        <v>-22.749032284146153</v>
      </c>
      <c r="H41">
        <f>Main!N41</f>
        <v>6.4090999999999995E-2</v>
      </c>
    </row>
    <row r="42" spans="1:8" x14ac:dyDescent="0.25">
      <c r="A42">
        <f>Main!$K$2</f>
        <v>0.02</v>
      </c>
      <c r="B42">
        <f>Main!V42</f>
        <v>25.457013223082278</v>
      </c>
      <c r="C42">
        <f>Main!W42</f>
        <v>13.849329730146435</v>
      </c>
      <c r="D42">
        <f t="shared" si="2"/>
        <v>25.469526625622656</v>
      </c>
      <c r="E42">
        <f t="shared" si="0"/>
        <v>76.42806509525019</v>
      </c>
      <c r="F42">
        <f t="shared" ref="F42:G42" si="41" xml:space="preserve"> (E43-E42)/$A42</f>
        <v>109.91513168255196</v>
      </c>
      <c r="G42">
        <f t="shared" si="41"/>
        <v>-212.99902383731251</v>
      </c>
      <c r="H42">
        <f>Main!N42</f>
        <v>6.8953E-2</v>
      </c>
    </row>
    <row r="43" spans="1:8" x14ac:dyDescent="0.25">
      <c r="A43">
        <f>Main!$K$2</f>
        <v>0.02</v>
      </c>
      <c r="B43">
        <f>Main!V43</f>
        <v>26.981369296226585</v>
      </c>
      <c r="C43">
        <f>Main!W43</f>
        <v>13.96263558149397</v>
      </c>
      <c r="D43">
        <f t="shared" si="2"/>
        <v>26.99808792752766</v>
      </c>
      <c r="E43">
        <f t="shared" si="0"/>
        <v>78.626367728901229</v>
      </c>
      <c r="F43">
        <f t="shared" ref="F43:G43" si="42" xml:space="preserve"> (E44-E43)/$A43</f>
        <v>105.65515120580571</v>
      </c>
      <c r="G43">
        <f t="shared" si="42"/>
        <v>-404.99902665747101</v>
      </c>
      <c r="H43">
        <f>Main!N43</f>
        <v>7.4081999999999995E-2</v>
      </c>
    </row>
    <row r="44" spans="1:8" x14ac:dyDescent="0.25">
      <c r="A44">
        <f>Main!$K$2</f>
        <v>0.02</v>
      </c>
      <c r="B44">
        <f>Main!V44</f>
        <v>28.548915765301398</v>
      </c>
      <c r="C44">
        <f>Main!W44</f>
        <v>14.087696959174091</v>
      </c>
      <c r="D44">
        <f t="shared" si="2"/>
        <v>28.570615282105685</v>
      </c>
      <c r="E44">
        <f t="shared" si="0"/>
        <v>80.739470753017343</v>
      </c>
      <c r="F44">
        <f t="shared" ref="F44:G44" si="43" xml:space="preserve"> (E45-E44)/$A44</f>
        <v>97.555170672656288</v>
      </c>
      <c r="G44">
        <f t="shared" si="43"/>
        <v>-401.62400335262305</v>
      </c>
      <c r="H44">
        <f>Main!N44</f>
        <v>7.9491999999999993E-2</v>
      </c>
    </row>
    <row r="45" spans="1:8" x14ac:dyDescent="0.25">
      <c r="A45">
        <f>Main!$K$2</f>
        <v>0.02</v>
      </c>
      <c r="B45">
        <f>Main!V45</f>
        <v>30.157830930437363</v>
      </c>
      <c r="C45">
        <f>Main!W45</f>
        <v>14.225308173784139</v>
      </c>
      <c r="D45">
        <f t="shared" si="2"/>
        <v>30.185404697166032</v>
      </c>
      <c r="E45">
        <f t="shared" si="0"/>
        <v>82.690574166470469</v>
      </c>
      <c r="F45">
        <f t="shared" ref="F45:G45" si="44" xml:space="preserve"> (E46-E45)/$A45</f>
        <v>89.522690605603827</v>
      </c>
      <c r="G45">
        <f t="shared" si="44"/>
        <v>-403.49888969572589</v>
      </c>
      <c r="H45">
        <f>Main!N45</f>
        <v>8.5192000000000004E-2</v>
      </c>
    </row>
    <row r="46" spans="1:8" x14ac:dyDescent="0.25">
      <c r="A46">
        <f>Main!$K$2</f>
        <v>0.02</v>
      </c>
      <c r="B46">
        <f>Main!V46</f>
        <v>31.804750109486889</v>
      </c>
      <c r="C46">
        <f>Main!W46</f>
        <v>14.376138011916572</v>
      </c>
      <c r="D46">
        <f t="shared" si="2"/>
        <v>31.839216180495441</v>
      </c>
      <c r="E46">
        <f t="shared" si="0"/>
        <v>84.481027978582546</v>
      </c>
      <c r="F46">
        <f t="shared" ref="F46:G46" si="45" xml:space="preserve"> (E47-E46)/$A46</f>
        <v>81.45271281168931</v>
      </c>
      <c r="G46">
        <f t="shared" si="45"/>
        <v>-404.74875803386823</v>
      </c>
      <c r="H46">
        <f>Main!N46</f>
        <v>9.1187000000000004E-2</v>
      </c>
    </row>
    <row r="47" spans="1:8" x14ac:dyDescent="0.25">
      <c r="A47">
        <f>Main!$K$2</f>
        <v>0.02</v>
      </c>
      <c r="B47">
        <f>Main!V47</f>
        <v>33.486324268331856</v>
      </c>
      <c r="C47">
        <f>Main!W47</f>
        <v>14.540837689002027</v>
      </c>
      <c r="D47">
        <f t="shared" si="2"/>
        <v>33.528836740067092</v>
      </c>
      <c r="E47">
        <f t="shared" si="0"/>
        <v>86.110082234816332</v>
      </c>
      <c r="F47">
        <f t="shared" ref="F47:G47" si="46" xml:space="preserve"> (E48-E47)/$A47</f>
        <v>73.357737651011945</v>
      </c>
      <c r="G47">
        <f t="shared" si="46"/>
        <v>-401.74873953269241</v>
      </c>
      <c r="H47">
        <f>Main!N47</f>
        <v>9.7479999999999997E-2</v>
      </c>
    </row>
    <row r="48" spans="1:8" x14ac:dyDescent="0.25">
      <c r="A48">
        <f>Main!$K$2</f>
        <v>0.02</v>
      </c>
      <c r="B48">
        <f>Main!V48</f>
        <v>35.199177831389228</v>
      </c>
      <c r="C48">
        <f>Main!W48</f>
        <v>14.720033605574947</v>
      </c>
      <c r="D48">
        <f t="shared" si="2"/>
        <v>35.251038384763419</v>
      </c>
      <c r="E48">
        <f t="shared" si="0"/>
        <v>87.577236987836571</v>
      </c>
      <c r="F48">
        <f t="shared" ref="F48:G48" si="47" xml:space="preserve"> (E49-E48)/$A48</f>
        <v>65.322762860358097</v>
      </c>
      <c r="G48">
        <f t="shared" si="47"/>
        <v>-400.24869794219597</v>
      </c>
      <c r="H48">
        <f>Main!N48</f>
        <v>0.104075</v>
      </c>
    </row>
    <row r="49" spans="1:8" x14ac:dyDescent="0.25">
      <c r="A49">
        <f>Main!$K$2</f>
        <v>0.02</v>
      </c>
      <c r="B49">
        <f>Main!V49</f>
        <v>36.93991339633601</v>
      </c>
      <c r="C49">
        <f>Main!W49</f>
        <v>14.914323770788927</v>
      </c>
      <c r="D49">
        <f t="shared" si="2"/>
        <v>37.00258312452015</v>
      </c>
      <c r="E49">
        <f t="shared" si="0"/>
        <v>88.883692245043733</v>
      </c>
      <c r="F49">
        <f t="shared" ref="F49:G49" si="48" xml:space="preserve"> (E50-E49)/$A49</f>
        <v>57.317788901514177</v>
      </c>
      <c r="G49">
        <f t="shared" si="48"/>
        <v>-401.49856344040558</v>
      </c>
      <c r="H49">
        <f>Main!N49</f>
        <v>0.11097700000000001</v>
      </c>
    </row>
    <row r="50" spans="1:8" x14ac:dyDescent="0.25">
      <c r="A50">
        <f>Main!$K$2</f>
        <v>0.02</v>
      </c>
      <c r="B50">
        <f>Main!V50</f>
        <v>38.705145947855002</v>
      </c>
      <c r="C50">
        <f>Main!W50</f>
        <v>15.124272188030883</v>
      </c>
      <c r="D50">
        <f t="shared" si="2"/>
        <v>38.780256969421025</v>
      </c>
      <c r="E50">
        <f t="shared" si="0"/>
        <v>90.030048023074016</v>
      </c>
      <c r="F50">
        <f t="shared" ref="F50:G50" si="49" xml:space="preserve"> (E51-E50)/$A50</f>
        <v>49.287817632706066</v>
      </c>
      <c r="G50">
        <f t="shared" si="49"/>
        <v>-398.3735795340948</v>
      </c>
      <c r="H50">
        <f>Main!N50</f>
        <v>0.118189</v>
      </c>
    </row>
    <row r="51" spans="1:8" x14ac:dyDescent="0.25">
      <c r="A51">
        <f>Main!$K$2</f>
        <v>0.02</v>
      </c>
      <c r="B51">
        <f>Main!V51</f>
        <v>40.491491331569279</v>
      </c>
      <c r="C51">
        <f>Main!W51</f>
        <v>15.350400445658039</v>
      </c>
      <c r="D51">
        <f t="shared" si="2"/>
        <v>40.580857929882505</v>
      </c>
      <c r="E51">
        <f t="shared" si="0"/>
        <v>91.015804375728138</v>
      </c>
      <c r="F51">
        <f t="shared" ref="F51:G51" si="50" xml:space="preserve"> (E52-E51)/$A51</f>
        <v>41.32034604202417</v>
      </c>
      <c r="G51">
        <f t="shared" si="50"/>
        <v>-401.99838073462502</v>
      </c>
      <c r="H51">
        <f>Main!N51</f>
        <v>0.12571299999999999</v>
      </c>
    </row>
    <row r="52" spans="1:8" x14ac:dyDescent="0.25">
      <c r="A52">
        <f>Main!$K$2</f>
        <v>0.02</v>
      </c>
      <c r="B52">
        <f>Main!V52</f>
        <v>42.295544601667011</v>
      </c>
      <c r="C52">
        <f>Main!W52</f>
        <v>15.593181122636285</v>
      </c>
      <c r="D52">
        <f t="shared" si="2"/>
        <v>42.401174017397068</v>
      </c>
      <c r="E52">
        <f t="shared" si="0"/>
        <v>91.842211296568621</v>
      </c>
      <c r="F52">
        <f t="shared" ref="F52:G52" si="51" xml:space="preserve"> (E53-E52)/$A52</f>
        <v>33.280378427331669</v>
      </c>
      <c r="G52">
        <f t="shared" si="51"/>
        <v>-393.37360776414698</v>
      </c>
      <c r="H52">
        <f>Main!N52</f>
        <v>0.133552</v>
      </c>
    </row>
    <row r="53" spans="1:8" x14ac:dyDescent="0.25">
      <c r="A53">
        <f>Main!$K$2</f>
        <v>0.02</v>
      </c>
      <c r="B53">
        <f>Main!V53</f>
        <v>44.113915848749926</v>
      </c>
      <c r="C53">
        <f>Main!W53</f>
        <v>15.853032461134934</v>
      </c>
      <c r="D53">
        <f t="shared" si="2"/>
        <v>44.23801824332844</v>
      </c>
      <c r="E53">
        <f t="shared" si="0"/>
        <v>92.507818865115254</v>
      </c>
      <c r="F53">
        <f t="shared" ref="F53:G53" si="52" xml:space="preserve"> (E54-E53)/$A53</f>
        <v>25.41290627204873</v>
      </c>
      <c r="G53">
        <f t="shared" si="52"/>
        <v>-395.12350028214627</v>
      </c>
      <c r="H53">
        <f>Main!N53</f>
        <v>0.141707</v>
      </c>
    </row>
    <row r="54" spans="1:8" x14ac:dyDescent="0.25">
      <c r="A54">
        <f>Main!$K$2</f>
        <v>0.02</v>
      </c>
      <c r="B54">
        <f>Main!V54</f>
        <v>45.943176998198901</v>
      </c>
      <c r="C54">
        <f>Main!W54</f>
        <v>16.130308979414092</v>
      </c>
      <c r="D54">
        <f t="shared" si="2"/>
        <v>46.088174620630745</v>
      </c>
      <c r="E54">
        <f t="shared" si="0"/>
        <v>93.016076990556229</v>
      </c>
      <c r="F54">
        <f t="shared" ref="F54:G54" si="53" xml:space="preserve"> (E55-E54)/$A54</f>
        <v>17.510436266405804</v>
      </c>
      <c r="G54">
        <f t="shared" si="53"/>
        <v>-395.49844964348324</v>
      </c>
      <c r="H54">
        <f>Main!N54</f>
        <v>0.15018100000000001</v>
      </c>
    </row>
    <row r="55" spans="1:8" x14ac:dyDescent="0.25">
      <c r="A55">
        <f>Main!$K$2</f>
        <v>0.02</v>
      </c>
      <c r="B55">
        <f>Main!V55</f>
        <v>47.779961302420332</v>
      </c>
      <c r="C55">
        <f>Main!W55</f>
        <v>16.425299913598572</v>
      </c>
      <c r="D55">
        <f t="shared" si="2"/>
        <v>47.94849616044187</v>
      </c>
      <c r="E55">
        <f t="shared" si="0"/>
        <v>93.366285715884345</v>
      </c>
      <c r="F55">
        <f t="shared" ref="F55:G55" si="54" xml:space="preserve"> (E56-E55)/$A55</f>
        <v>9.6004672735361396</v>
      </c>
      <c r="G55">
        <f t="shared" si="54"/>
        <v>-388.37372761424405</v>
      </c>
      <c r="H55">
        <f>Main!N55</f>
        <v>0.158972</v>
      </c>
    </row>
    <row r="56" spans="1:8" x14ac:dyDescent="0.25">
      <c r="A56">
        <f>Main!$K$2</f>
        <v>0.02</v>
      </c>
      <c r="B56">
        <f>Main!V56</f>
        <v>49.62088230435031</v>
      </c>
      <c r="C56">
        <f>Main!W56</f>
        <v>16.738213940138106</v>
      </c>
      <c r="D56">
        <f t="shared" si="2"/>
        <v>49.815821874759557</v>
      </c>
      <c r="E56">
        <f t="shared" si="0"/>
        <v>93.558295061355068</v>
      </c>
      <c r="F56">
        <f t="shared" ref="F56:G56" si="55" xml:space="preserve"> (E57-E56)/$A56</f>
        <v>1.8329927212512587</v>
      </c>
      <c r="G56">
        <f t="shared" si="55"/>
        <v>-390.49865392648542</v>
      </c>
      <c r="H56">
        <f>Main!N56</f>
        <v>0.16807900000000001</v>
      </c>
    </row>
    <row r="57" spans="1:8" x14ac:dyDescent="0.25">
      <c r="A57">
        <f>Main!$K$2</f>
        <v>0.02</v>
      </c>
      <c r="B57">
        <f>Main!V57</f>
        <v>51.462546501827674</v>
      </c>
      <c r="C57">
        <f>Main!W57</f>
        <v>17.069174381346851</v>
      </c>
      <c r="D57">
        <f t="shared" si="2"/>
        <v>51.686987775986658</v>
      </c>
      <c r="E57">
        <f t="shared" si="0"/>
        <v>93.594954915780093</v>
      </c>
      <c r="F57">
        <f t="shared" ref="F57:G57" si="56" xml:space="preserve"> (E58-E57)/$A57</f>
        <v>-5.9769803572784497</v>
      </c>
      <c r="G57">
        <f t="shared" si="56"/>
        <v>-198.37329442662366</v>
      </c>
      <c r="H57">
        <f>Main!N57</f>
        <v>0.17750099999999999</v>
      </c>
    </row>
    <row r="58" spans="1:8" x14ac:dyDescent="0.25">
      <c r="A58">
        <f>Main!$K$2</f>
        <v>0.02</v>
      </c>
      <c r="B58">
        <f>Main!V58</f>
        <v>53.301615817068175</v>
      </c>
      <c r="C58">
        <f>Main!W58</f>
        <v>17.418216338732492</v>
      </c>
      <c r="D58">
        <f t="shared" si="2"/>
        <v>53.55888687430226</v>
      </c>
      <c r="E58">
        <f t="shared" si="0"/>
        <v>93.475415308634524</v>
      </c>
      <c r="F58">
        <f t="shared" ref="F58:G58" si="57" xml:space="preserve"> (E59-E58)/$A58</f>
        <v>-9.9444462458109228</v>
      </c>
      <c r="G58">
        <f t="shared" si="57"/>
        <v>-17.872155904541387</v>
      </c>
      <c r="H58">
        <f>Main!N58</f>
        <v>0.18723300000000001</v>
      </c>
    </row>
    <row r="59" spans="1:8" x14ac:dyDescent="0.25">
      <c r="A59">
        <f>Main!$K$2</f>
        <v>0.02</v>
      </c>
      <c r="B59">
        <f>Main!V59</f>
        <v>55.134736712074108</v>
      </c>
      <c r="C59">
        <f>Main!W59</f>
        <v>17.785270954752125</v>
      </c>
      <c r="D59">
        <f t="shared" si="2"/>
        <v>55.428395180474951</v>
      </c>
      <c r="E59">
        <f t="shared" si="0"/>
        <v>93.276526383718306</v>
      </c>
      <c r="F59">
        <f t="shared" ref="F59:G59" si="58" xml:space="preserve"> (E60-E59)/$A59</f>
        <v>-10.301889363901751</v>
      </c>
      <c r="G59">
        <f t="shared" si="58"/>
        <v>-11.372315259272625</v>
      </c>
      <c r="H59">
        <f>Main!N59</f>
        <v>0.197271</v>
      </c>
    </row>
    <row r="60" spans="1:8" x14ac:dyDescent="0.25">
      <c r="A60">
        <f>Main!$K$2</f>
        <v>0.02</v>
      </c>
      <c r="B60">
        <f>Main!V60</f>
        <v>56.960062064548545</v>
      </c>
      <c r="C60">
        <f>Main!W60</f>
        <v>18.17048713730302</v>
      </c>
      <c r="D60">
        <f t="shared" si="2"/>
        <v>57.293925708149317</v>
      </c>
      <c r="E60">
        <f t="shared" si="0"/>
        <v>93.070488596440271</v>
      </c>
      <c r="F60">
        <f t="shared" ref="F60:G60" si="59" xml:space="preserve"> (E61-E60)/$A60</f>
        <v>-10.529335669087203</v>
      </c>
      <c r="G60">
        <f t="shared" si="59"/>
        <v>-17.871661926349702</v>
      </c>
      <c r="H60">
        <f>Main!N60</f>
        <v>0.20761499999999999</v>
      </c>
    </row>
    <row r="61" spans="1:8" x14ac:dyDescent="0.25">
      <c r="A61">
        <f>Main!$K$2</f>
        <v>0.02</v>
      </c>
      <c r="B61">
        <f>Main!V61</f>
        <v>58.777144607551996</v>
      </c>
      <c r="C61">
        <f>Main!W61</f>
        <v>18.574290766489497</v>
      </c>
      <c r="D61">
        <f t="shared" si="2"/>
        <v>59.155335480078122</v>
      </c>
      <c r="E61">
        <f t="shared" si="0"/>
        <v>92.859901883058527</v>
      </c>
      <c r="F61">
        <f t="shared" ref="F61:G61" si="60" xml:space="preserve"> (E62-E61)/$A61</f>
        <v>-10.886768907614197</v>
      </c>
      <c r="G61">
        <f t="shared" si="60"/>
        <v>-16.246479336956554</v>
      </c>
      <c r="H61">
        <f>Main!N61</f>
        <v>0.218276</v>
      </c>
    </row>
    <row r="62" spans="1:8" x14ac:dyDescent="0.25">
      <c r="A62">
        <f>Main!$K$2</f>
        <v>0.02</v>
      </c>
      <c r="B62">
        <f>Main!V62</f>
        <v>60.585569913334602</v>
      </c>
      <c r="C62">
        <f>Main!W62</f>
        <v>18.997117521198316</v>
      </c>
      <c r="D62">
        <f t="shared" si="2"/>
        <v>61.012533517739293</v>
      </c>
      <c r="E62">
        <f t="shared" si="0"/>
        <v>92.642166504906243</v>
      </c>
      <c r="F62">
        <f t="shared" ref="F62:G62" si="61" xml:space="preserve"> (E63-E62)/$A62</f>
        <v>-11.211698494353328</v>
      </c>
      <c r="G62">
        <f t="shared" si="61"/>
        <v>-11.371558839456952</v>
      </c>
      <c r="H62">
        <f>Main!N62</f>
        <v>0.22926099999999999</v>
      </c>
    </row>
    <row r="63" spans="1:8" x14ac:dyDescent="0.25">
      <c r="A63">
        <f>Main!$K$2</f>
        <v>0.02</v>
      </c>
      <c r="B63">
        <f>Main!V63</f>
        <v>62.384852171887331</v>
      </c>
      <c r="C63">
        <f>Main!W63</f>
        <v>19.439397703827503</v>
      </c>
      <c r="D63">
        <f t="shared" si="2"/>
        <v>62.865376847837418</v>
      </c>
      <c r="E63">
        <f t="shared" si="0"/>
        <v>92.417932535019176</v>
      </c>
      <c r="F63">
        <f t="shared" ref="F63:G63" si="62" xml:space="preserve"> (E64-E63)/$A63</f>
        <v>-11.439129671142467</v>
      </c>
      <c r="G63">
        <f t="shared" si="62"/>
        <v>-17.870764330574218</v>
      </c>
      <c r="H63">
        <f>Main!N63</f>
        <v>0.24058099999999999</v>
      </c>
    </row>
    <row r="64" spans="1:8" x14ac:dyDescent="0.25">
      <c r="A64">
        <f>Main!$K$2</f>
        <v>0.02</v>
      </c>
      <c r="B64">
        <f>Main!V64</f>
        <v>64.174497288075372</v>
      </c>
      <c r="C64">
        <f>Main!W64</f>
        <v>19.901566568771059</v>
      </c>
      <c r="D64">
        <f t="shared" si="2"/>
        <v>64.713735498537801</v>
      </c>
      <c r="E64">
        <f t="shared" si="0"/>
        <v>92.189149941596327</v>
      </c>
      <c r="F64">
        <f t="shared" ref="F64:G64" si="63" xml:space="preserve"> (E65-E64)/$A64</f>
        <v>-11.796544957753952</v>
      </c>
      <c r="G64">
        <f t="shared" si="63"/>
        <v>-12.995826732975502</v>
      </c>
      <c r="H64">
        <f>Main!N64</f>
        <v>0.25224600000000003</v>
      </c>
    </row>
    <row r="65" spans="1:8" x14ac:dyDescent="0.25">
      <c r="A65">
        <f>Main!$K$2</f>
        <v>0.02</v>
      </c>
      <c r="B65">
        <f>Main!V65</f>
        <v>65.954028448222687</v>
      </c>
      <c r="C65">
        <f>Main!W65</f>
        <v>20.38406485565551</v>
      </c>
      <c r="D65">
        <f t="shared" si="2"/>
        <v>66.557518497369728</v>
      </c>
      <c r="E65">
        <f t="shared" si="0"/>
        <v>91.953219042441248</v>
      </c>
      <c r="F65">
        <f t="shared" ref="F65:G65" si="64" xml:space="preserve"> (E66-E65)/$A65</f>
        <v>-12.056461492413462</v>
      </c>
      <c r="G65">
        <f t="shared" si="64"/>
        <v>-14.620357404737661</v>
      </c>
      <c r="H65">
        <f>Main!N65</f>
        <v>0.26426300000000003</v>
      </c>
    </row>
    <row r="66" spans="1:8" x14ac:dyDescent="0.25">
      <c r="A66">
        <f>Main!$K$2</f>
        <v>0.02</v>
      </c>
      <c r="B66">
        <f>Main!V66</f>
        <v>67.72289510716017</v>
      </c>
      <c r="C66">
        <f>Main!W66</f>
        <v>20.88732278138167</v>
      </c>
      <c r="D66">
        <f t="shared" si="2"/>
        <v>68.396582878218553</v>
      </c>
      <c r="E66">
        <f t="shared" ref="E66:E129" si="65" xml:space="preserve"> IF(ISBLANK(D67), 0, (D67-D66)/$A66 )</f>
        <v>91.712089812592978</v>
      </c>
      <c r="F66">
        <f t="shared" ref="F66:G66" si="66" xml:space="preserve"> (E67-E66)/$A66</f>
        <v>-12.348868640508215</v>
      </c>
      <c r="G66">
        <f t="shared" si="66"/>
        <v>-14.619992619202549</v>
      </c>
      <c r="H66">
        <f>Main!N66</f>
        <v>0.27664299999999997</v>
      </c>
    </row>
    <row r="67" spans="1:8" x14ac:dyDescent="0.25">
      <c r="A67">
        <f>Main!$K$2</f>
        <v>0.02</v>
      </c>
      <c r="B67">
        <f>Main!V67</f>
        <v>69.48056172766556</v>
      </c>
      <c r="C67">
        <f>Main!W67</f>
        <v>21.411775847230672</v>
      </c>
      <c r="D67">
        <f t="shared" si="2"/>
        <v>70.230824674470412</v>
      </c>
      <c r="E67">
        <f t="shared" si="65"/>
        <v>91.465112439782814</v>
      </c>
      <c r="F67">
        <f t="shared" ref="F67:G67" si="67" xml:space="preserve"> (E68-E67)/$A67</f>
        <v>-12.641268492892266</v>
      </c>
      <c r="G67">
        <f t="shared" si="67"/>
        <v>-11.369950453143929</v>
      </c>
      <c r="H67">
        <f>Main!N67</f>
        <v>0.28939399999999998</v>
      </c>
    </row>
    <row r="68" spans="1:8" x14ac:dyDescent="0.25">
      <c r="A68">
        <f>Main!$K$2</f>
        <v>0.02</v>
      </c>
      <c r="B68">
        <f>Main!V68</f>
        <v>71.226456111872679</v>
      </c>
      <c r="C68">
        <f>Main!W68</f>
        <v>21.957852322317187</v>
      </c>
      <c r="D68">
        <f t="shared" ref="D68:D131" si="68">D67 + SQRT( (B68-B67)^2  + (C68-C67)^2 )</f>
        <v>72.060126923266068</v>
      </c>
      <c r="E68">
        <f t="shared" si="65"/>
        <v>91.212287069924969</v>
      </c>
      <c r="F68">
        <f t="shared" ref="F68:G68" si="69" xml:space="preserve"> (E69-E68)/$A68</f>
        <v>-12.868667501955144</v>
      </c>
      <c r="G68">
        <f t="shared" si="69"/>
        <v>-12.994416646705531</v>
      </c>
      <c r="H68">
        <f>Main!N68</f>
        <v>0.30252499999999999</v>
      </c>
    </row>
    <row r="69" spans="1:8" x14ac:dyDescent="0.25">
      <c r="A69">
        <f>Main!$K$2</f>
        <v>0.02</v>
      </c>
      <c r="B69">
        <f>Main!V69</f>
        <v>72.95998114853063</v>
      </c>
      <c r="C69">
        <f>Main!W69</f>
        <v>22.525975083954691</v>
      </c>
      <c r="D69">
        <f t="shared" si="68"/>
        <v>73.884372664664568</v>
      </c>
      <c r="E69">
        <f t="shared" si="65"/>
        <v>90.954913719885866</v>
      </c>
      <c r="F69">
        <f t="shared" ref="F69:G69" si="70" xml:space="preserve"> (E70-E69)/$A69</f>
        <v>-13.128555834889255</v>
      </c>
      <c r="G69">
        <f t="shared" si="70"/>
        <v>-11.369208667844077</v>
      </c>
      <c r="H69">
        <f>Main!N69</f>
        <v>0.31604500000000002</v>
      </c>
    </row>
    <row r="70" spans="1:8" x14ac:dyDescent="0.25">
      <c r="A70">
        <f>Main!$K$2</f>
        <v>0.02</v>
      </c>
      <c r="B70">
        <f>Main!V70</f>
        <v>74.680539880331153</v>
      </c>
      <c r="C70">
        <f>Main!W70</f>
        <v>23.116564774299611</v>
      </c>
      <c r="D70">
        <f t="shared" si="68"/>
        <v>75.703470939062285</v>
      </c>
      <c r="E70">
        <f t="shared" si="65"/>
        <v>90.692342603188081</v>
      </c>
      <c r="F70">
        <f t="shared" ref="F70:G70" si="71" xml:space="preserve"> (E71-E70)/$A70</f>
        <v>-13.355940008246137</v>
      </c>
      <c r="G70">
        <f t="shared" si="71"/>
        <v>-11.368816716483821</v>
      </c>
      <c r="H70">
        <f>Main!N70</f>
        <v>0.329961</v>
      </c>
    </row>
    <row r="71" spans="1:8" x14ac:dyDescent="0.25">
      <c r="A71">
        <f>Main!$K$2</f>
        <v>0.02</v>
      </c>
      <c r="B71">
        <f>Main!V71</f>
        <v>76.387496911986972</v>
      </c>
      <c r="C71">
        <f>Main!W71</f>
        <v>23.730028786954303</v>
      </c>
      <c r="D71">
        <f t="shared" si="68"/>
        <v>77.517317791126047</v>
      </c>
      <c r="E71">
        <f t="shared" si="65"/>
        <v>90.425223803023158</v>
      </c>
      <c r="F71">
        <f t="shared" ref="F71:G71" si="72" xml:space="preserve"> (E72-E71)/$A71</f>
        <v>-13.583316342575813</v>
      </c>
      <c r="G71">
        <f t="shared" si="72"/>
        <v>-4.8692823408913455</v>
      </c>
      <c r="H71">
        <f>Main!N71</f>
        <v>0.344281</v>
      </c>
    </row>
    <row r="72" spans="1:8" x14ac:dyDescent="0.25">
      <c r="A72">
        <f>Main!$K$2</f>
        <v>0.02</v>
      </c>
      <c r="B72">
        <f>Main!V72</f>
        <v>78.080203035272831</v>
      </c>
      <c r="C72">
        <f>Main!W72</f>
        <v>24.366766111226489</v>
      </c>
      <c r="D72">
        <f t="shared" si="68"/>
        <v>79.32582226718651</v>
      </c>
      <c r="E72">
        <f t="shared" si="65"/>
        <v>90.153557476171642</v>
      </c>
      <c r="F72">
        <f t="shared" ref="F72:G72" si="73" xml:space="preserve"> (E73-E72)/$A72</f>
        <v>-13.68070198939364</v>
      </c>
      <c r="G72">
        <f t="shared" si="73"/>
        <v>-9.7433039201177962</v>
      </c>
      <c r="H72">
        <f>Main!N72</f>
        <v>0.359012</v>
      </c>
    </row>
    <row r="73" spans="1:8" x14ac:dyDescent="0.25">
      <c r="A73">
        <f>Main!$K$2</f>
        <v>0.02</v>
      </c>
      <c r="B73">
        <f>Main!V73</f>
        <v>79.757982213094365</v>
      </c>
      <c r="C73">
        <f>Main!W73</f>
        <v>25.027161902182357</v>
      </c>
      <c r="D73">
        <f t="shared" si="68"/>
        <v>81.128893416709943</v>
      </c>
      <c r="E73">
        <f t="shared" si="65"/>
        <v>89.879943436383769</v>
      </c>
      <c r="F73">
        <f t="shared" ref="F73:G73" si="74" xml:space="preserve"> (E74-E73)/$A73</f>
        <v>-13.875568067795996</v>
      </c>
      <c r="G73">
        <f t="shared" si="74"/>
        <v>-1.6191236174023516</v>
      </c>
      <c r="H73">
        <f>Main!N73</f>
        <v>0.37416100000000002</v>
      </c>
    </row>
    <row r="74" spans="1:8" x14ac:dyDescent="0.25">
      <c r="A74">
        <f>Main!$K$2</f>
        <v>0.02</v>
      </c>
      <c r="B74">
        <f>Main!V74</f>
        <v>81.420182153211215</v>
      </c>
      <c r="C74">
        <f>Main!W74</f>
        <v>25.711598204497321</v>
      </c>
      <c r="D74">
        <f t="shared" si="68"/>
        <v>82.926492285437618</v>
      </c>
      <c r="E74">
        <f t="shared" si="65"/>
        <v>89.602432075027849</v>
      </c>
      <c r="F74">
        <f t="shared" ref="F74:G74" si="75" xml:space="preserve"> (E75-E74)/$A74</f>
        <v>-13.907950540144043</v>
      </c>
      <c r="G74">
        <f t="shared" si="75"/>
        <v>-6.4931220258301892</v>
      </c>
      <c r="H74">
        <f>Main!N74</f>
        <v>0.38973099999999999</v>
      </c>
    </row>
    <row r="75" spans="1:8" x14ac:dyDescent="0.25">
      <c r="A75">
        <f>Main!$K$2</f>
        <v>0.02</v>
      </c>
      <c r="B75">
        <f>Main!V75</f>
        <v>83.066086668221288</v>
      </c>
      <c r="C75">
        <f>Main!W75</f>
        <v>26.42042587112261</v>
      </c>
      <c r="D75">
        <f t="shared" si="68"/>
        <v>84.718540926938175</v>
      </c>
      <c r="E75">
        <f t="shared" si="65"/>
        <v>89.324273064224968</v>
      </c>
      <c r="F75">
        <f t="shared" ref="F75:G75" si="76" xml:space="preserve"> (E76-E75)/$A75</f>
        <v>-14.037812980660647</v>
      </c>
      <c r="G75">
        <f t="shared" si="76"/>
        <v>3.2555862023997406</v>
      </c>
      <c r="H75">
        <f>Main!N75</f>
        <v>0.40572799999999998</v>
      </c>
    </row>
    <row r="76" spans="1:8" x14ac:dyDescent="0.25">
      <c r="A76">
        <f>Main!$K$2</f>
        <v>0.02</v>
      </c>
      <c r="B76">
        <f>Main!V76</f>
        <v>84.695015382439081</v>
      </c>
      <c r="C76">
        <f>Main!W76</f>
        <v>27.153993555373788</v>
      </c>
      <c r="D76">
        <f t="shared" si="68"/>
        <v>86.505026388222674</v>
      </c>
      <c r="E76">
        <f t="shared" si="65"/>
        <v>89.043516804611755</v>
      </c>
      <c r="F76">
        <f t="shared" ref="F76:G76" si="77" xml:space="preserve"> (E77-E76)/$A76</f>
        <v>-13.972701256612652</v>
      </c>
      <c r="G76">
        <f t="shared" si="77"/>
        <v>1.6309767154609744</v>
      </c>
      <c r="H76">
        <f>Main!N76</f>
        <v>0.422153</v>
      </c>
    </row>
    <row r="77" spans="1:8" x14ac:dyDescent="0.25">
      <c r="A77">
        <f>Main!$K$2</f>
        <v>0.02</v>
      </c>
      <c r="B77">
        <f>Main!V77</f>
        <v>86.306225032290044</v>
      </c>
      <c r="C77">
        <f>Main!W77</f>
        <v>27.912612444013135</v>
      </c>
      <c r="D77">
        <f t="shared" si="68"/>
        <v>88.28589672431491</v>
      </c>
      <c r="E77">
        <f t="shared" si="65"/>
        <v>88.764062779479502</v>
      </c>
      <c r="F77">
        <f t="shared" ref="F77:G77" si="78" xml:space="preserve"> (E78-E77)/$A77</f>
        <v>-13.940081722303432</v>
      </c>
      <c r="G77">
        <f t="shared" si="78"/>
        <v>4.8805116854566677</v>
      </c>
      <c r="H77">
        <f>Main!N77</f>
        <v>0.43901000000000001</v>
      </c>
    </row>
    <row r="78" spans="1:8" x14ac:dyDescent="0.25">
      <c r="A78">
        <f>Main!$K$2</f>
        <v>0.02</v>
      </c>
      <c r="B78">
        <f>Main!V78</f>
        <v>87.899020943817519</v>
      </c>
      <c r="C78">
        <f>Main!W78</f>
        <v>28.696592495206488</v>
      </c>
      <c r="D78">
        <f t="shared" si="68"/>
        <v>90.0611779799045</v>
      </c>
      <c r="E78">
        <f t="shared" si="65"/>
        <v>88.485261145033434</v>
      </c>
      <c r="F78">
        <f t="shared" ref="F78:G78" si="79" xml:space="preserve"> (E79-E78)/$A78</f>
        <v>-13.842471488594299</v>
      </c>
      <c r="G78">
        <f t="shared" si="79"/>
        <v>11.379283121115691</v>
      </c>
      <c r="H78">
        <f>Main!N78</f>
        <v>0.45629700000000001</v>
      </c>
    </row>
    <row r="79" spans="1:8" x14ac:dyDescent="0.25">
      <c r="A79">
        <f>Main!$K$2</f>
        <v>0.02</v>
      </c>
      <c r="B79">
        <f>Main!V79</f>
        <v>89.47267275152268</v>
      </c>
      <c r="C79">
        <f>Main!W79</f>
        <v>29.506207566748621</v>
      </c>
      <c r="D79">
        <f t="shared" si="68"/>
        <v>91.830883202805168</v>
      </c>
      <c r="E79">
        <f t="shared" si="65"/>
        <v>88.208411715261548</v>
      </c>
      <c r="F79">
        <f t="shared" ref="F79:G79" si="80" xml:space="preserve"> (E80-E79)/$A79</f>
        <v>-13.614885826171985</v>
      </c>
      <c r="G79">
        <f t="shared" si="80"/>
        <v>9.7544764408041829</v>
      </c>
      <c r="H79">
        <f>Main!N79</f>
        <v>0.47401300000000002</v>
      </c>
    </row>
    <row r="80" spans="1:8" x14ac:dyDescent="0.25">
      <c r="A80">
        <f>Main!$K$2</f>
        <v>0.02</v>
      </c>
      <c r="B80">
        <f>Main!V80</f>
        <v>91.026451503773956</v>
      </c>
      <c r="C80">
        <f>Main!W80</f>
        <v>30.341708104141688</v>
      </c>
      <c r="D80">
        <f t="shared" si="68"/>
        <v>93.595051437110399</v>
      </c>
      <c r="E80">
        <f t="shared" si="65"/>
        <v>87.936113998738108</v>
      </c>
      <c r="F80">
        <f t="shared" ref="F80:G80" si="81" xml:space="preserve"> (E81-E80)/$A80</f>
        <v>-13.419796297355902</v>
      </c>
      <c r="G80">
        <f t="shared" si="81"/>
        <v>19.50226722691184</v>
      </c>
      <c r="H80">
        <f>Main!N80</f>
        <v>0.49215500000000001</v>
      </c>
    </row>
    <row r="81" spans="1:8" x14ac:dyDescent="0.25">
      <c r="A81">
        <f>Main!$K$2</f>
        <v>0.02</v>
      </c>
      <c r="B81">
        <f>Main!V81</f>
        <v>92.559655789707207</v>
      </c>
      <c r="C81">
        <f>Main!W81</f>
        <v>31.203327901776092</v>
      </c>
      <c r="D81">
        <f t="shared" si="68"/>
        <v>95.353773717085161</v>
      </c>
      <c r="E81">
        <f t="shared" si="65"/>
        <v>87.66771807279099</v>
      </c>
      <c r="F81">
        <f t="shared" ref="F81:G81" si="82" xml:space="preserve"> (E82-E81)/$A81</f>
        <v>-13.029750952817665</v>
      </c>
      <c r="G81">
        <f t="shared" si="82"/>
        <v>16.252603931121712</v>
      </c>
      <c r="H81">
        <f>Main!N81</f>
        <v>0.51071599999999995</v>
      </c>
    </row>
    <row r="82" spans="1:8" x14ac:dyDescent="0.25">
      <c r="A82">
        <f>Main!$K$2</f>
        <v>0.02</v>
      </c>
      <c r="B82">
        <f>Main!V82</f>
        <v>94.071553358969837</v>
      </c>
      <c r="C82">
        <f>Main!W82</f>
        <v>32.091256534546716</v>
      </c>
      <c r="D82">
        <f t="shared" si="68"/>
        <v>97.107128078540981</v>
      </c>
      <c r="E82">
        <f t="shared" si="65"/>
        <v>87.407123053734637</v>
      </c>
      <c r="F82">
        <f t="shared" ref="F82:G82" si="83" xml:space="preserve"> (E83-E82)/$A82</f>
        <v>-12.70469887419523</v>
      </c>
      <c r="G82">
        <f t="shared" si="83"/>
        <v>29.249241601192466</v>
      </c>
      <c r="H82">
        <f>Main!N82</f>
        <v>0.52968999999999999</v>
      </c>
    </row>
    <row r="83" spans="1:8" x14ac:dyDescent="0.25">
      <c r="A83">
        <f>Main!$K$2</f>
        <v>0.02</v>
      </c>
      <c r="B83">
        <f>Main!V83</f>
        <v>95.561466518317047</v>
      </c>
      <c r="C83">
        <f>Main!W83</f>
        <v>33.005674842443227</v>
      </c>
      <c r="D83">
        <f t="shared" si="68"/>
        <v>98.855270539615674</v>
      </c>
      <c r="E83">
        <f t="shared" si="65"/>
        <v>87.153029076250732</v>
      </c>
      <c r="F83">
        <f t="shared" ref="F83:G83" si="84" xml:space="preserve"> (E84-E83)/$A83</f>
        <v>-12.119714042171381</v>
      </c>
      <c r="G83">
        <f t="shared" si="84"/>
        <v>24.374746553590398</v>
      </c>
      <c r="H83">
        <f>Main!N83</f>
        <v>0.54906500000000003</v>
      </c>
    </row>
    <row r="84" spans="1:8" x14ac:dyDescent="0.25">
      <c r="A84">
        <f>Main!$K$2</f>
        <v>0.02</v>
      </c>
      <c r="B84">
        <f>Main!V84</f>
        <v>97.028680075491764</v>
      </c>
      <c r="C84">
        <f>Main!W84</f>
        <v>33.946708618940661</v>
      </c>
      <c r="D84">
        <f t="shared" si="68"/>
        <v>100.59833112114069</v>
      </c>
      <c r="E84">
        <f t="shared" si="65"/>
        <v>86.910634795407304</v>
      </c>
      <c r="F84">
        <f t="shared" ref="F84:G84" si="85" xml:space="preserve"> (E85-E84)/$A84</f>
        <v>-11.632219111099573</v>
      </c>
      <c r="G84">
        <f t="shared" si="85"/>
        <v>34.12173685823916</v>
      </c>
      <c r="H84">
        <f>Main!N84</f>
        <v>0.56883099999999998</v>
      </c>
    </row>
    <row r="85" spans="1:8" x14ac:dyDescent="0.25">
      <c r="A85">
        <f>Main!$K$2</f>
        <v>0.02</v>
      </c>
      <c r="B85">
        <f>Main!V85</f>
        <v>98.472560962069153</v>
      </c>
      <c r="C85">
        <f>Main!W85</f>
        <v>34.914485122888124</v>
      </c>
      <c r="D85">
        <f t="shared" si="68"/>
        <v>102.33654381704883</v>
      </c>
      <c r="E85">
        <f t="shared" si="65"/>
        <v>86.677990413185313</v>
      </c>
      <c r="F85">
        <f t="shared" ref="F85:G85" si="86" xml:space="preserve"> (E86-E85)/$A85</f>
        <v>-10.94978437393479</v>
      </c>
      <c r="G85">
        <f t="shared" si="86"/>
        <v>37.370092050181825</v>
      </c>
      <c r="H85">
        <f>Main!N85</f>
        <v>0.58896999999999999</v>
      </c>
    </row>
    <row r="86" spans="1:8" x14ac:dyDescent="0.25">
      <c r="A86">
        <f>Main!$K$2</f>
        <v>0.02</v>
      </c>
      <c r="B86">
        <f>Main!V86</f>
        <v>99.892434026534403</v>
      </c>
      <c r="C86">
        <f>Main!W86</f>
        <v>35.909065481448124</v>
      </c>
      <c r="D86">
        <f t="shared" si="68"/>
        <v>104.07010362531254</v>
      </c>
      <c r="E86">
        <f t="shared" si="65"/>
        <v>86.458994725706617</v>
      </c>
      <c r="F86">
        <f t="shared" ref="F86:G86" si="87" xml:space="preserve"> (E87-E86)/$A86</f>
        <v>-10.202382532931153</v>
      </c>
      <c r="G86">
        <f t="shared" si="87"/>
        <v>42.242930959446312</v>
      </c>
      <c r="H86">
        <f>Main!N86</f>
        <v>0.60946699999999998</v>
      </c>
    </row>
    <row r="87" spans="1:8" x14ac:dyDescent="0.25">
      <c r="A87">
        <f>Main!$K$2</f>
        <v>0.02</v>
      </c>
      <c r="B87">
        <f>Main!V87</f>
        <v>101.28768756953588</v>
      </c>
      <c r="C87">
        <f>Main!W87</f>
        <v>36.930501068420575</v>
      </c>
      <c r="D87">
        <f t="shared" si="68"/>
        <v>105.79928351982667</v>
      </c>
      <c r="E87">
        <f t="shared" si="65"/>
        <v>86.254947075047994</v>
      </c>
      <c r="F87">
        <f t="shared" ref="F87:G87" si="88" xml:space="preserve"> (E88-E87)/$A87</f>
        <v>-9.3575239137422273</v>
      </c>
      <c r="G87">
        <f t="shared" si="88"/>
        <v>43.866561043159891</v>
      </c>
      <c r="H87">
        <f>Main!N87</f>
        <v>0.630301</v>
      </c>
    </row>
    <row r="88" spans="1:8" x14ac:dyDescent="0.25">
      <c r="A88">
        <f>Main!$K$2</f>
        <v>0.02</v>
      </c>
      <c r="B88">
        <f>Main!V88</f>
        <v>102.65773214286564</v>
      </c>
      <c r="C88">
        <f>Main!W88</f>
        <v>37.978806474806241</v>
      </c>
      <c r="D88">
        <f t="shared" si="68"/>
        <v>107.52438246132763</v>
      </c>
      <c r="E88">
        <f t="shared" si="65"/>
        <v>86.06779659677315</v>
      </c>
      <c r="F88">
        <f t="shared" ref="F88:G88" si="89" xml:space="preserve"> (E89-E88)/$A88</f>
        <v>-8.4801926928790294</v>
      </c>
      <c r="G88">
        <f t="shared" si="89"/>
        <v>47.114749369470132</v>
      </c>
      <c r="H88">
        <f>Main!N88</f>
        <v>0.65144899999999994</v>
      </c>
    </row>
    <row r="89" spans="1:8" x14ac:dyDescent="0.25">
      <c r="A89">
        <f>Main!$K$2</f>
        <v>0.02</v>
      </c>
      <c r="B89">
        <f>Main!V89</f>
        <v>104.00201528078597</v>
      </c>
      <c r="C89">
        <f>Main!W89</f>
        <v>39.053966504528546</v>
      </c>
      <c r="D89">
        <f t="shared" si="68"/>
        <v>109.2457383932631</v>
      </c>
      <c r="E89">
        <f t="shared" si="65"/>
        <v>85.898192742915569</v>
      </c>
      <c r="F89">
        <f t="shared" ref="F89:G89" si="90" xml:space="preserve"> (E90-E89)/$A89</f>
        <v>-7.5378977054896268</v>
      </c>
      <c r="G89">
        <f t="shared" si="90"/>
        <v>56.861065257152177</v>
      </c>
      <c r="H89">
        <f>Main!N89</f>
        <v>0.67288499999999996</v>
      </c>
    </row>
    <row r="90" spans="1:8" x14ac:dyDescent="0.25">
      <c r="A90">
        <f>Main!$K$2</f>
        <v>0.02</v>
      </c>
      <c r="B90">
        <f>Main!V90</f>
        <v>105.32000295582111</v>
      </c>
      <c r="C90">
        <f>Main!W90</f>
        <v>40.155923080376745</v>
      </c>
      <c r="D90">
        <f t="shared" si="68"/>
        <v>110.96370224812141</v>
      </c>
      <c r="E90">
        <f t="shared" si="65"/>
        <v>85.747434788805776</v>
      </c>
      <c r="F90">
        <f t="shared" ref="F90:G90" si="91" xml:space="preserve"> (E91-E90)/$A90</f>
        <v>-6.4006764003465833</v>
      </c>
      <c r="G90">
        <f t="shared" si="91"/>
        <v>50.362038969353762</v>
      </c>
      <c r="H90">
        <f>Main!N90</f>
        <v>0.69458200000000003</v>
      </c>
    </row>
    <row r="91" spans="1:8" x14ac:dyDescent="0.25">
      <c r="A91">
        <f>Main!$K$2</f>
        <v>0.02</v>
      </c>
      <c r="B91">
        <f>Main!V91</f>
        <v>106.61119384370978</v>
      </c>
      <c r="C91">
        <f>Main!W91</f>
        <v>41.28458384436982</v>
      </c>
      <c r="D91">
        <f t="shared" si="68"/>
        <v>112.67865094389752</v>
      </c>
      <c r="E91">
        <f t="shared" si="65"/>
        <v>85.619421260798845</v>
      </c>
      <c r="F91">
        <f t="shared" ref="F91:G91" si="92" xml:space="preserve"> (E92-E91)/$A91</f>
        <v>-5.393435620959508</v>
      </c>
      <c r="G91">
        <f t="shared" si="92"/>
        <v>60.108450007589909</v>
      </c>
      <c r="H91">
        <f>Main!N91</f>
        <v>0.71651100000000001</v>
      </c>
    </row>
    <row r="92" spans="1:8" x14ac:dyDescent="0.25">
      <c r="A92">
        <f>Main!$K$2</f>
        <v>0.02</v>
      </c>
      <c r="B92">
        <f>Main!V92</f>
        <v>107.87516688748684</v>
      </c>
      <c r="C92">
        <f>Main!W92</f>
        <v>42.439852758267619</v>
      </c>
      <c r="D92">
        <f t="shared" si="68"/>
        <v>114.3910393691135</v>
      </c>
      <c r="E92">
        <f t="shared" si="65"/>
        <v>85.511552548379655</v>
      </c>
      <c r="F92">
        <f t="shared" ref="F92:G92" si="93" xml:space="preserve"> (E93-E92)/$A92</f>
        <v>-4.1912666208077098</v>
      </c>
      <c r="G92">
        <f t="shared" si="93"/>
        <v>58.483273434717375</v>
      </c>
      <c r="H92">
        <f>Main!N92</f>
        <v>0.73863699999999999</v>
      </c>
    </row>
    <row r="93" spans="1:8" x14ac:dyDescent="0.25">
      <c r="A93">
        <f>Main!$K$2</f>
        <v>0.02</v>
      </c>
      <c r="B93">
        <f>Main!V93</f>
        <v>109.11147929101685</v>
      </c>
      <c r="C93">
        <f>Main!W93</f>
        <v>43.621555719494168</v>
      </c>
      <c r="D93">
        <f t="shared" si="68"/>
        <v>116.10127042008109</v>
      </c>
      <c r="E93">
        <f t="shared" si="65"/>
        <v>85.4277272159635</v>
      </c>
      <c r="F93">
        <f t="shared" ref="F93:G93" si="94" xml:space="preserve"> (E94-E93)/$A93</f>
        <v>-3.0216011521133623</v>
      </c>
      <c r="G93">
        <f t="shared" si="94"/>
        <v>63.356340023190683</v>
      </c>
      <c r="H93">
        <f>Main!N93</f>
        <v>0.76092899999999997</v>
      </c>
    </row>
    <row r="94" spans="1:8" x14ac:dyDescent="0.25">
      <c r="A94">
        <f>Main!$K$2</f>
        <v>0.02</v>
      </c>
      <c r="B94">
        <f>Main!V94</f>
        <v>110.31977381578913</v>
      </c>
      <c r="C94">
        <f>Main!W94</f>
        <v>44.829522181081302</v>
      </c>
      <c r="D94">
        <f t="shared" si="68"/>
        <v>117.80982496440036</v>
      </c>
      <c r="E94">
        <f t="shared" si="65"/>
        <v>85.367295192921233</v>
      </c>
      <c r="F94">
        <f t="shared" ref="F94:G94" si="95" xml:space="preserve"> (E95-E94)/$A94</f>
        <v>-1.7544743516495487</v>
      </c>
      <c r="G94">
        <f t="shared" si="95"/>
        <v>60.107020177113668</v>
      </c>
      <c r="H94">
        <f>Main!N94</f>
        <v>0.78334999999999999</v>
      </c>
    </row>
    <row r="95" spans="1:8" x14ac:dyDescent="0.25">
      <c r="A95">
        <f>Main!$K$2</f>
        <v>0.02</v>
      </c>
      <c r="B95">
        <f>Main!V95</f>
        <v>111.49971166218083</v>
      </c>
      <c r="C95">
        <f>Main!W95</f>
        <v>46.063530574113813</v>
      </c>
      <c r="D95">
        <f t="shared" si="68"/>
        <v>119.51717086825879</v>
      </c>
      <c r="E95">
        <f t="shared" si="65"/>
        <v>85.332205705888242</v>
      </c>
      <c r="F95">
        <f t="shared" ref="F95:G95" si="96" xml:space="preserve"> (E96-E95)/$A95</f>
        <v>-0.55233394810727532</v>
      </c>
      <c r="G95">
        <f t="shared" si="96"/>
        <v>61.731443244283923</v>
      </c>
      <c r="H95">
        <f>Main!N95</f>
        <v>0.80586400000000002</v>
      </c>
    </row>
    <row r="96" spans="1:8" x14ac:dyDescent="0.25">
      <c r="A96">
        <f>Main!$K$2</f>
        <v>0.02</v>
      </c>
      <c r="B96">
        <f>Main!V96</f>
        <v>112.65101619101628</v>
      </c>
      <c r="C96">
        <f>Main!W96</f>
        <v>47.323344851749923</v>
      </c>
      <c r="D96">
        <f t="shared" si="68"/>
        <v>121.22381498237655</v>
      </c>
      <c r="E96">
        <f t="shared" si="65"/>
        <v>85.321159026926097</v>
      </c>
      <c r="F96">
        <f t="shared" ref="F96:G96" si="97" xml:space="preserve"> (E97-E96)/$A96</f>
        <v>0.68229491677840315</v>
      </c>
      <c r="G96">
        <f t="shared" si="97"/>
        <v>61.731556273869614</v>
      </c>
      <c r="H96">
        <f>Main!N96</f>
        <v>0.82843199999999995</v>
      </c>
    </row>
    <row r="97" spans="1:8" x14ac:dyDescent="0.25">
      <c r="A97">
        <f>Main!$K$2</f>
        <v>0.02</v>
      </c>
      <c r="B97">
        <f>Main!V97</f>
        <v>113.77342721402056</v>
      </c>
      <c r="C97">
        <f>Main!W97</f>
        <v>48.60867499086504</v>
      </c>
      <c r="D97">
        <f t="shared" si="68"/>
        <v>122.93023816291507</v>
      </c>
      <c r="E97">
        <f t="shared" si="65"/>
        <v>85.334804925261665</v>
      </c>
      <c r="F97">
        <f t="shared" ref="F97:G97" si="98" xml:space="preserve"> (E98-E97)/$A97</f>
        <v>1.9169260422557954</v>
      </c>
      <c r="G97">
        <f t="shared" si="98"/>
        <v>60.107353077043513</v>
      </c>
      <c r="H97">
        <f>Main!N97</f>
        <v>0.85101700000000002</v>
      </c>
    </row>
    <row r="98" spans="1:8" x14ac:dyDescent="0.25">
      <c r="A98">
        <f>Main!$K$2</f>
        <v>0.02</v>
      </c>
      <c r="B98">
        <f>Main!V98</f>
        <v>114.86673276084052</v>
      </c>
      <c r="C98">
        <f>Main!W98</f>
        <v>49.919207155272183</v>
      </c>
      <c r="D98">
        <f t="shared" si="68"/>
        <v>124.63693426142031</v>
      </c>
      <c r="E98">
        <f t="shared" si="65"/>
        <v>85.373143446106781</v>
      </c>
      <c r="F98">
        <f t="shared" ref="F98:G98" si="99" xml:space="preserve"> (E99-E98)/$A98</f>
        <v>3.1190731037966657</v>
      </c>
      <c r="G98">
        <f t="shared" si="99"/>
        <v>58.48332483537888</v>
      </c>
      <c r="H98">
        <f>Main!N98</f>
        <v>0.87358100000000005</v>
      </c>
    </row>
    <row r="99" spans="1:8" x14ac:dyDescent="0.25">
      <c r="A99">
        <f>Main!$K$2</f>
        <v>0.02</v>
      </c>
      <c r="B99">
        <f>Main!V99</f>
        <v>115.93076291338259</v>
      </c>
      <c r="C99">
        <f>Main!W99</f>
        <v>51.254598215310068</v>
      </c>
      <c r="D99">
        <f t="shared" si="68"/>
        <v>126.34439713034244</v>
      </c>
      <c r="E99">
        <f t="shared" si="65"/>
        <v>85.435524908182714</v>
      </c>
      <c r="F99">
        <f t="shared" ref="F99:G99" si="100" xml:space="preserve"> (E100-E99)/$A99</f>
        <v>4.2887396005042433</v>
      </c>
      <c r="G99">
        <f t="shared" si="100"/>
        <v>56.859449580670685</v>
      </c>
      <c r="H99">
        <f>Main!N99</f>
        <v>0.89608600000000005</v>
      </c>
    </row>
    <row r="100" spans="1:8" x14ac:dyDescent="0.25">
      <c r="A100">
        <f>Main!$K$2</f>
        <v>0.02</v>
      </c>
      <c r="B100">
        <f>Main!V100</f>
        <v>116.96538328122216</v>
      </c>
      <c r="C100">
        <f>Main!W100</f>
        <v>52.614470364074883</v>
      </c>
      <c r="D100">
        <f t="shared" si="68"/>
        <v>128.0531076285061</v>
      </c>
      <c r="E100">
        <f t="shared" si="65"/>
        <v>85.521299700192799</v>
      </c>
      <c r="F100">
        <f t="shared" ref="F100:G100" si="101" xml:space="preserve"> (E101-E100)/$A100</f>
        <v>5.425928592117657</v>
      </c>
      <c r="G100">
        <f t="shared" si="101"/>
        <v>53.611162087463526</v>
      </c>
      <c r="H100">
        <f>Main!N100</f>
        <v>0.91849499999999995</v>
      </c>
    </row>
    <row r="101" spans="1:8" x14ac:dyDescent="0.25">
      <c r="A101">
        <f>Main!$K$2</f>
        <v>0.02</v>
      </c>
      <c r="B101">
        <f>Main!V101</f>
        <v>117.97049730150579</v>
      </c>
      <c r="C101">
        <f>Main!W101</f>
        <v>53.998415047649111</v>
      </c>
      <c r="D101">
        <f t="shared" si="68"/>
        <v>129.76353362250995</v>
      </c>
      <c r="E101">
        <f t="shared" si="65"/>
        <v>85.629818272035152</v>
      </c>
      <c r="F101">
        <f t="shared" ref="F101:G101" si="102" xml:space="preserve"> (E102-E101)/$A101</f>
        <v>6.4981518338669275</v>
      </c>
      <c r="G101">
        <f t="shared" si="102"/>
        <v>50.362939866488432</v>
      </c>
      <c r="H101">
        <f>Main!N101</f>
        <v>0.94077200000000005</v>
      </c>
    </row>
    <row r="102" spans="1:8" x14ac:dyDescent="0.25">
      <c r="A102">
        <f>Main!$K$2</f>
        <v>0.02</v>
      </c>
      <c r="B102">
        <f>Main!V102</f>
        <v>118.94604835421191</v>
      </c>
      <c r="C102">
        <f>Main!W102</f>
        <v>55.405996823065607</v>
      </c>
      <c r="D102">
        <f t="shared" si="68"/>
        <v>131.47612998795066</v>
      </c>
      <c r="E102">
        <f t="shared" si="65"/>
        <v>85.75978130871249</v>
      </c>
      <c r="F102">
        <f t="shared" ref="F102:G102" si="103" xml:space="preserve"> (E103-E102)/$A102</f>
        <v>7.5054106311966962</v>
      </c>
      <c r="G102">
        <f t="shared" si="103"/>
        <v>45.490183332219658</v>
      </c>
      <c r="H102">
        <f>Main!N102</f>
        <v>0.96288200000000002</v>
      </c>
    </row>
    <row r="103" spans="1:8" x14ac:dyDescent="0.25">
      <c r="A103">
        <f>Main!$K$2</f>
        <v>0.02</v>
      </c>
      <c r="B103">
        <f>Main!V103</f>
        <v>119.89201283209047</v>
      </c>
      <c r="C103">
        <f>Main!W103</f>
        <v>56.836747410218791</v>
      </c>
      <c r="D103">
        <f t="shared" si="68"/>
        <v>133.19132561412491</v>
      </c>
      <c r="E103">
        <f t="shared" si="65"/>
        <v>85.909889521336424</v>
      </c>
      <c r="F103">
        <f t="shared" ref="F103:G103" si="104" xml:space="preserve"> (E104-E103)/$A103</f>
        <v>8.4152142978410893</v>
      </c>
      <c r="G103">
        <f t="shared" si="104"/>
        <v>43.866528660174708</v>
      </c>
      <c r="H103">
        <f>Main!N103</f>
        <v>0.984792</v>
      </c>
    </row>
    <row r="104" spans="1:8" x14ac:dyDescent="0.25">
      <c r="A104">
        <f>Main!$K$2</f>
        <v>0.02</v>
      </c>
      <c r="B104">
        <f>Main!V104</f>
        <v>120.80840127181685</v>
      </c>
      <c r="C104">
        <f>Main!W104</f>
        <v>58.290169535605344</v>
      </c>
      <c r="D104">
        <f t="shared" si="68"/>
        <v>134.90952340455163</v>
      </c>
      <c r="E104">
        <f t="shared" si="65"/>
        <v>86.078193807293246</v>
      </c>
      <c r="F104">
        <f t="shared" ref="F104:G104" si="105" xml:space="preserve"> (E105-E104)/$A104</f>
        <v>9.2925448710445835</v>
      </c>
      <c r="G104">
        <f t="shared" si="105"/>
        <v>38.993710536061599</v>
      </c>
      <c r="H104">
        <f>Main!N104</f>
        <v>1.0064709999999999</v>
      </c>
    </row>
    <row r="105" spans="1:8" x14ac:dyDescent="0.25">
      <c r="A105">
        <f>Main!$K$2</f>
        <v>0.02</v>
      </c>
      <c r="B105">
        <f>Main!V105</f>
        <v>121.69525076570102</v>
      </c>
      <c r="C105">
        <f>Main!W105</f>
        <v>59.765730498374324</v>
      </c>
      <c r="D105">
        <f t="shared" si="68"/>
        <v>136.6310872806975</v>
      </c>
      <c r="E105">
        <f t="shared" si="65"/>
        <v>86.264044704714138</v>
      </c>
      <c r="F105">
        <f t="shared" ref="F105:G105" si="106" xml:space="preserve"> (E106-E105)/$A105</f>
        <v>10.072419081765815</v>
      </c>
      <c r="G105">
        <f t="shared" si="106"/>
        <v>34.120780057378397</v>
      </c>
      <c r="H105">
        <f>Main!N105</f>
        <v>1.0278910000000001</v>
      </c>
    </row>
    <row r="106" spans="1:8" x14ac:dyDescent="0.25">
      <c r="A106">
        <f>Main!$K$2</f>
        <v>0.02</v>
      </c>
      <c r="B106">
        <f>Main!V106</f>
        <v>122.55264129876215</v>
      </c>
      <c r="C106">
        <f>Main!W106</f>
        <v>61.262886347758055</v>
      </c>
      <c r="D106">
        <f t="shared" si="68"/>
        <v>138.35636817479178</v>
      </c>
      <c r="E106">
        <f t="shared" si="65"/>
        <v>86.465493086349454</v>
      </c>
      <c r="F106">
        <f t="shared" ref="F106:G106" si="107" xml:space="preserve"> (E107-E106)/$A106</f>
        <v>10.754834682913383</v>
      </c>
      <c r="G106">
        <f t="shared" si="107"/>
        <v>30.872328757425294</v>
      </c>
      <c r="H106">
        <f>Main!N106</f>
        <v>1.0490250000000001</v>
      </c>
    </row>
    <row r="107" spans="1:8" x14ac:dyDescent="0.25">
      <c r="A107">
        <f>Main!$K$2</f>
        <v>0.02</v>
      </c>
      <c r="B107">
        <f>Main!V107</f>
        <v>123.38068057954467</v>
      </c>
      <c r="C107">
        <f>Main!W107</f>
        <v>62.781064053873976</v>
      </c>
      <c r="D107">
        <f t="shared" si="68"/>
        <v>140.08567803651877</v>
      </c>
      <c r="E107">
        <f t="shared" si="65"/>
        <v>86.680589780007722</v>
      </c>
      <c r="F107">
        <f t="shared" ref="F107:G107" si="108" xml:space="preserve"> (E108-E107)/$A107</f>
        <v>11.372281258061889</v>
      </c>
      <c r="G107">
        <f t="shared" si="108"/>
        <v>24.374509017377477</v>
      </c>
      <c r="H107">
        <f>Main!N107</f>
        <v>1.069849</v>
      </c>
    </row>
    <row r="108" spans="1:8" x14ac:dyDescent="0.25">
      <c r="A108">
        <f>Main!$K$2</f>
        <v>0.02</v>
      </c>
      <c r="B108">
        <f>Main!V108</f>
        <v>124.17950332443743</v>
      </c>
      <c r="C108">
        <f>Main!W108</f>
        <v>64.319664742839763</v>
      </c>
      <c r="D108">
        <f t="shared" si="68"/>
        <v>141.81928983211893</v>
      </c>
      <c r="E108">
        <f t="shared" si="65"/>
        <v>86.90803540516896</v>
      </c>
      <c r="F108">
        <f t="shared" ref="F108:G108" si="109" xml:space="preserve"> (E109-E108)/$A108</f>
        <v>11.859771438409439</v>
      </c>
      <c r="G108">
        <f t="shared" si="109"/>
        <v>25.999698433309959</v>
      </c>
      <c r="H108">
        <f>Main!N108</f>
        <v>1.0903419999999999</v>
      </c>
    </row>
    <row r="109" spans="1:8" x14ac:dyDescent="0.25">
      <c r="A109">
        <f>Main!$K$2</f>
        <v>0.02</v>
      </c>
      <c r="B109">
        <f>Main!V109</f>
        <v>124.9492777142023</v>
      </c>
      <c r="C109">
        <f>Main!W109</f>
        <v>65.878077408360852</v>
      </c>
      <c r="D109">
        <f t="shared" si="68"/>
        <v>143.55745054022231</v>
      </c>
      <c r="E109">
        <f t="shared" si="65"/>
        <v>87.145230833937148</v>
      </c>
      <c r="F109">
        <f t="shared" ref="F109:G109" si="110" xml:space="preserve"> (E110-E109)/$A109</f>
        <v>12.379765407075638</v>
      </c>
      <c r="G109">
        <f t="shared" si="110"/>
        <v>13.002971623876647</v>
      </c>
      <c r="H109">
        <f>Main!N109</f>
        <v>1.1104849999999999</v>
      </c>
    </row>
    <row r="110" spans="1:8" x14ac:dyDescent="0.25">
      <c r="A110">
        <f>Main!$K$2</f>
        <v>0.02</v>
      </c>
      <c r="B110">
        <f>Main!V110</f>
        <v>125.69018990968006</v>
      </c>
      <c r="C110">
        <f>Main!W110</f>
        <v>67.455659615864604</v>
      </c>
      <c r="D110">
        <f t="shared" si="68"/>
        <v>145.30035515690105</v>
      </c>
      <c r="E110">
        <f t="shared" si="65"/>
        <v>87.392826142078661</v>
      </c>
      <c r="F110">
        <f t="shared" ref="F110:G110" si="111" xml:space="preserve"> (E111-E110)/$A110</f>
        <v>12.639824839553171</v>
      </c>
      <c r="G110">
        <f t="shared" si="111"/>
        <v>19.501899547691437</v>
      </c>
      <c r="H110">
        <f>Main!N110</f>
        <v>1.130263</v>
      </c>
    </row>
    <row r="111" spans="1:8" x14ac:dyDescent="0.25">
      <c r="A111">
        <f>Main!$K$2</f>
        <v>0.02</v>
      </c>
      <c r="B111">
        <f>Main!V111</f>
        <v>126.40247720578148</v>
      </c>
      <c r="C111">
        <f>Main!W111</f>
        <v>69.051795334483899</v>
      </c>
      <c r="D111">
        <f t="shared" si="68"/>
        <v>147.04821167974262</v>
      </c>
      <c r="E111">
        <f t="shared" si="65"/>
        <v>87.645622638869725</v>
      </c>
      <c r="F111">
        <f t="shared" ref="F111:G111" si="112" xml:space="preserve"> (E112-E111)/$A111</f>
        <v>13.029862830507</v>
      </c>
      <c r="G111">
        <f t="shared" si="112"/>
        <v>6.5047339781187929</v>
      </c>
      <c r="H111">
        <f>Main!N111</f>
        <v>1.1496599999999999</v>
      </c>
    </row>
    <row r="112" spans="1:8" x14ac:dyDescent="0.25">
      <c r="A112">
        <f>Main!$K$2</f>
        <v>0.02</v>
      </c>
      <c r="B112">
        <f>Main!V112</f>
        <v>127.08636649664281</v>
      </c>
      <c r="C112">
        <f>Main!W112</f>
        <v>70.665795800700437</v>
      </c>
      <c r="D112">
        <f t="shared" si="68"/>
        <v>148.80112413252002</v>
      </c>
      <c r="E112">
        <f t="shared" si="65"/>
        <v>87.906219895479865</v>
      </c>
      <c r="F112">
        <f t="shared" ref="F112:G112" si="113" xml:space="preserve"> (E113-E112)/$A112</f>
        <v>13.159957510069376</v>
      </c>
      <c r="G112">
        <f t="shared" si="113"/>
        <v>-21.246685125930753</v>
      </c>
      <c r="H112">
        <f>Main!N112</f>
        <v>1.168668</v>
      </c>
    </row>
    <row r="113" spans="1:8" x14ac:dyDescent="0.25">
      <c r="A113">
        <f>Main!$K$2</f>
        <v>0.02</v>
      </c>
      <c r="B113">
        <f>Main!V113</f>
        <v>127.74214864304867</v>
      </c>
      <c r="C113">
        <f>Main!W113</f>
        <v>72.297038019066648</v>
      </c>
      <c r="D113">
        <f t="shared" si="68"/>
        <v>150.55924853042961</v>
      </c>
      <c r="E113">
        <f t="shared" si="65"/>
        <v>88.169419045681252</v>
      </c>
      <c r="F113">
        <f t="shared" ref="F113:G113" si="114" xml:space="preserve"> (E114-E113)/$A113</f>
        <v>12.73502380755076</v>
      </c>
      <c r="G113">
        <f t="shared" si="114"/>
        <v>-206.6235608850775</v>
      </c>
      <c r="H113">
        <f>Main!N113</f>
        <v>1.1872750000000001</v>
      </c>
    </row>
    <row r="114" spans="1:8" x14ac:dyDescent="0.25">
      <c r="A114">
        <f>Main!$K$2</f>
        <v>0.02</v>
      </c>
      <c r="B114">
        <f>Main!V114</f>
        <v>128.37010301663284</v>
      </c>
      <c r="C114">
        <f>Main!W114</f>
        <v>73.944828019836677</v>
      </c>
      <c r="D114">
        <f t="shared" si="68"/>
        <v>152.32263691134324</v>
      </c>
      <c r="E114">
        <f t="shared" si="65"/>
        <v>88.424119521832267</v>
      </c>
      <c r="F114">
        <f t="shared" ref="F114:G114" si="115" xml:space="preserve"> (E115-E114)/$A114</f>
        <v>8.6025525898492106</v>
      </c>
      <c r="G114">
        <f t="shared" si="115"/>
        <v>-352.87556537966225</v>
      </c>
      <c r="H114">
        <f>Main!N114</f>
        <v>1.2054769999999999</v>
      </c>
    </row>
    <row r="115" spans="1:8" x14ac:dyDescent="0.25">
      <c r="A115">
        <f>Main!$K$2</f>
        <v>0.02</v>
      </c>
      <c r="B115">
        <f>Main!V115</f>
        <v>128.97047470464582</v>
      </c>
      <c r="C115">
        <f>Main!W115</f>
        <v>75.608283399916644</v>
      </c>
      <c r="D115">
        <f t="shared" si="68"/>
        <v>154.09111930177988</v>
      </c>
      <c r="E115">
        <f t="shared" si="65"/>
        <v>88.596170573629252</v>
      </c>
      <c r="F115">
        <f t="shared" ref="F115:G115" si="116" xml:space="preserve"> (E116-E115)/$A115</f>
        <v>1.5450412822559656</v>
      </c>
      <c r="G115">
        <f t="shared" si="116"/>
        <v>-361.2483895452101</v>
      </c>
      <c r="H115">
        <f>Main!N115</f>
        <v>1.223265</v>
      </c>
    </row>
    <row r="116" spans="1:8" x14ac:dyDescent="0.25">
      <c r="A116">
        <f>Main!$K$2</f>
        <v>0.02</v>
      </c>
      <c r="B116">
        <f>Main!V116</f>
        <v>129.54309359299953</v>
      </c>
      <c r="C116">
        <f>Main!W116</f>
        <v>77.285131689066617</v>
      </c>
      <c r="D116">
        <f t="shared" si="68"/>
        <v>155.86304271325247</v>
      </c>
      <c r="E116">
        <f t="shared" si="65"/>
        <v>88.627071399274371</v>
      </c>
      <c r="F116">
        <f t="shared" ref="F116:G116" si="117" xml:space="preserve"> (E117-E116)/$A116</f>
        <v>-5.6799265086482364</v>
      </c>
      <c r="G116">
        <f t="shared" si="117"/>
        <v>-368.99652868527255</v>
      </c>
      <c r="H116">
        <f>Main!N116</f>
        <v>1.2406219999999999</v>
      </c>
    </row>
    <row r="117" spans="1:8" x14ac:dyDescent="0.25">
      <c r="A117">
        <f>Main!$K$2</f>
        <v>0.02</v>
      </c>
      <c r="B117">
        <f>Main!V117</f>
        <v>130.0875825134427</v>
      </c>
      <c r="C117">
        <f>Main!W117</f>
        <v>78.971973391609993</v>
      </c>
      <c r="D117">
        <f t="shared" si="68"/>
        <v>157.63558414123796</v>
      </c>
      <c r="E117">
        <f t="shared" si="65"/>
        <v>88.513472869101406</v>
      </c>
      <c r="F117">
        <f t="shared" ref="F117:G117" si="118" xml:space="preserve"> (E118-E117)/$A117</f>
        <v>-13.059857082353687</v>
      </c>
      <c r="G117">
        <f t="shared" si="118"/>
        <v>-372.62063779053278</v>
      </c>
      <c r="H117">
        <f>Main!N117</f>
        <v>1.2575210000000001</v>
      </c>
    </row>
    <row r="118" spans="1:8" x14ac:dyDescent="0.25">
      <c r="A118">
        <f>Main!$K$2</f>
        <v>0.02</v>
      </c>
      <c r="B118">
        <f>Main!V118</f>
        <v>130.60373787819756</v>
      </c>
      <c r="C118">
        <f>Main!W118</f>
        <v>80.665324386287239</v>
      </c>
      <c r="D118">
        <f t="shared" si="68"/>
        <v>159.40585359861998</v>
      </c>
      <c r="E118">
        <f t="shared" si="65"/>
        <v>88.252275727454332</v>
      </c>
      <c r="F118">
        <f t="shared" ref="F118:G118" si="119" xml:space="preserve"> (E119-E118)/$A118</f>
        <v>-20.512269838164343</v>
      </c>
      <c r="G118">
        <f t="shared" si="119"/>
        <v>-378.86948740961657</v>
      </c>
      <c r="H118">
        <f>Main!N118</f>
        <v>1.2739400000000001</v>
      </c>
    </row>
    <row r="119" spans="1:8" x14ac:dyDescent="0.25">
      <c r="A119">
        <f>Main!$K$2</f>
        <v>0.02</v>
      </c>
      <c r="B119">
        <f>Main!V119</f>
        <v>131.09151947194945</v>
      </c>
      <c r="C119">
        <f>Main!W119</f>
        <v>82.361630604287598</v>
      </c>
      <c r="D119">
        <f t="shared" si="68"/>
        <v>161.17089911316907</v>
      </c>
      <c r="E119">
        <f t="shared" si="65"/>
        <v>87.842030330691045</v>
      </c>
      <c r="F119">
        <f t="shared" ref="F119:G119" si="120" xml:space="preserve"> (E120-E119)/$A119</f>
        <v>-28.089659586356674</v>
      </c>
      <c r="G119">
        <f t="shared" si="120"/>
        <v>-383.74378094729877</v>
      </c>
      <c r="H119">
        <f>Main!N119</f>
        <v>1.2898620000000001</v>
      </c>
    </row>
    <row r="120" spans="1:8" x14ac:dyDescent="0.25">
      <c r="A120">
        <f>Main!$K$2</f>
        <v>0.02</v>
      </c>
      <c r="B120">
        <f>Main!V120</f>
        <v>131.55105165173651</v>
      </c>
      <c r="C120">
        <f>Main!W120</f>
        <v>84.057307192787718</v>
      </c>
      <c r="D120">
        <f t="shared" si="68"/>
        <v>162.92773971978289</v>
      </c>
      <c r="E120">
        <f t="shared" si="65"/>
        <v>87.280237138963912</v>
      </c>
      <c r="F120">
        <f t="shared" ref="F120:G120" si="121" xml:space="preserve"> (E121-E120)/$A120</f>
        <v>-35.76453520530265</v>
      </c>
      <c r="G120">
        <f t="shared" si="121"/>
        <v>-387.24343591312049</v>
      </c>
      <c r="H120">
        <f>Main!N120</f>
        <v>1.305272</v>
      </c>
    </row>
    <row r="121" spans="1:8" x14ac:dyDescent="0.25">
      <c r="A121">
        <f>Main!$K$2</f>
        <v>0.02</v>
      </c>
      <c r="B121">
        <f>Main!V121</f>
        <v>131.9826033646431</v>
      </c>
      <c r="C121">
        <f>Main!W121</f>
        <v>85.748726430321966</v>
      </c>
      <c r="D121">
        <f t="shared" si="68"/>
        <v>164.67334446256217</v>
      </c>
      <c r="E121">
        <f t="shared" si="65"/>
        <v>86.564946434857859</v>
      </c>
      <c r="F121">
        <f t="shared" ref="F121:G121" si="122" xml:space="preserve"> (E122-E121)/$A121</f>
        <v>-43.50940392356506</v>
      </c>
      <c r="G121">
        <f t="shared" si="122"/>
        <v>-393.49289805201693</v>
      </c>
      <c r="H121">
        <f>Main!N121</f>
        <v>1.3201590000000001</v>
      </c>
    </row>
    <row r="122" spans="1:8" x14ac:dyDescent="0.25">
      <c r="A122">
        <f>Main!$K$2</f>
        <v>0.02</v>
      </c>
      <c r="B122">
        <f>Main!V122</f>
        <v>132.38657873736244</v>
      </c>
      <c r="C122">
        <f>Main!W122</f>
        <v>87.432234636047184</v>
      </c>
      <c r="D122">
        <f t="shared" si="68"/>
        <v>166.40464339125933</v>
      </c>
      <c r="E122">
        <f t="shared" si="65"/>
        <v>85.694758356386558</v>
      </c>
      <c r="F122">
        <f t="shared" ref="F122:G122" si="123" xml:space="preserve"> (E123-E122)/$A122</f>
        <v>-51.379261884605398</v>
      </c>
      <c r="G122">
        <f t="shared" si="123"/>
        <v>-396.7428697428943</v>
      </c>
      <c r="H122">
        <f>Main!N122</f>
        <v>1.3345149999999999</v>
      </c>
    </row>
    <row r="123" spans="1:8" x14ac:dyDescent="0.25">
      <c r="A123">
        <f>Main!$K$2</f>
        <v>0.02</v>
      </c>
      <c r="B123">
        <f>Main!V123</f>
        <v>132.76350798641556</v>
      </c>
      <c r="C123">
        <f>Main!W123</f>
        <v>89.104167943662077</v>
      </c>
      <c r="D123">
        <f t="shared" si="68"/>
        <v>168.11853855838706</v>
      </c>
      <c r="E123">
        <f t="shared" si="65"/>
        <v>84.66717311869445</v>
      </c>
      <c r="F123">
        <f t="shared" ref="F123:G123" si="124" xml:space="preserve"> (E124-E123)/$A123</f>
        <v>-59.314119279463284</v>
      </c>
      <c r="G123">
        <f t="shared" si="124"/>
        <v>-393.61847080598977</v>
      </c>
      <c r="H123">
        <f>Main!N123</f>
        <v>1.3483339999999999</v>
      </c>
    </row>
    <row r="124" spans="1:8" x14ac:dyDescent="0.25">
      <c r="A124">
        <f>Main!$K$2</f>
        <v>0.02</v>
      </c>
      <c r="B124">
        <f>Main!V124</f>
        <v>133.11402648908876</v>
      </c>
      <c r="C124">
        <f>Main!W124</f>
        <v>90.760835943246818</v>
      </c>
      <c r="D124">
        <f t="shared" si="68"/>
        <v>169.81188202076095</v>
      </c>
      <c r="E124">
        <f t="shared" si="65"/>
        <v>83.480890733105184</v>
      </c>
      <c r="F124">
        <f t="shared" ref="F124:G124" si="125" xml:space="preserve"> (E125-E124)/$A124</f>
        <v>-67.18648869558308</v>
      </c>
      <c r="G124">
        <f t="shared" si="125"/>
        <v>-404.86788001103946</v>
      </c>
      <c r="H124">
        <f>Main!N124</f>
        <v>1.3616140000000001</v>
      </c>
    </row>
    <row r="125" spans="1:8" x14ac:dyDescent="0.25">
      <c r="A125">
        <f>Main!$K$2</f>
        <v>0.02</v>
      </c>
      <c r="B125">
        <f>Main!V125</f>
        <v>133.43886814516196</v>
      </c>
      <c r="C125">
        <f>Main!W125</f>
        <v>92.398548233460417</v>
      </c>
      <c r="D125">
        <f t="shared" si="68"/>
        <v>171.48149983542305</v>
      </c>
      <c r="E125">
        <f t="shared" si="65"/>
        <v>82.137160959193523</v>
      </c>
      <c r="F125">
        <f t="shared" ref="F125:G125" si="126" xml:space="preserve"> (E126-E125)/$A125</f>
        <v>-75.283846295803869</v>
      </c>
      <c r="G125">
        <f t="shared" si="126"/>
        <v>-398.61881212033268</v>
      </c>
      <c r="H125">
        <f>Main!N125</f>
        <v>1.374355</v>
      </c>
    </row>
    <row r="126" spans="1:8" x14ac:dyDescent="0.25">
      <c r="A126">
        <f>Main!$K$2</f>
        <v>0.02</v>
      </c>
      <c r="B126">
        <f>Main!V126</f>
        <v>133.73886881369978</v>
      </c>
      <c r="C126">
        <f>Main!W126</f>
        <v>94.013665840030129</v>
      </c>
      <c r="D126">
        <f t="shared" si="68"/>
        <v>173.12424305460692</v>
      </c>
      <c r="E126">
        <f t="shared" si="65"/>
        <v>80.631484033277445</v>
      </c>
      <c r="F126">
        <f t="shared" ref="F126:G126" si="127" xml:space="preserve"> (E127-E126)/$A126</f>
        <v>-83.256222538210523</v>
      </c>
      <c r="G126">
        <f t="shared" si="127"/>
        <v>-406.49365607592358</v>
      </c>
      <c r="H126">
        <f>Main!N126</f>
        <v>1.386555</v>
      </c>
    </row>
    <row r="127" spans="1:8" x14ac:dyDescent="0.25">
      <c r="A127">
        <f>Main!$K$2</f>
        <v>0.02</v>
      </c>
      <c r="B127">
        <f>Main!V127</f>
        <v>134.01492152715576</v>
      </c>
      <c r="C127">
        <f>Main!W127</f>
        <v>95.602492257974234</v>
      </c>
      <c r="D127">
        <f t="shared" si="68"/>
        <v>174.73687273527247</v>
      </c>
      <c r="E127">
        <f t="shared" si="65"/>
        <v>78.966359582513235</v>
      </c>
      <c r="F127">
        <f t="shared" ref="F127:G127" si="128" xml:space="preserve"> (E128-E127)/$A127</f>
        <v>-91.386095659728994</v>
      </c>
      <c r="G127">
        <f t="shared" si="128"/>
        <v>-368.99423060177128</v>
      </c>
      <c r="H127">
        <f>Main!N127</f>
        <v>1.3982190000000001</v>
      </c>
    </row>
    <row r="128" spans="1:8" x14ac:dyDescent="0.25">
      <c r="A128">
        <f>Main!$K$2</f>
        <v>0.02</v>
      </c>
      <c r="B128">
        <f>Main!V128</f>
        <v>134.26800039349453</v>
      </c>
      <c r="C128">
        <f>Main!W128</f>
        <v>97.161410301265335</v>
      </c>
      <c r="D128">
        <f t="shared" si="68"/>
        <v>176.31619992692274</v>
      </c>
      <c r="E128">
        <f t="shared" si="65"/>
        <v>77.138637669318655</v>
      </c>
      <c r="F128">
        <f t="shared" ref="F128:G128" si="129" xml:space="preserve"> (E129-E128)/$A128</f>
        <v>-98.76598027176442</v>
      </c>
      <c r="G128">
        <f t="shared" si="129"/>
        <v>-191.99362333921499</v>
      </c>
      <c r="H128">
        <f>Main!N128</f>
        <v>1.409348</v>
      </c>
    </row>
    <row r="129" spans="1:8" x14ac:dyDescent="0.25">
      <c r="A129">
        <f>Main!$K$2</f>
        <v>0.02</v>
      </c>
      <c r="B129">
        <f>Main!V129</f>
        <v>134.49912140336633</v>
      </c>
      <c r="C129">
        <f>Main!W129</f>
        <v>98.686772831088078</v>
      </c>
      <c r="D129">
        <f t="shared" si="68"/>
        <v>177.85897268030911</v>
      </c>
      <c r="E129">
        <f t="shared" si="65"/>
        <v>75.163318063883366</v>
      </c>
      <c r="F129">
        <f t="shared" ref="F129:G129" si="130" xml:space="preserve"> (E130-E129)/$A129</f>
        <v>-102.60585273854872</v>
      </c>
      <c r="G129">
        <f t="shared" si="130"/>
        <v>-35.494069368979808</v>
      </c>
      <c r="H129">
        <f>Main!N129</f>
        <v>1.419948</v>
      </c>
    </row>
    <row r="130" spans="1:8" x14ac:dyDescent="0.25">
      <c r="A130">
        <f>Main!$K$2</f>
        <v>0.02</v>
      </c>
      <c r="B130">
        <f>Main!V130</f>
        <v>134.70938806003076</v>
      </c>
      <c r="C130">
        <f>Main!W130</f>
        <v>100.17526122071165</v>
      </c>
      <c r="D130">
        <f t="shared" si="68"/>
        <v>179.36223904158678</v>
      </c>
      <c r="E130">
        <f t="shared" ref="E130:E172" si="131" xml:space="preserve"> IF(ISBLANK(D131), 0, (D131-D130)/$A130 )</f>
        <v>73.111201009112392</v>
      </c>
      <c r="F130">
        <f t="shared" ref="F130:G130" si="132" xml:space="preserve"> (E131-E130)/$A130</f>
        <v>-103.31573412592832</v>
      </c>
      <c r="G130">
        <f t="shared" si="132"/>
        <v>-37.494744301369565</v>
      </c>
      <c r="H130">
        <f>Main!N130</f>
        <v>1.430024</v>
      </c>
    </row>
    <row r="131" spans="1:8" x14ac:dyDescent="0.25">
      <c r="A131">
        <f>Main!$K$2</f>
        <v>0.02</v>
      </c>
      <c r="B131">
        <f>Main!V131</f>
        <v>134.90009511933818</v>
      </c>
      <c r="C131">
        <f>Main!W131</f>
        <v>101.62499564560756</v>
      </c>
      <c r="D131">
        <f t="shared" si="68"/>
        <v>180.82446306176902</v>
      </c>
      <c r="E131">
        <f t="shared" si="131"/>
        <v>71.044886326593826</v>
      </c>
      <c r="F131">
        <f t="shared" ref="F131:G131" si="133" xml:space="preserve"> (E132-E131)/$A131</f>
        <v>-104.06562901195571</v>
      </c>
      <c r="G131">
        <f t="shared" si="133"/>
        <v>-30.995660754484788</v>
      </c>
      <c r="H131">
        <f>Main!N131</f>
        <v>1.439594</v>
      </c>
    </row>
    <row r="132" spans="1:8" x14ac:dyDescent="0.25">
      <c r="A132">
        <f>Main!$K$2</f>
        <v>0.02</v>
      </c>
      <c r="B132">
        <f>Main!V132</f>
        <v>135.07264637560704</v>
      </c>
      <c r="C132">
        <f>Main!W132</f>
        <v>103.03537730077169</v>
      </c>
      <c r="D132">
        <f t="shared" ref="D132:D172" si="134">D131 + SQRT( (B132-B131)^2  + (C132-C131)^2 )</f>
        <v>182.2453607883009</v>
      </c>
      <c r="E132">
        <f t="shared" si="131"/>
        <v>68.963573746354712</v>
      </c>
      <c r="F132">
        <f t="shared" ref="F132:G132" si="135" xml:space="preserve"> (E133-E132)/$A132</f>
        <v>-104.6855422270454</v>
      </c>
      <c r="G132">
        <f t="shared" si="135"/>
        <v>-33.871088177761521</v>
      </c>
      <c r="H132">
        <f>Main!N132</f>
        <v>1.44868</v>
      </c>
    </row>
    <row r="133" spans="1:8" x14ac:dyDescent="0.25">
      <c r="A133">
        <f>Main!$K$2</f>
        <v>0.02</v>
      </c>
      <c r="B133">
        <f>Main!V133</f>
        <v>135.2283654701333</v>
      </c>
      <c r="C133">
        <f>Main!W133</f>
        <v>104.40583027885866</v>
      </c>
      <c r="D133">
        <f t="shared" si="134"/>
        <v>183.62463226322799</v>
      </c>
      <c r="E133">
        <f t="shared" si="131"/>
        <v>66.869862901813804</v>
      </c>
      <c r="F133">
        <f t="shared" ref="F133:G133" si="136" xml:space="preserve"> (E134-E133)/$A133</f>
        <v>-105.36296399060063</v>
      </c>
      <c r="G133">
        <f t="shared" si="136"/>
        <v>-29.496740520329467</v>
      </c>
      <c r="H133">
        <f>Main!N133</f>
        <v>1.4573050000000001</v>
      </c>
    </row>
    <row r="134" spans="1:8" x14ac:dyDescent="0.25">
      <c r="A134">
        <f>Main!$K$2</f>
        <v>0.02</v>
      </c>
      <c r="B134">
        <f>Main!V134</f>
        <v>135.36851152455509</v>
      </c>
      <c r="C134">
        <f>Main!W134</f>
        <v>105.73586430445086</v>
      </c>
      <c r="D134">
        <f t="shared" si="134"/>
        <v>184.96202952126427</v>
      </c>
      <c r="E134">
        <f t="shared" si="131"/>
        <v>64.762603622001791</v>
      </c>
      <c r="F134">
        <f t="shared" ref="F134:G134" si="137" xml:space="preserve"> (E135-E134)/$A134</f>
        <v>-105.95289880100722</v>
      </c>
      <c r="G134">
        <f t="shared" si="137"/>
        <v>-25.872234381552062</v>
      </c>
      <c r="H134">
        <f>Main!N134</f>
        <v>1.4654879999999999</v>
      </c>
    </row>
    <row r="135" spans="1:8" x14ac:dyDescent="0.25">
      <c r="A135">
        <f>Main!$K$2</f>
        <v>0.02</v>
      </c>
      <c r="B135">
        <f>Main!V135</f>
        <v>135.49426857206731</v>
      </c>
      <c r="C135">
        <f>Main!W135</f>
        <v>107.02499699589934</v>
      </c>
      <c r="D135">
        <f t="shared" si="134"/>
        <v>186.25728159370431</v>
      </c>
      <c r="E135">
        <f t="shared" si="131"/>
        <v>62.643545645981646</v>
      </c>
      <c r="F135">
        <f t="shared" ref="F135:G135" si="138" xml:space="preserve"> (E136-E135)/$A135</f>
        <v>-106.47034348863826</v>
      </c>
      <c r="G135">
        <f t="shared" si="138"/>
        <v>-27.4975350258444</v>
      </c>
      <c r="H135">
        <f>Main!N135</f>
        <v>1.4732499999999999</v>
      </c>
    </row>
    <row r="136" spans="1:8" x14ac:dyDescent="0.25">
      <c r="A136">
        <f>Main!$K$2</f>
        <v>0.02</v>
      </c>
      <c r="B136">
        <f>Main!V136</f>
        <v>135.60675795748969</v>
      </c>
      <c r="C136">
        <f>Main!W136</f>
        <v>108.27280774381241</v>
      </c>
      <c r="D136">
        <f t="shared" si="134"/>
        <v>187.51015250662394</v>
      </c>
      <c r="E136">
        <f t="shared" si="131"/>
        <v>60.514138776208881</v>
      </c>
      <c r="F136">
        <f t="shared" ref="F136:G136" si="139" xml:space="preserve"> (E137-E136)/$A136</f>
        <v>-107.02029418915515</v>
      </c>
      <c r="G136">
        <f t="shared" si="139"/>
        <v>-22.997953148973238</v>
      </c>
      <c r="H136">
        <f>Main!N136</f>
        <v>1.4806090000000001</v>
      </c>
    </row>
    <row r="137" spans="1:8" x14ac:dyDescent="0.25">
      <c r="A137">
        <f>Main!$K$2</f>
        <v>0.02</v>
      </c>
      <c r="B137">
        <f>Main!V137</f>
        <v>135.7070409711817</v>
      </c>
      <c r="C137">
        <f>Main!W137</f>
        <v>109.47892868049138</v>
      </c>
      <c r="D137">
        <f t="shared" si="134"/>
        <v>188.72043528214812</v>
      </c>
      <c r="E137">
        <f t="shared" si="131"/>
        <v>58.373732892425778</v>
      </c>
      <c r="F137">
        <f t="shared" ref="F137:G137" si="140" xml:space="preserve"> (E138-E137)/$A137</f>
        <v>-107.48025325213462</v>
      </c>
      <c r="G137">
        <f t="shared" si="140"/>
        <v>-24.248171733631807</v>
      </c>
      <c r="H137">
        <f>Main!N137</f>
        <v>1.487581</v>
      </c>
    </row>
    <row r="138" spans="1:8" x14ac:dyDescent="0.25">
      <c r="A138">
        <f>Main!$K$2</f>
        <v>0.02</v>
      </c>
      <c r="B138">
        <f>Main!V138</f>
        <v>135.79611513194365</v>
      </c>
      <c r="C138">
        <f>Main!W138</f>
        <v>110.64300035809678</v>
      </c>
      <c r="D138">
        <f t="shared" si="134"/>
        <v>189.88790993999663</v>
      </c>
      <c r="E138">
        <f t="shared" si="131"/>
        <v>56.224127827383086</v>
      </c>
      <c r="F138">
        <f t="shared" ref="F138:G138" si="141" xml:space="preserve"> (E139-E138)/$A138</f>
        <v>-107.96521668680725</v>
      </c>
      <c r="G138">
        <f t="shared" si="141"/>
        <v>-21.123459692518054</v>
      </c>
      <c r="H138">
        <f>Main!N138</f>
        <v>1.494183</v>
      </c>
    </row>
    <row r="139" spans="1:8" x14ac:dyDescent="0.25">
      <c r="A139">
        <f>Main!$K$2</f>
        <v>0.02</v>
      </c>
      <c r="B139">
        <f>Main!V139</f>
        <v>135.87492372443319</v>
      </c>
      <c r="C139">
        <f>Main!W139</f>
        <v>111.76471789193931</v>
      </c>
      <c r="D139">
        <f t="shared" si="134"/>
        <v>191.01239249654429</v>
      </c>
      <c r="E139">
        <f t="shared" si="131"/>
        <v>54.064823493646941</v>
      </c>
      <c r="F139">
        <f t="shared" ref="F139:G139" si="142" xml:space="preserve"> (E140-E139)/$A139</f>
        <v>-108.38768588065761</v>
      </c>
      <c r="G139">
        <f t="shared" si="142"/>
        <v>-17.74869863169215</v>
      </c>
      <c r="H139">
        <f>Main!N139</f>
        <v>1.500429</v>
      </c>
    </row>
    <row r="140" spans="1:8" x14ac:dyDescent="0.25">
      <c r="A140">
        <f>Main!$K$2</f>
        <v>0.02</v>
      </c>
      <c r="B140">
        <f>Main!V140</f>
        <v>135.9443521682758</v>
      </c>
      <c r="C140">
        <f>Main!W140</f>
        <v>112.84378311098089</v>
      </c>
      <c r="D140">
        <f t="shared" si="134"/>
        <v>192.09368896641723</v>
      </c>
      <c r="E140">
        <f t="shared" si="131"/>
        <v>51.897069776033788</v>
      </c>
      <c r="F140">
        <f t="shared" ref="F140:G140" si="143" xml:space="preserve"> (E141-E140)/$A140</f>
        <v>-108.74265985329146</v>
      </c>
      <c r="G140">
        <f t="shared" si="143"/>
        <v>-19.748832333021937</v>
      </c>
      <c r="H140">
        <f>Main!N140</f>
        <v>1.5063340000000001</v>
      </c>
    </row>
    <row r="141" spans="1:8" x14ac:dyDescent="0.25">
      <c r="A141">
        <f>Main!$K$2</f>
        <v>0.02</v>
      </c>
      <c r="B141">
        <f>Main!V141</f>
        <v>136.00523455159973</v>
      </c>
      <c r="C141">
        <f>Main!W141</f>
        <v>113.87993738324742</v>
      </c>
      <c r="D141">
        <f t="shared" si="134"/>
        <v>193.13163036193791</v>
      </c>
      <c r="E141">
        <f t="shared" si="131"/>
        <v>49.722216578967959</v>
      </c>
      <c r="F141">
        <f t="shared" ref="F141:G141" si="144" xml:space="preserve"> (E142-E141)/$A141</f>
        <v>-109.1376364999519</v>
      </c>
      <c r="G141">
        <f t="shared" si="144"/>
        <v>-19.373979956327503</v>
      </c>
      <c r="H141">
        <f>Main!N141</f>
        <v>1.511911</v>
      </c>
    </row>
    <row r="142" spans="1:8" x14ac:dyDescent="0.25">
      <c r="A142">
        <f>Main!$K$2</f>
        <v>0.02</v>
      </c>
      <c r="B142">
        <f>Main!V142</f>
        <v>136.05835681747615</v>
      </c>
      <c r="C142">
        <f>Main!W142</f>
        <v>114.87296183082083</v>
      </c>
      <c r="D142">
        <f t="shared" si="134"/>
        <v>194.12607469351727</v>
      </c>
      <c r="E142">
        <f t="shared" si="131"/>
        <v>47.539463848968921</v>
      </c>
      <c r="F142">
        <f t="shared" ref="F142:G142" si="145" xml:space="preserve"> (E143-E142)/$A142</f>
        <v>-109.52511609907845</v>
      </c>
      <c r="G142">
        <f t="shared" si="145"/>
        <v>-11.374195405977616</v>
      </c>
      <c r="H142">
        <f>Main!N142</f>
        <v>1.517171</v>
      </c>
    </row>
    <row r="143" spans="1:8" x14ac:dyDescent="0.25">
      <c r="A143">
        <f>Main!$K$2</f>
        <v>0.02</v>
      </c>
      <c r="B143">
        <f>Main!V143</f>
        <v>136.10445437549032</v>
      </c>
      <c r="C143">
        <f>Main!W143</f>
        <v>115.82263296566914</v>
      </c>
      <c r="D143">
        <f t="shared" si="134"/>
        <v>195.07686397049665</v>
      </c>
      <c r="E143">
        <f t="shared" si="131"/>
        <v>45.348961526987352</v>
      </c>
      <c r="F143">
        <f t="shared" ref="F143:G143" si="146" xml:space="preserve"> (E144-E143)/$A143</f>
        <v>-109.752600007198</v>
      </c>
      <c r="G143">
        <f t="shared" si="146"/>
        <v>-16.249239632060153</v>
      </c>
      <c r="H143">
        <f>Main!N143</f>
        <v>1.5221260000000001</v>
      </c>
    </row>
    <row r="144" spans="1:8" x14ac:dyDescent="0.25">
      <c r="A144">
        <f>Main!$K$2</f>
        <v>0.02</v>
      </c>
      <c r="B144">
        <f>Main!V144</f>
        <v>136.1442149950804</v>
      </c>
      <c r="C144">
        <f>Main!W144</f>
        <v>116.72874025388631</v>
      </c>
      <c r="D144">
        <f t="shared" si="134"/>
        <v>195.98384320103639</v>
      </c>
      <c r="E144">
        <f t="shared" si="131"/>
        <v>43.153909526843393</v>
      </c>
      <c r="F144">
        <f t="shared" ref="F144:G144" si="147" xml:space="preserve"> (E145-E144)/$A144</f>
        <v>-110.0775847998392</v>
      </c>
      <c r="G144">
        <f t="shared" si="147"/>
        <v>-16.249337146945209</v>
      </c>
      <c r="H144">
        <f>Main!N144</f>
        <v>1.526788</v>
      </c>
    </row>
    <row r="145" spans="1:8" x14ac:dyDescent="0.25">
      <c r="A145">
        <f>Main!$K$2</f>
        <v>0.02</v>
      </c>
      <c r="B145">
        <f>Main!V145</f>
        <v>136.17828746469206</v>
      </c>
      <c r="C145">
        <f>Main!W145</f>
        <v>117.59114562828687</v>
      </c>
      <c r="D145">
        <f t="shared" si="134"/>
        <v>196.84692139157326</v>
      </c>
      <c r="E145">
        <f t="shared" si="131"/>
        <v>40.952357830846609</v>
      </c>
      <c r="F145">
        <f t="shared" ref="F145:G145" si="148" xml:space="preserve"> (E146-E145)/$A145</f>
        <v>-110.40257154277811</v>
      </c>
      <c r="G145">
        <f t="shared" si="148"/>
        <v>-9.8744689722707335</v>
      </c>
      <c r="H145">
        <f>Main!N145</f>
        <v>1.531164</v>
      </c>
    </row>
    <row r="146" spans="1:8" x14ac:dyDescent="0.25">
      <c r="A146">
        <f>Main!$K$2</f>
        <v>0.02</v>
      </c>
      <c r="B146">
        <f>Main!V146</f>
        <v>136.20727479626365</v>
      </c>
      <c r="C146">
        <f>Main!W146</f>
        <v>118.40967967117734</v>
      </c>
      <c r="D146">
        <f t="shared" si="134"/>
        <v>197.66596854819019</v>
      </c>
      <c r="E146">
        <f t="shared" si="131"/>
        <v>38.744306399991046</v>
      </c>
      <c r="F146">
        <f t="shared" ref="F146:G146" si="149" xml:space="preserve"> (E147-E146)/$A146</f>
        <v>-110.60006092222352</v>
      </c>
      <c r="G146">
        <f t="shared" si="149"/>
        <v>-14.374500736380469</v>
      </c>
      <c r="H146">
        <f>Main!N146</f>
        <v>1.535264</v>
      </c>
    </row>
    <row r="147" spans="1:8" x14ac:dyDescent="0.25">
      <c r="A147">
        <f>Main!$K$2</f>
        <v>0.02</v>
      </c>
      <c r="B147">
        <f>Main!V147</f>
        <v>136.23173777764896</v>
      </c>
      <c r="C147">
        <f>Main!W147</f>
        <v>119.18417955749644</v>
      </c>
      <c r="D147">
        <f t="shared" si="134"/>
        <v>198.44085467619001</v>
      </c>
      <c r="E147">
        <f t="shared" si="131"/>
        <v>36.532305181546576</v>
      </c>
      <c r="F147">
        <f t="shared" ref="F147:G147" si="150" xml:space="preserve"> (E148-E147)/$A147</f>
        <v>-110.88755093695113</v>
      </c>
      <c r="G147">
        <f t="shared" si="150"/>
        <v>-6.6246094334587724</v>
      </c>
      <c r="H147">
        <f>Main!N147</f>
        <v>1.5390980000000001</v>
      </c>
    </row>
    <row r="148" spans="1:8" x14ac:dyDescent="0.25">
      <c r="A148">
        <f>Main!$K$2</f>
        <v>0.02</v>
      </c>
      <c r="B148">
        <f>Main!V148</f>
        <v>136.25220100378431</v>
      </c>
      <c r="C148">
        <f>Main!W148</f>
        <v>119.91453904783471</v>
      </c>
      <c r="D148">
        <f t="shared" si="134"/>
        <v>199.17150077982095</v>
      </c>
      <c r="E148">
        <f t="shared" si="131"/>
        <v>34.314554162807553</v>
      </c>
      <c r="F148">
        <f t="shared" ref="F148:G148" si="151" xml:space="preserve"> (E149-E148)/$A148</f>
        <v>-111.0200431256203</v>
      </c>
      <c r="G148">
        <f t="shared" si="151"/>
        <v>-14.624617005409846</v>
      </c>
      <c r="H148">
        <f>Main!N148</f>
        <v>1.542672</v>
      </c>
    </row>
    <row r="149" spans="1:8" x14ac:dyDescent="0.25">
      <c r="A149">
        <f>Main!$K$2</f>
        <v>0.02</v>
      </c>
      <c r="B149">
        <f>Main!V149</f>
        <v>136.26914843523275</v>
      </c>
      <c r="C149">
        <f>Main!W149</f>
        <v>120.60062084727571</v>
      </c>
      <c r="D149">
        <f t="shared" si="134"/>
        <v>199.8577918630771</v>
      </c>
      <c r="E149">
        <f t="shared" si="131"/>
        <v>32.094153300295147</v>
      </c>
      <c r="F149">
        <f t="shared" ref="F149:G149" si="152" xml:space="preserve"> (E150-E149)/$A149</f>
        <v>-111.3125354657285</v>
      </c>
      <c r="G149">
        <f t="shared" si="152"/>
        <v>-4.9997082030017737</v>
      </c>
      <c r="H149">
        <f>Main!N149</f>
        <v>1.545995</v>
      </c>
    </row>
    <row r="150" spans="1:8" x14ac:dyDescent="0.25">
      <c r="A150">
        <f>Main!$K$2</f>
        <v>0.02</v>
      </c>
      <c r="B150">
        <f>Main!V150</f>
        <v>136.28303097059327</v>
      </c>
      <c r="C150">
        <f>Main!W150</f>
        <v>121.24235377119119</v>
      </c>
      <c r="D150">
        <f t="shared" si="134"/>
        <v>200.499674929083</v>
      </c>
      <c r="E150">
        <f t="shared" si="131"/>
        <v>29.867902590980577</v>
      </c>
      <c r="F150">
        <f t="shared" ref="F150:G150" si="153" xml:space="preserve"> (E151-E150)/$A150</f>
        <v>-111.41252962978854</v>
      </c>
      <c r="G150">
        <f t="shared" si="153"/>
        <v>-11.12472092046346</v>
      </c>
      <c r="H150">
        <f>Main!N150</f>
        <v>1.5490710000000001</v>
      </c>
    </row>
    <row r="151" spans="1:8" x14ac:dyDescent="0.25">
      <c r="A151">
        <f>Main!$K$2</f>
        <v>0.02</v>
      </c>
      <c r="B151">
        <f>Main!V151</f>
        <v>136.29426045328401</v>
      </c>
      <c r="C151">
        <f>Main!W151</f>
        <v>121.83960626452398</v>
      </c>
      <c r="D151">
        <f t="shared" si="134"/>
        <v>201.09703298090261</v>
      </c>
      <c r="E151">
        <f t="shared" si="131"/>
        <v>27.639651998384807</v>
      </c>
      <c r="F151">
        <f t="shared" ref="F151:G151" si="154" xml:space="preserve"> (E152-E151)/$A151</f>
        <v>-111.63502404819781</v>
      </c>
      <c r="G151">
        <f t="shared" si="154"/>
        <v>-6.6247737642299853</v>
      </c>
      <c r="H151">
        <f>Main!N151</f>
        <v>1.551909</v>
      </c>
    </row>
    <row r="152" spans="1:8" x14ac:dyDescent="0.25">
      <c r="A152">
        <f>Main!$K$2</f>
        <v>0.02</v>
      </c>
      <c r="B152">
        <f>Main!V152</f>
        <v>136.30321788232789</v>
      </c>
      <c r="C152">
        <f>Main!W152</f>
        <v>122.39232672687513</v>
      </c>
      <c r="D152">
        <f t="shared" si="134"/>
        <v>201.64982602087031</v>
      </c>
      <c r="E152">
        <f t="shared" si="131"/>
        <v>25.40695151742085</v>
      </c>
      <c r="F152">
        <f t="shared" ref="F152:G152" si="155" xml:space="preserve"> (E153-E152)/$A152</f>
        <v>-111.76751952348241</v>
      </c>
      <c r="G152">
        <f t="shared" si="155"/>
        <v>-4.9998066593559543</v>
      </c>
      <c r="H152">
        <f>Main!N152</f>
        <v>1.5545119999999999</v>
      </c>
    </row>
    <row r="153" spans="1:8" x14ac:dyDescent="0.25">
      <c r="A153">
        <f>Main!$K$2</f>
        <v>0.02</v>
      </c>
      <c r="B153">
        <f>Main!V153</f>
        <v>136.31024886574062</v>
      </c>
      <c r="C153">
        <f>Main!W153</f>
        <v>122.90041711197968</v>
      </c>
      <c r="D153">
        <f t="shared" si="134"/>
        <v>202.15796505121872</v>
      </c>
      <c r="E153">
        <f t="shared" si="131"/>
        <v>23.171601126951202</v>
      </c>
      <c r="F153">
        <f t="shared" ref="F153:G153" si="156" xml:space="preserve"> (E154-E153)/$A153</f>
        <v>-111.86751565666953</v>
      </c>
      <c r="G153">
        <f t="shared" si="156"/>
        <v>-7.8748270055939429</v>
      </c>
      <c r="H153">
        <f>Main!N153</f>
        <v>1.5568869999999999</v>
      </c>
    </row>
    <row r="154" spans="1:8" x14ac:dyDescent="0.25">
      <c r="A154">
        <f>Main!$K$2</f>
        <v>0.02</v>
      </c>
      <c r="B154">
        <f>Main!V154</f>
        <v>136.31566785321652</v>
      </c>
      <c r="C154">
        <f>Main!W154</f>
        <v>123.36381745087613</v>
      </c>
      <c r="D154">
        <f t="shared" si="134"/>
        <v>202.62139707375775</v>
      </c>
      <c r="E154">
        <f t="shared" si="131"/>
        <v>20.934250813817812</v>
      </c>
      <c r="F154">
        <f t="shared" ref="F154:G154" si="157" xml:space="preserve"> (E155-E154)/$A154</f>
        <v>-112.0250121967814</v>
      </c>
      <c r="G154">
        <f t="shared" si="157"/>
        <v>29.125143672814602</v>
      </c>
      <c r="H154">
        <f>Main!N154</f>
        <v>1.5590379999999999</v>
      </c>
    </row>
    <row r="155" spans="1:8" x14ac:dyDescent="0.25">
      <c r="A155">
        <f>Main!$K$2</f>
        <v>0.02</v>
      </c>
      <c r="B155">
        <f>Main!V155</f>
        <v>136.31975854945262</v>
      </c>
      <c r="C155">
        <f>Main!W155</f>
        <v>123.7824824829228</v>
      </c>
      <c r="D155">
        <f t="shared" si="134"/>
        <v>203.0400820900341</v>
      </c>
      <c r="E155">
        <f t="shared" si="131"/>
        <v>18.693750569882184</v>
      </c>
      <c r="F155">
        <f t="shared" ref="F155:G155" si="158" xml:space="preserve"> (E156-E155)/$A155</f>
        <v>-111.44250932332511</v>
      </c>
      <c r="G155">
        <f t="shared" si="158"/>
        <v>218.1251289705699</v>
      </c>
      <c r="H155">
        <f>Main!N155</f>
        <v>1.5609679999999999</v>
      </c>
    </row>
    <row r="156" spans="1:8" x14ac:dyDescent="0.25">
      <c r="A156">
        <f>Main!$K$2</f>
        <v>0.02</v>
      </c>
      <c r="B156">
        <f>Main!V156</f>
        <v>136.32277316513955</v>
      </c>
      <c r="C156">
        <f>Main!W156</f>
        <v>124.15634534045192</v>
      </c>
      <c r="D156">
        <f t="shared" si="134"/>
        <v>203.41395710143175</v>
      </c>
      <c r="E156">
        <f t="shared" si="131"/>
        <v>16.464900383415682</v>
      </c>
      <c r="F156">
        <f t="shared" ref="F156:G156" si="159" xml:space="preserve"> (E157-E156)/$A156</f>
        <v>-107.08000674391371</v>
      </c>
      <c r="G156">
        <f t="shared" si="159"/>
        <v>369.25010783406265</v>
      </c>
      <c r="H156">
        <f>Main!N156</f>
        <v>1.5626819999999999</v>
      </c>
    </row>
    <row r="157" spans="1:8" x14ac:dyDescent="0.25">
      <c r="A157">
        <f>Main!$K$2</f>
        <v>0.02</v>
      </c>
      <c r="B157">
        <f>Main!V157</f>
        <v>136.32493591160716</v>
      </c>
      <c r="C157">
        <f>Main!W157</f>
        <v>124.4856362458563</v>
      </c>
      <c r="D157">
        <f t="shared" si="134"/>
        <v>203.74325510910006</v>
      </c>
      <c r="E157">
        <f t="shared" si="131"/>
        <v>14.323300248537407</v>
      </c>
      <c r="F157">
        <f t="shared" ref="F157:G157" si="160" xml:space="preserve"> (E158-E157)/$A157</f>
        <v>-99.695004587232461</v>
      </c>
      <c r="G157">
        <f t="shared" si="160"/>
        <v>370.75007674758353</v>
      </c>
      <c r="H157">
        <f>Main!N157</f>
        <v>1.564184</v>
      </c>
    </row>
    <row r="158" spans="1:8" x14ac:dyDescent="0.25">
      <c r="A158">
        <f>Main!$K$2</f>
        <v>0.02</v>
      </c>
      <c r="B158">
        <f>Main!V158</f>
        <v>136.32644672063887</v>
      </c>
      <c r="C158">
        <f>Main!W158</f>
        <v>124.77209826682936</v>
      </c>
      <c r="D158">
        <f t="shared" si="134"/>
        <v>204.02972111407081</v>
      </c>
      <c r="E158">
        <f t="shared" si="131"/>
        <v>12.329400156792758</v>
      </c>
      <c r="F158">
        <f t="shared" ref="F158:G158" si="161" xml:space="preserve"> (E159-E158)/$A158</f>
        <v>-92.28000305228079</v>
      </c>
      <c r="G158">
        <f t="shared" si="161"/>
        <v>375.62505263011303</v>
      </c>
      <c r="H158">
        <f>Main!N158</f>
        <v>1.5654840000000001</v>
      </c>
    </row>
    <row r="159" spans="1:8" x14ac:dyDescent="0.25">
      <c r="A159">
        <f>Main!$K$2</f>
        <v>0.02</v>
      </c>
      <c r="B159">
        <f>Main!V159</f>
        <v>136.32747364714163</v>
      </c>
      <c r="C159">
        <f>Main!W159</f>
        <v>125.01868413161581</v>
      </c>
      <c r="D159">
        <f t="shared" si="134"/>
        <v>204.27630911720667</v>
      </c>
      <c r="E159">
        <f t="shared" si="131"/>
        <v>10.483800095747142</v>
      </c>
      <c r="F159">
        <f t="shared" ref="F159:G159" si="162" xml:space="preserve"> (E160-E159)/$A159</f>
        <v>-84.76750199967853</v>
      </c>
      <c r="G159">
        <f t="shared" si="162"/>
        <v>372.62503787260925</v>
      </c>
      <c r="H159">
        <f>Main!N159</f>
        <v>1.5665990000000001</v>
      </c>
    </row>
    <row r="160" spans="1:8" x14ac:dyDescent="0.25">
      <c r="A160">
        <f>Main!$K$2</f>
        <v>0.02</v>
      </c>
      <c r="B160">
        <f>Main!V160</f>
        <v>136.32814955422072</v>
      </c>
      <c r="C160">
        <f>Main!W160</f>
        <v>125.22835904410813</v>
      </c>
      <c r="D160">
        <f t="shared" si="134"/>
        <v>204.48598511912161</v>
      </c>
      <c r="E160">
        <f t="shared" si="131"/>
        <v>8.7884500557535716</v>
      </c>
      <c r="F160">
        <f t="shared" ref="F160:G160" si="163" xml:space="preserve"> (E161-E160)/$A160</f>
        <v>-77.315001242226344</v>
      </c>
      <c r="G160">
        <f t="shared" si="163"/>
        <v>370.75002550679415</v>
      </c>
      <c r="H160">
        <f>Main!N160</f>
        <v>1.567545</v>
      </c>
    </row>
    <row r="161" spans="1:8" x14ac:dyDescent="0.25">
      <c r="A161">
        <f>Main!$K$2</f>
        <v>0.02</v>
      </c>
      <c r="B161">
        <f>Main!V161</f>
        <v>136.32857812209846</v>
      </c>
      <c r="C161">
        <f>Main!W161</f>
        <v>125.4041275227457</v>
      </c>
      <c r="D161">
        <f t="shared" si="134"/>
        <v>204.66175412023668</v>
      </c>
      <c r="E161">
        <f t="shared" si="131"/>
        <v>7.2421500309090447</v>
      </c>
      <c r="F161">
        <f t="shared" ref="F161:G161" si="164" xml:space="preserve"> (E162-E161)/$A161</f>
        <v>-69.900000732090461</v>
      </c>
      <c r="G161">
        <f t="shared" si="164"/>
        <v>379.00001541402162</v>
      </c>
      <c r="H161">
        <f>Main!N161</f>
        <v>1.568335</v>
      </c>
    </row>
    <row r="162" spans="1:8" x14ac:dyDescent="0.25">
      <c r="A162">
        <f>Main!$K$2</f>
        <v>0.02</v>
      </c>
      <c r="B162">
        <f>Main!V162</f>
        <v>136.32883788700389</v>
      </c>
      <c r="C162">
        <f>Main!W162</f>
        <v>125.54897029042938</v>
      </c>
      <c r="D162">
        <f t="shared" si="134"/>
        <v>204.80659712085486</v>
      </c>
      <c r="E162">
        <f t="shared" si="131"/>
        <v>5.8441500162672355</v>
      </c>
      <c r="F162">
        <f t="shared" ref="F162:G162" si="165" xml:space="preserve"> (E163-E162)/$A162</f>
        <v>-62.320000423810029</v>
      </c>
      <c r="G162">
        <f t="shared" si="165"/>
        <v>369.12501037988932</v>
      </c>
      <c r="H162">
        <f>Main!N162</f>
        <v>1.5689839999999999</v>
      </c>
    </row>
    <row r="163" spans="1:8" x14ac:dyDescent="0.25">
      <c r="A163">
        <f>Main!$K$2</f>
        <v>0.02</v>
      </c>
      <c r="B163">
        <f>Main!V163</f>
        <v>136.32898668572091</v>
      </c>
      <c r="C163">
        <f>Main!W163</f>
        <v>125.66585319604008</v>
      </c>
      <c r="D163">
        <f t="shared" si="134"/>
        <v>204.92348012118021</v>
      </c>
      <c r="E163">
        <f t="shared" si="131"/>
        <v>4.5977500077910349</v>
      </c>
      <c r="F163">
        <f t="shared" ref="F163:G163" si="166" xml:space="preserve"> (E164-E163)/$A163</f>
        <v>-54.937500216212243</v>
      </c>
      <c r="G163">
        <f t="shared" si="166"/>
        <v>377.25000549215792</v>
      </c>
      <c r="H163">
        <f>Main!N163</f>
        <v>1.5695079999999999</v>
      </c>
    </row>
    <row r="164" spans="1:8" x14ac:dyDescent="0.25">
      <c r="A164">
        <f>Main!$K$2</f>
        <v>0.02</v>
      </c>
      <c r="B164">
        <f>Main!V164</f>
        <v>136.32906635960151</v>
      </c>
      <c r="C164">
        <f>Main!W164</f>
        <v>125.75780816167941</v>
      </c>
      <c r="D164">
        <f t="shared" si="134"/>
        <v>205.01543512133603</v>
      </c>
      <c r="E164">
        <f t="shared" si="131"/>
        <v>3.4990000034667901</v>
      </c>
      <c r="F164">
        <f t="shared" ref="F164:G164" si="167" xml:space="preserve"> (E165-E164)/$A164</f>
        <v>-47.392500106369084</v>
      </c>
      <c r="G164">
        <f t="shared" si="167"/>
        <v>375.87500304425703</v>
      </c>
      <c r="H164">
        <f>Main!N164</f>
        <v>1.5699179999999999</v>
      </c>
    </row>
    <row r="165" spans="1:8" x14ac:dyDescent="0.25">
      <c r="A165">
        <f>Main!$K$2</f>
        <v>0.02</v>
      </c>
      <c r="B165">
        <f>Main!V165</f>
        <v>136.32910528437014</v>
      </c>
      <c r="C165">
        <f>Main!W165</f>
        <v>125.82778815092323</v>
      </c>
      <c r="D165">
        <f t="shared" si="134"/>
        <v>205.08541512140536</v>
      </c>
      <c r="E165">
        <f t="shared" si="131"/>
        <v>2.5511500013394084</v>
      </c>
      <c r="F165">
        <f t="shared" ref="F165:G165" si="168" xml:space="preserve"> (E166-E165)/$A165</f>
        <v>-39.875000045483944</v>
      </c>
      <c r="G165">
        <f t="shared" si="168"/>
        <v>372.3750014756888</v>
      </c>
      <c r="H165">
        <f>Main!N165</f>
        <v>1.5702309999999999</v>
      </c>
    </row>
    <row r="166" spans="1:8" x14ac:dyDescent="0.25">
      <c r="A166">
        <f>Main!$K$2</f>
        <v>0.02</v>
      </c>
      <c r="B166">
        <f>Main!V166</f>
        <v>136.32912215789892</v>
      </c>
      <c r="C166">
        <f>Main!W166</f>
        <v>125.87881114815993</v>
      </c>
      <c r="D166">
        <f t="shared" si="134"/>
        <v>205.13643812143215</v>
      </c>
      <c r="E166">
        <f t="shared" si="131"/>
        <v>1.7536500004297295</v>
      </c>
      <c r="F166">
        <f t="shared" ref="F166:G166" si="169" xml:space="preserve"> (E167-E166)/$A166</f>
        <v>-32.427500015970168</v>
      </c>
      <c r="G166">
        <f t="shared" si="169"/>
        <v>377.37500056778117</v>
      </c>
      <c r="H166">
        <f>Main!N166</f>
        <v>1.570459</v>
      </c>
    </row>
    <row r="167" spans="1:8" x14ac:dyDescent="0.25">
      <c r="A167">
        <f>Main!$K$2</f>
        <v>0.02</v>
      </c>
      <c r="B167">
        <f>Main!V167</f>
        <v>136.32912835938956</v>
      </c>
      <c r="C167">
        <f>Main!W167</f>
        <v>125.91388414762025</v>
      </c>
      <c r="D167">
        <f t="shared" si="134"/>
        <v>205.17151112144074</v>
      </c>
      <c r="E167">
        <f t="shared" si="131"/>
        <v>1.1051000001103262</v>
      </c>
      <c r="F167">
        <f t="shared" ref="F167:G167" si="170" xml:space="preserve"> (E168-E167)/$A167</f>
        <v>-24.880000004614544</v>
      </c>
      <c r="G167">
        <f t="shared" si="170"/>
        <v>373.87500018937203</v>
      </c>
      <c r="H167">
        <f>Main!N167</f>
        <v>1.5706150000000001</v>
      </c>
    </row>
    <row r="168" spans="1:8" x14ac:dyDescent="0.25">
      <c r="A168">
        <f>Main!$K$2</f>
        <v>0.02</v>
      </c>
      <c r="B168">
        <f>Main!V168</f>
        <v>136.32913011526989</v>
      </c>
      <c r="C168">
        <f>Main!W168</f>
        <v>125.93598614755271</v>
      </c>
      <c r="D168">
        <f t="shared" si="134"/>
        <v>205.19361312144295</v>
      </c>
      <c r="E168">
        <f t="shared" si="131"/>
        <v>0.60750000001803528</v>
      </c>
      <c r="F168">
        <f t="shared" ref="F168:G168" si="171" xml:space="preserve"> (E169-E168)/$A168</f>
        <v>-17.402500000827104</v>
      </c>
      <c r="G168">
        <f t="shared" si="171"/>
        <v>376.00000003834566</v>
      </c>
      <c r="H168">
        <f>Main!N168</f>
        <v>1.5707139999999999</v>
      </c>
    </row>
    <row r="169" spans="1:8" x14ac:dyDescent="0.25">
      <c r="A169">
        <f>Main!$K$2</f>
        <v>0.02</v>
      </c>
      <c r="B169">
        <f>Main!V169</f>
        <v>136.32913044048644</v>
      </c>
      <c r="C169">
        <f>Main!W169</f>
        <v>125.94813614754871</v>
      </c>
      <c r="D169">
        <f t="shared" si="134"/>
        <v>205.20576312144331</v>
      </c>
      <c r="E169">
        <f t="shared" si="131"/>
        <v>0.25945000000149321</v>
      </c>
      <c r="F169">
        <f t="shared" ref="F169:G169" si="172" xml:space="preserve"> (E170-E169)/$A169</f>
        <v>-9.8825000000601904</v>
      </c>
      <c r="G169">
        <f t="shared" si="172"/>
        <v>339.62500000228601</v>
      </c>
      <c r="H169">
        <f>Main!N169</f>
        <v>1.5707679999999999</v>
      </c>
    </row>
    <row r="170" spans="1:8" x14ac:dyDescent="0.25">
      <c r="A170">
        <f>Main!$K$2</f>
        <v>0.02</v>
      </c>
      <c r="B170">
        <f>Main!V170</f>
        <v>136.32913046468869</v>
      </c>
      <c r="C170">
        <f>Main!W170</f>
        <v>125.95332514754868</v>
      </c>
      <c r="D170">
        <f t="shared" si="134"/>
        <v>205.21095212144334</v>
      </c>
      <c r="E170">
        <f t="shared" si="131"/>
        <v>6.1800000000289401E-2</v>
      </c>
      <c r="F170">
        <f t="shared" ref="F170:G170" si="173" xml:space="preserve"> (E171-E170)/$A170</f>
        <v>-3.0900000000144701</v>
      </c>
      <c r="G170">
        <f t="shared" si="173"/>
        <v>154.5000000007235</v>
      </c>
      <c r="H170">
        <f>Main!N170</f>
        <v>1.570791</v>
      </c>
    </row>
    <row r="171" spans="1:8" x14ac:dyDescent="0.25">
      <c r="A171">
        <f>Main!$K$2</f>
        <v>0.02</v>
      </c>
      <c r="B171">
        <f>Main!V171</f>
        <v>136.3291304649301</v>
      </c>
      <c r="C171">
        <f>Main!W171</f>
        <v>125.95456114754869</v>
      </c>
      <c r="D171">
        <f t="shared" si="134"/>
        <v>205.21218812144335</v>
      </c>
      <c r="E171">
        <f t="shared" si="131"/>
        <v>0</v>
      </c>
      <c r="F171">
        <f t="shared" ref="F171:G171" si="174" xml:space="preserve"> (E172-E171)/$A171</f>
        <v>0</v>
      </c>
      <c r="G171">
        <f t="shared" si="174"/>
        <v>0</v>
      </c>
      <c r="H171">
        <f>Main!N171</f>
        <v>1.5707960000000001</v>
      </c>
    </row>
    <row r="172" spans="1:8" x14ac:dyDescent="0.25">
      <c r="A172">
        <f>Main!$K$2</f>
        <v>0.02</v>
      </c>
      <c r="B172">
        <f>Main!V172</f>
        <v>136.3291304649301</v>
      </c>
      <c r="C172">
        <f>Main!W172</f>
        <v>125.95456114754869</v>
      </c>
      <c r="D172">
        <f t="shared" si="134"/>
        <v>205.21218812144335</v>
      </c>
      <c r="E172">
        <f t="shared" si="131"/>
        <v>0</v>
      </c>
      <c r="F172">
        <f t="shared" ref="F172:G172" si="175" xml:space="preserve"> (E173-E172)/$A172</f>
        <v>0</v>
      </c>
      <c r="G172">
        <f t="shared" si="175"/>
        <v>0</v>
      </c>
      <c r="H172">
        <f>Main!N172</f>
        <v>1.5707960000000001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Center</vt:lpstr>
      <vt:lpstr>Left</vt:lpstr>
      <vt:lpstr>Right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Team294</dc:creator>
  <cp:lastModifiedBy>Team294</cp:lastModifiedBy>
  <dcterms:created xsi:type="dcterms:W3CDTF">2019-04-10T04:52:15Z</dcterms:created>
  <dcterms:modified xsi:type="dcterms:W3CDTF">2019-04-11T02:20:31Z</dcterms:modified>
</cp:coreProperties>
</file>