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eam294\Desktop\Pathweaver examples\"/>
    </mc:Choice>
  </mc:AlternateContent>
  <bookViews>
    <workbookView xWindow="0" yWindow="0" windowWidth="14490" windowHeight="12360"/>
  </bookViews>
  <sheets>
    <sheet name="Main" sheetId="1" r:id="rId1"/>
    <sheet name="Center" sheetId="2" r:id="rId2"/>
    <sheet name="Left" sheetId="3" r:id="rId3"/>
    <sheet name="Right" sheetId="4" r:id="rId4"/>
  </sheets>
  <calcPr calcId="152511"/>
</workbook>
</file>

<file path=xl/calcChain.xml><?xml version="1.0" encoding="utf-8"?>
<calcChain xmlns="http://schemas.openxmlformats.org/spreadsheetml/2006/main">
  <c r="A5" i="4" l="1"/>
  <c r="B5" i="4"/>
  <c r="C5" i="4"/>
  <c r="D5" i="4"/>
  <c r="H5" i="4"/>
  <c r="A6" i="4"/>
  <c r="B6" i="4"/>
  <c r="C6" i="4"/>
  <c r="D6" i="4"/>
  <c r="E5" i="4" s="1"/>
  <c r="H6" i="4"/>
  <c r="A7" i="4"/>
  <c r="B7" i="4"/>
  <c r="C7" i="4"/>
  <c r="D7" i="4"/>
  <c r="E6" i="4" s="1"/>
  <c r="F5" i="4" s="1"/>
  <c r="H7" i="4"/>
  <c r="A8" i="4"/>
  <c r="B8" i="4"/>
  <c r="C8" i="4"/>
  <c r="D8" i="4"/>
  <c r="E7" i="4" s="1"/>
  <c r="F6" i="4" s="1"/>
  <c r="G5" i="4" s="1"/>
  <c r="H8" i="4"/>
  <c r="A9" i="4"/>
  <c r="B9" i="4"/>
  <c r="C9" i="4"/>
  <c r="D9" i="4"/>
  <c r="E8" i="4" s="1"/>
  <c r="F7" i="4" s="1"/>
  <c r="G6" i="4" s="1"/>
  <c r="H9" i="4"/>
  <c r="A10" i="4"/>
  <c r="B10" i="4"/>
  <c r="C10" i="4"/>
  <c r="D10" i="4"/>
  <c r="E9" i="4" s="1"/>
  <c r="H10" i="4"/>
  <c r="A11" i="4"/>
  <c r="B11" i="4"/>
  <c r="C11" i="4"/>
  <c r="D11" i="4"/>
  <c r="E10" i="4" s="1"/>
  <c r="F9" i="4" s="1"/>
  <c r="H11" i="4"/>
  <c r="A12" i="4"/>
  <c r="B12" i="4"/>
  <c r="C12" i="4"/>
  <c r="D12" i="4"/>
  <c r="E11" i="4" s="1"/>
  <c r="F10" i="4" s="1"/>
  <c r="G9" i="4" s="1"/>
  <c r="H12" i="4"/>
  <c r="A13" i="4"/>
  <c r="B13" i="4"/>
  <c r="C13" i="4"/>
  <c r="D13" i="4"/>
  <c r="E12" i="4" s="1"/>
  <c r="F11" i="4" s="1"/>
  <c r="G10" i="4" s="1"/>
  <c r="H13" i="4"/>
  <c r="A14" i="4"/>
  <c r="B14" i="4"/>
  <c r="C14" i="4"/>
  <c r="D14" i="4"/>
  <c r="E13" i="4" s="1"/>
  <c r="H14" i="4"/>
  <c r="A15" i="4"/>
  <c r="B15" i="4"/>
  <c r="C15" i="4"/>
  <c r="D15" i="4"/>
  <c r="E14" i="4" s="1"/>
  <c r="F13" i="4" s="1"/>
  <c r="H15" i="4"/>
  <c r="A16" i="4"/>
  <c r="B16" i="4"/>
  <c r="C16" i="4"/>
  <c r="D16" i="4"/>
  <c r="E15" i="4" s="1"/>
  <c r="F14" i="4" s="1"/>
  <c r="G13" i="4" s="1"/>
  <c r="H16" i="4"/>
  <c r="A17" i="4"/>
  <c r="B17" i="4"/>
  <c r="C17" i="4"/>
  <c r="D17" i="4"/>
  <c r="E16" i="4" s="1"/>
  <c r="F15" i="4" s="1"/>
  <c r="G14" i="4" s="1"/>
  <c r="H17" i="4"/>
  <c r="A18" i="4"/>
  <c r="B18" i="4"/>
  <c r="C18" i="4"/>
  <c r="D18" i="4"/>
  <c r="E17" i="4" s="1"/>
  <c r="H18" i="4"/>
  <c r="A19" i="4"/>
  <c r="B19" i="4"/>
  <c r="C19" i="4"/>
  <c r="D19" i="4"/>
  <c r="E18" i="4" s="1"/>
  <c r="F17" i="4" s="1"/>
  <c r="H19" i="4"/>
  <c r="A20" i="4"/>
  <c r="B20" i="4"/>
  <c r="C20" i="4"/>
  <c r="D20" i="4"/>
  <c r="E19" i="4" s="1"/>
  <c r="F18" i="4" s="1"/>
  <c r="G17" i="4" s="1"/>
  <c r="H20" i="4"/>
  <c r="A21" i="4"/>
  <c r="B21" i="4"/>
  <c r="C21" i="4"/>
  <c r="D21" i="4"/>
  <c r="E20" i="4" s="1"/>
  <c r="F19" i="4" s="1"/>
  <c r="G18" i="4" s="1"/>
  <c r="H21" i="4"/>
  <c r="A22" i="4"/>
  <c r="B22" i="4"/>
  <c r="C22" i="4"/>
  <c r="D22" i="4"/>
  <c r="E21" i="4" s="1"/>
  <c r="H22" i="4"/>
  <c r="A23" i="4"/>
  <c r="B23" i="4"/>
  <c r="C23" i="4"/>
  <c r="D23" i="4"/>
  <c r="E22" i="4" s="1"/>
  <c r="F21" i="4" s="1"/>
  <c r="H23" i="4"/>
  <c r="A24" i="4"/>
  <c r="B24" i="4"/>
  <c r="C24" i="4"/>
  <c r="D24" i="4"/>
  <c r="E23" i="4" s="1"/>
  <c r="F22" i="4" s="1"/>
  <c r="G21" i="4" s="1"/>
  <c r="H24" i="4"/>
  <c r="A25" i="4"/>
  <c r="B25" i="4"/>
  <c r="C25" i="4"/>
  <c r="D25" i="4"/>
  <c r="E24" i="4" s="1"/>
  <c r="F23" i="4" s="1"/>
  <c r="G22" i="4" s="1"/>
  <c r="H25" i="4"/>
  <c r="A26" i="4"/>
  <c r="B26" i="4"/>
  <c r="C26" i="4"/>
  <c r="D26" i="4"/>
  <c r="E25" i="4" s="1"/>
  <c r="H26" i="4"/>
  <c r="A27" i="4"/>
  <c r="B27" i="4"/>
  <c r="C27" i="4"/>
  <c r="D27" i="4"/>
  <c r="E26" i="4" s="1"/>
  <c r="F25" i="4" s="1"/>
  <c r="H27" i="4"/>
  <c r="A28" i="4"/>
  <c r="B28" i="4"/>
  <c r="C28" i="4"/>
  <c r="D28" i="4"/>
  <c r="E27" i="4" s="1"/>
  <c r="F26" i="4" s="1"/>
  <c r="G25" i="4" s="1"/>
  <c r="H28" i="4"/>
  <c r="A29" i="4"/>
  <c r="B29" i="4"/>
  <c r="C29" i="4"/>
  <c r="D29" i="4"/>
  <c r="E28" i="4" s="1"/>
  <c r="F27" i="4" s="1"/>
  <c r="G26" i="4" s="1"/>
  <c r="H29" i="4"/>
  <c r="A30" i="4"/>
  <c r="B30" i="4"/>
  <c r="C30" i="4"/>
  <c r="D30" i="4"/>
  <c r="E29" i="4" s="1"/>
  <c r="H30" i="4"/>
  <c r="A31" i="4"/>
  <c r="B31" i="4"/>
  <c r="C31" i="4"/>
  <c r="D31" i="4"/>
  <c r="E30" i="4" s="1"/>
  <c r="F29" i="4" s="1"/>
  <c r="H31" i="4"/>
  <c r="A32" i="4"/>
  <c r="B32" i="4"/>
  <c r="C32" i="4"/>
  <c r="D32" i="4"/>
  <c r="E31" i="4" s="1"/>
  <c r="F30" i="4" s="1"/>
  <c r="G29" i="4" s="1"/>
  <c r="H32" i="4"/>
  <c r="A33" i="4"/>
  <c r="B33" i="4"/>
  <c r="C33" i="4"/>
  <c r="D33" i="4"/>
  <c r="E32" i="4" s="1"/>
  <c r="F31" i="4" s="1"/>
  <c r="G30" i="4" s="1"/>
  <c r="H33" i="4"/>
  <c r="A34" i="4"/>
  <c r="B34" i="4"/>
  <c r="C34" i="4"/>
  <c r="D34" i="4"/>
  <c r="E33" i="4" s="1"/>
  <c r="H34" i="4"/>
  <c r="A35" i="4"/>
  <c r="B35" i="4"/>
  <c r="C35" i="4"/>
  <c r="D35" i="4"/>
  <c r="E34" i="4" s="1"/>
  <c r="F33" i="4" s="1"/>
  <c r="H35" i="4"/>
  <c r="A36" i="4"/>
  <c r="B36" i="4"/>
  <c r="C36" i="4"/>
  <c r="D36" i="4"/>
  <c r="E35" i="4" s="1"/>
  <c r="F34" i="4" s="1"/>
  <c r="G33" i="4" s="1"/>
  <c r="H36" i="4"/>
  <c r="A37" i="4"/>
  <c r="B37" i="4"/>
  <c r="C37" i="4"/>
  <c r="D37" i="4"/>
  <c r="E36" i="4" s="1"/>
  <c r="F35" i="4" s="1"/>
  <c r="G34" i="4" s="1"/>
  <c r="H37" i="4"/>
  <c r="A38" i="4"/>
  <c r="B38" i="4"/>
  <c r="C38" i="4"/>
  <c r="D38" i="4"/>
  <c r="E37" i="4" s="1"/>
  <c r="H38" i="4"/>
  <c r="A39" i="4"/>
  <c r="B39" i="4"/>
  <c r="C39" i="4"/>
  <c r="D39" i="4"/>
  <c r="E38" i="4" s="1"/>
  <c r="F37" i="4" s="1"/>
  <c r="H39" i="4"/>
  <c r="A40" i="4"/>
  <c r="B40" i="4"/>
  <c r="C40" i="4"/>
  <c r="D40" i="4"/>
  <c r="E39" i="4" s="1"/>
  <c r="F38" i="4" s="1"/>
  <c r="G37" i="4" s="1"/>
  <c r="H40" i="4"/>
  <c r="A41" i="4"/>
  <c r="B41" i="4"/>
  <c r="C41" i="4"/>
  <c r="D41" i="4"/>
  <c r="E40" i="4" s="1"/>
  <c r="F39" i="4" s="1"/>
  <c r="G38" i="4" s="1"/>
  <c r="H41" i="4"/>
  <c r="A42" i="4"/>
  <c r="B42" i="4"/>
  <c r="C42" i="4"/>
  <c r="D42" i="4"/>
  <c r="E41" i="4" s="1"/>
  <c r="H42" i="4"/>
  <c r="A43" i="4"/>
  <c r="B43" i="4"/>
  <c r="C43" i="4"/>
  <c r="D43" i="4"/>
  <c r="E42" i="4" s="1"/>
  <c r="F41" i="4" s="1"/>
  <c r="H43" i="4"/>
  <c r="A44" i="4"/>
  <c r="B44" i="4"/>
  <c r="C44" i="4"/>
  <c r="H44" i="4"/>
  <c r="A45" i="4"/>
  <c r="B45" i="4"/>
  <c r="C45" i="4"/>
  <c r="H45" i="4"/>
  <c r="A46" i="4"/>
  <c r="B46" i="4"/>
  <c r="C46" i="4"/>
  <c r="H46" i="4"/>
  <c r="A47" i="4"/>
  <c r="B47" i="4"/>
  <c r="C47" i="4"/>
  <c r="H47" i="4"/>
  <c r="A48" i="4"/>
  <c r="B48" i="4"/>
  <c r="C48" i="4"/>
  <c r="H48" i="4"/>
  <c r="A49" i="4"/>
  <c r="B49" i="4"/>
  <c r="C49" i="4"/>
  <c r="H49" i="4"/>
  <c r="A50" i="4"/>
  <c r="B50" i="4"/>
  <c r="C50" i="4"/>
  <c r="H50" i="4"/>
  <c r="A51" i="4"/>
  <c r="B51" i="4"/>
  <c r="C51" i="4"/>
  <c r="H51" i="4"/>
  <c r="A52" i="4"/>
  <c r="B52" i="4"/>
  <c r="C52" i="4"/>
  <c r="H52" i="4"/>
  <c r="A53" i="4"/>
  <c r="B53" i="4"/>
  <c r="C53" i="4"/>
  <c r="H53" i="4"/>
  <c r="A54" i="4"/>
  <c r="B54" i="4"/>
  <c r="C54" i="4"/>
  <c r="H54" i="4"/>
  <c r="A55" i="4"/>
  <c r="B55" i="4"/>
  <c r="C55" i="4"/>
  <c r="H55" i="4"/>
  <c r="A56" i="4"/>
  <c r="B56" i="4"/>
  <c r="C56" i="4"/>
  <c r="H56" i="4"/>
  <c r="A57" i="4"/>
  <c r="B57" i="4"/>
  <c r="C57" i="4"/>
  <c r="H57" i="4"/>
  <c r="A58" i="4"/>
  <c r="B58" i="4"/>
  <c r="C58" i="4"/>
  <c r="H58" i="4"/>
  <c r="A59" i="4"/>
  <c r="B59" i="4"/>
  <c r="C59" i="4"/>
  <c r="H59" i="4"/>
  <c r="A60" i="4"/>
  <c r="B60" i="4"/>
  <c r="C60" i="4"/>
  <c r="H60" i="4"/>
  <c r="A61" i="4"/>
  <c r="B61" i="4"/>
  <c r="C61" i="4"/>
  <c r="H61" i="4"/>
  <c r="A62" i="4"/>
  <c r="B62" i="4"/>
  <c r="C62" i="4"/>
  <c r="H62" i="4"/>
  <c r="A63" i="4"/>
  <c r="B63" i="4"/>
  <c r="C63" i="4"/>
  <c r="H63" i="4"/>
  <c r="A64" i="4"/>
  <c r="B64" i="4"/>
  <c r="C64" i="4"/>
  <c r="H64" i="4"/>
  <c r="A65" i="4"/>
  <c r="B65" i="4"/>
  <c r="C65" i="4"/>
  <c r="H65" i="4"/>
  <c r="A66" i="4"/>
  <c r="B66" i="4"/>
  <c r="C66" i="4"/>
  <c r="H66" i="4"/>
  <c r="A67" i="4"/>
  <c r="B67" i="4"/>
  <c r="C67" i="4"/>
  <c r="H67" i="4"/>
  <c r="A68" i="4"/>
  <c r="B68" i="4"/>
  <c r="C68" i="4"/>
  <c r="H68" i="4"/>
  <c r="A69" i="4"/>
  <c r="B69" i="4"/>
  <c r="C69" i="4"/>
  <c r="H69" i="4"/>
  <c r="A70" i="4"/>
  <c r="B70" i="4"/>
  <c r="C70" i="4"/>
  <c r="H70" i="4"/>
  <c r="A71" i="4"/>
  <c r="B71" i="4"/>
  <c r="C71" i="4"/>
  <c r="H71" i="4"/>
  <c r="A72" i="4"/>
  <c r="B72" i="4"/>
  <c r="C72" i="4"/>
  <c r="H72" i="4"/>
  <c r="A73" i="4"/>
  <c r="B73" i="4"/>
  <c r="C73" i="4"/>
  <c r="H73" i="4"/>
  <c r="A74" i="4"/>
  <c r="B74" i="4"/>
  <c r="C74" i="4"/>
  <c r="H74" i="4"/>
  <c r="A75" i="4"/>
  <c r="B75" i="4"/>
  <c r="C75" i="4"/>
  <c r="H75" i="4"/>
  <c r="A76" i="4"/>
  <c r="B76" i="4"/>
  <c r="C76" i="4"/>
  <c r="H76" i="4"/>
  <c r="A77" i="4"/>
  <c r="B77" i="4"/>
  <c r="C77" i="4"/>
  <c r="H77" i="4"/>
  <c r="A78" i="4"/>
  <c r="B78" i="4"/>
  <c r="C78" i="4"/>
  <c r="H78" i="4"/>
  <c r="A79" i="4"/>
  <c r="B79" i="4"/>
  <c r="C79" i="4"/>
  <c r="H79" i="4"/>
  <c r="A80" i="4"/>
  <c r="B80" i="4"/>
  <c r="C80" i="4"/>
  <c r="H80" i="4"/>
  <c r="A81" i="4"/>
  <c r="B81" i="4"/>
  <c r="C81" i="4"/>
  <c r="H81" i="4"/>
  <c r="A82" i="4"/>
  <c r="B82" i="4"/>
  <c r="C82" i="4"/>
  <c r="H82" i="4"/>
  <c r="A83" i="4"/>
  <c r="B83" i="4"/>
  <c r="C83" i="4"/>
  <c r="H83" i="4"/>
  <c r="A84" i="4"/>
  <c r="B84" i="4"/>
  <c r="C84" i="4"/>
  <c r="H84" i="4"/>
  <c r="A85" i="4"/>
  <c r="B85" i="4"/>
  <c r="C85" i="4"/>
  <c r="H85" i="4"/>
  <c r="A86" i="4"/>
  <c r="B86" i="4"/>
  <c r="C86" i="4"/>
  <c r="H86" i="4"/>
  <c r="A87" i="4"/>
  <c r="B87" i="4"/>
  <c r="C87" i="4"/>
  <c r="H87" i="4"/>
  <c r="A88" i="4"/>
  <c r="B88" i="4"/>
  <c r="C88" i="4"/>
  <c r="H88" i="4"/>
  <c r="A89" i="4"/>
  <c r="B89" i="4"/>
  <c r="C89" i="4"/>
  <c r="H89" i="4"/>
  <c r="A90" i="4"/>
  <c r="B90" i="4"/>
  <c r="C90" i="4"/>
  <c r="H90" i="4"/>
  <c r="A91" i="4"/>
  <c r="B91" i="4"/>
  <c r="C91" i="4"/>
  <c r="H91" i="4"/>
  <c r="A92" i="4"/>
  <c r="B92" i="4"/>
  <c r="C92" i="4"/>
  <c r="H92" i="4"/>
  <c r="A93" i="4"/>
  <c r="B93" i="4"/>
  <c r="C93" i="4"/>
  <c r="H93" i="4"/>
  <c r="A94" i="4"/>
  <c r="B94" i="4"/>
  <c r="C94" i="4"/>
  <c r="H94" i="4"/>
  <c r="A95" i="4"/>
  <c r="B95" i="4"/>
  <c r="C95" i="4"/>
  <c r="H95" i="4"/>
  <c r="A96" i="4"/>
  <c r="B96" i="4"/>
  <c r="C96" i="4"/>
  <c r="H96" i="4"/>
  <c r="A97" i="4"/>
  <c r="B97" i="4"/>
  <c r="C97" i="4"/>
  <c r="H97" i="4"/>
  <c r="A98" i="4"/>
  <c r="B98" i="4"/>
  <c r="C98" i="4"/>
  <c r="H98" i="4"/>
  <c r="A99" i="4"/>
  <c r="B99" i="4"/>
  <c r="C99" i="4"/>
  <c r="H99" i="4"/>
  <c r="A100" i="4"/>
  <c r="B100" i="4"/>
  <c r="C100" i="4"/>
  <c r="H100" i="4"/>
  <c r="A101" i="4"/>
  <c r="B101" i="4"/>
  <c r="C101" i="4"/>
  <c r="H101" i="4"/>
  <c r="A102" i="4"/>
  <c r="B102" i="4"/>
  <c r="C102" i="4"/>
  <c r="H102" i="4"/>
  <c r="A103" i="4"/>
  <c r="B103" i="4"/>
  <c r="C103" i="4"/>
  <c r="H103" i="4"/>
  <c r="A104" i="4"/>
  <c r="B104" i="4"/>
  <c r="C104" i="4"/>
  <c r="H104" i="4"/>
  <c r="A105" i="4"/>
  <c r="B105" i="4"/>
  <c r="C105" i="4"/>
  <c r="H105" i="4"/>
  <c r="A106" i="4"/>
  <c r="B106" i="4"/>
  <c r="C106" i="4"/>
  <c r="H106" i="4"/>
  <c r="A107" i="4"/>
  <c r="B107" i="4"/>
  <c r="C107" i="4"/>
  <c r="H107" i="4"/>
  <c r="A108" i="4"/>
  <c r="B108" i="4"/>
  <c r="C108" i="4"/>
  <c r="H108" i="4"/>
  <c r="A109" i="4"/>
  <c r="B109" i="4"/>
  <c r="C109" i="4"/>
  <c r="H109" i="4"/>
  <c r="A110" i="4"/>
  <c r="B110" i="4"/>
  <c r="C110" i="4"/>
  <c r="H110" i="4"/>
  <c r="A111" i="4"/>
  <c r="B111" i="4"/>
  <c r="C111" i="4"/>
  <c r="H111" i="4"/>
  <c r="A112" i="4"/>
  <c r="B112" i="4"/>
  <c r="C112" i="4"/>
  <c r="H112" i="4"/>
  <c r="A113" i="4"/>
  <c r="B113" i="4"/>
  <c r="C113" i="4"/>
  <c r="H113" i="4"/>
  <c r="A114" i="4"/>
  <c r="B114" i="4"/>
  <c r="C114" i="4"/>
  <c r="H114" i="4"/>
  <c r="A115" i="4"/>
  <c r="B115" i="4"/>
  <c r="C115" i="4"/>
  <c r="H115" i="4"/>
  <c r="A116" i="4"/>
  <c r="B116" i="4"/>
  <c r="C116" i="4"/>
  <c r="H116" i="4"/>
  <c r="A117" i="4"/>
  <c r="B117" i="4"/>
  <c r="C117" i="4"/>
  <c r="H117" i="4"/>
  <c r="A118" i="4"/>
  <c r="B118" i="4"/>
  <c r="C118" i="4"/>
  <c r="H118" i="4"/>
  <c r="A119" i="4"/>
  <c r="B119" i="4"/>
  <c r="C119" i="4"/>
  <c r="H119" i="4"/>
  <c r="A120" i="4"/>
  <c r="B120" i="4"/>
  <c r="C120" i="4"/>
  <c r="H120" i="4"/>
  <c r="A121" i="4"/>
  <c r="B121" i="4"/>
  <c r="C121" i="4"/>
  <c r="H121" i="4"/>
  <c r="A122" i="4"/>
  <c r="B122" i="4"/>
  <c r="C122" i="4"/>
  <c r="H122" i="4"/>
  <c r="A123" i="4"/>
  <c r="B123" i="4"/>
  <c r="C123" i="4"/>
  <c r="H123" i="4"/>
  <c r="A124" i="4"/>
  <c r="B124" i="4"/>
  <c r="C124" i="4"/>
  <c r="H124" i="4"/>
  <c r="A125" i="4"/>
  <c r="B125" i="4"/>
  <c r="C125" i="4"/>
  <c r="H125" i="4"/>
  <c r="A126" i="4"/>
  <c r="B126" i="4"/>
  <c r="C126" i="4"/>
  <c r="H126" i="4"/>
  <c r="A127" i="4"/>
  <c r="B127" i="4"/>
  <c r="C127" i="4"/>
  <c r="H127" i="4"/>
  <c r="A128" i="4"/>
  <c r="B128" i="4"/>
  <c r="C128" i="4"/>
  <c r="H128" i="4"/>
  <c r="A129" i="4"/>
  <c r="B129" i="4"/>
  <c r="C129" i="4"/>
  <c r="H129" i="4"/>
  <c r="A130" i="4"/>
  <c r="B130" i="4"/>
  <c r="C130" i="4"/>
  <c r="H130" i="4"/>
  <c r="A131" i="4"/>
  <c r="B131" i="4"/>
  <c r="C131" i="4"/>
  <c r="E131" i="4"/>
  <c r="F131" i="4"/>
  <c r="H131" i="4"/>
  <c r="A5" i="3"/>
  <c r="B5" i="3"/>
  <c r="C5" i="3"/>
  <c r="D5" i="3"/>
  <c r="D6" i="3" s="1"/>
  <c r="E5" i="3" s="1"/>
  <c r="H5" i="3"/>
  <c r="A6" i="3"/>
  <c r="B6" i="3"/>
  <c r="C6" i="3"/>
  <c r="H6" i="3"/>
  <c r="A7" i="3"/>
  <c r="B7" i="3"/>
  <c r="C7" i="3"/>
  <c r="H7" i="3"/>
  <c r="A8" i="3"/>
  <c r="B8" i="3"/>
  <c r="C8" i="3"/>
  <c r="H8" i="3"/>
  <c r="A9" i="3"/>
  <c r="B9" i="3"/>
  <c r="C9" i="3"/>
  <c r="H9" i="3"/>
  <c r="A10" i="3"/>
  <c r="B10" i="3"/>
  <c r="C10" i="3"/>
  <c r="H10" i="3"/>
  <c r="A11" i="3"/>
  <c r="B11" i="3"/>
  <c r="C11" i="3"/>
  <c r="H11" i="3"/>
  <c r="A12" i="3"/>
  <c r="B12" i="3"/>
  <c r="C12" i="3"/>
  <c r="H12" i="3"/>
  <c r="A13" i="3"/>
  <c r="B13" i="3"/>
  <c r="C13" i="3"/>
  <c r="H13" i="3"/>
  <c r="A14" i="3"/>
  <c r="B14" i="3"/>
  <c r="C14" i="3"/>
  <c r="H14" i="3"/>
  <c r="A15" i="3"/>
  <c r="B15" i="3"/>
  <c r="C15" i="3"/>
  <c r="H15" i="3"/>
  <c r="A16" i="3"/>
  <c r="B16" i="3"/>
  <c r="C16" i="3"/>
  <c r="H16" i="3"/>
  <c r="A17" i="3"/>
  <c r="B17" i="3"/>
  <c r="C17" i="3"/>
  <c r="H17" i="3"/>
  <c r="A18" i="3"/>
  <c r="B18" i="3"/>
  <c r="C18" i="3"/>
  <c r="H18" i="3"/>
  <c r="A19" i="3"/>
  <c r="B19" i="3"/>
  <c r="C19" i="3"/>
  <c r="H19" i="3"/>
  <c r="A20" i="3"/>
  <c r="B20" i="3"/>
  <c r="C20" i="3"/>
  <c r="H20" i="3"/>
  <c r="A21" i="3"/>
  <c r="B21" i="3"/>
  <c r="C21" i="3"/>
  <c r="H21" i="3"/>
  <c r="A22" i="3"/>
  <c r="B22" i="3"/>
  <c r="C22" i="3"/>
  <c r="H22" i="3"/>
  <c r="A23" i="3"/>
  <c r="B23" i="3"/>
  <c r="C23" i="3"/>
  <c r="H23" i="3"/>
  <c r="A24" i="3"/>
  <c r="B24" i="3"/>
  <c r="C24" i="3"/>
  <c r="H24" i="3"/>
  <c r="A25" i="3"/>
  <c r="B25" i="3"/>
  <c r="C25" i="3"/>
  <c r="H25" i="3"/>
  <c r="A26" i="3"/>
  <c r="B26" i="3"/>
  <c r="C26" i="3"/>
  <c r="H26" i="3"/>
  <c r="A27" i="3"/>
  <c r="B27" i="3"/>
  <c r="C27" i="3"/>
  <c r="H27" i="3"/>
  <c r="A28" i="3"/>
  <c r="B28" i="3"/>
  <c r="C28" i="3"/>
  <c r="H28" i="3"/>
  <c r="A29" i="3"/>
  <c r="B29" i="3"/>
  <c r="C29" i="3"/>
  <c r="H29" i="3"/>
  <c r="A30" i="3"/>
  <c r="B30" i="3"/>
  <c r="C30" i="3"/>
  <c r="H30" i="3"/>
  <c r="A31" i="3"/>
  <c r="B31" i="3"/>
  <c r="C31" i="3"/>
  <c r="H31" i="3"/>
  <c r="A32" i="3"/>
  <c r="B32" i="3"/>
  <c r="C32" i="3"/>
  <c r="H32" i="3"/>
  <c r="A33" i="3"/>
  <c r="B33" i="3"/>
  <c r="C33" i="3"/>
  <c r="H33" i="3"/>
  <c r="A34" i="3"/>
  <c r="B34" i="3"/>
  <c r="C34" i="3"/>
  <c r="H34" i="3"/>
  <c r="A35" i="3"/>
  <c r="B35" i="3"/>
  <c r="C35" i="3"/>
  <c r="H35" i="3"/>
  <c r="A36" i="3"/>
  <c r="B36" i="3"/>
  <c r="C36" i="3"/>
  <c r="H36" i="3"/>
  <c r="A37" i="3"/>
  <c r="B37" i="3"/>
  <c r="C37" i="3"/>
  <c r="H37" i="3"/>
  <c r="A38" i="3"/>
  <c r="B38" i="3"/>
  <c r="C38" i="3"/>
  <c r="H38" i="3"/>
  <c r="A39" i="3"/>
  <c r="B39" i="3"/>
  <c r="C39" i="3"/>
  <c r="H39" i="3"/>
  <c r="A40" i="3"/>
  <c r="B40" i="3"/>
  <c r="C40" i="3"/>
  <c r="H40" i="3"/>
  <c r="A41" i="3"/>
  <c r="B41" i="3"/>
  <c r="C41" i="3"/>
  <c r="H41" i="3"/>
  <c r="A42" i="3"/>
  <c r="B42" i="3"/>
  <c r="C42" i="3"/>
  <c r="H42" i="3"/>
  <c r="A43" i="3"/>
  <c r="B43" i="3"/>
  <c r="C43" i="3"/>
  <c r="H43" i="3"/>
  <c r="A44" i="3"/>
  <c r="B44" i="3"/>
  <c r="C44" i="3"/>
  <c r="H44" i="3"/>
  <c r="A45" i="3"/>
  <c r="B45" i="3"/>
  <c r="C45" i="3"/>
  <c r="H45" i="3"/>
  <c r="A46" i="3"/>
  <c r="B46" i="3"/>
  <c r="C46" i="3"/>
  <c r="H46" i="3"/>
  <c r="A47" i="3"/>
  <c r="B47" i="3"/>
  <c r="C47" i="3"/>
  <c r="H47" i="3"/>
  <c r="A48" i="3"/>
  <c r="B48" i="3"/>
  <c r="C48" i="3"/>
  <c r="H48" i="3"/>
  <c r="A49" i="3"/>
  <c r="B49" i="3"/>
  <c r="C49" i="3"/>
  <c r="H49" i="3"/>
  <c r="A50" i="3"/>
  <c r="B50" i="3"/>
  <c r="C50" i="3"/>
  <c r="H50" i="3"/>
  <c r="A51" i="3"/>
  <c r="B51" i="3"/>
  <c r="C51" i="3"/>
  <c r="H51" i="3"/>
  <c r="A52" i="3"/>
  <c r="B52" i="3"/>
  <c r="C52" i="3"/>
  <c r="H52" i="3"/>
  <c r="A53" i="3"/>
  <c r="B53" i="3"/>
  <c r="C53" i="3"/>
  <c r="H53" i="3"/>
  <c r="A54" i="3"/>
  <c r="B54" i="3"/>
  <c r="C54" i="3"/>
  <c r="H54" i="3"/>
  <c r="A55" i="3"/>
  <c r="B55" i="3"/>
  <c r="C55" i="3"/>
  <c r="H55" i="3"/>
  <c r="A56" i="3"/>
  <c r="B56" i="3"/>
  <c r="C56" i="3"/>
  <c r="H56" i="3"/>
  <c r="A57" i="3"/>
  <c r="B57" i="3"/>
  <c r="C57" i="3"/>
  <c r="H57" i="3"/>
  <c r="A58" i="3"/>
  <c r="B58" i="3"/>
  <c r="C58" i="3"/>
  <c r="H58" i="3"/>
  <c r="A59" i="3"/>
  <c r="B59" i="3"/>
  <c r="C59" i="3"/>
  <c r="H59" i="3"/>
  <c r="A60" i="3"/>
  <c r="B60" i="3"/>
  <c r="C60" i="3"/>
  <c r="H60" i="3"/>
  <c r="A61" i="3"/>
  <c r="B61" i="3"/>
  <c r="C61" i="3"/>
  <c r="H61" i="3"/>
  <c r="A62" i="3"/>
  <c r="B62" i="3"/>
  <c r="C62" i="3"/>
  <c r="H62" i="3"/>
  <c r="A63" i="3"/>
  <c r="B63" i="3"/>
  <c r="C63" i="3"/>
  <c r="H63" i="3"/>
  <c r="A64" i="3"/>
  <c r="B64" i="3"/>
  <c r="C64" i="3"/>
  <c r="H64" i="3"/>
  <c r="A65" i="3"/>
  <c r="B65" i="3"/>
  <c r="C65" i="3"/>
  <c r="H65" i="3"/>
  <c r="A66" i="3"/>
  <c r="B66" i="3"/>
  <c r="C66" i="3"/>
  <c r="H66" i="3"/>
  <c r="A67" i="3"/>
  <c r="B67" i="3"/>
  <c r="C67" i="3"/>
  <c r="H67" i="3"/>
  <c r="A68" i="3"/>
  <c r="B68" i="3"/>
  <c r="C68" i="3"/>
  <c r="H68" i="3"/>
  <c r="A69" i="3"/>
  <c r="B69" i="3"/>
  <c r="C69" i="3"/>
  <c r="H69" i="3"/>
  <c r="A70" i="3"/>
  <c r="B70" i="3"/>
  <c r="C70" i="3"/>
  <c r="H70" i="3"/>
  <c r="A71" i="3"/>
  <c r="B71" i="3"/>
  <c r="C71" i="3"/>
  <c r="H71" i="3"/>
  <c r="A72" i="3"/>
  <c r="B72" i="3"/>
  <c r="C72" i="3"/>
  <c r="H72" i="3"/>
  <c r="A73" i="3"/>
  <c r="B73" i="3"/>
  <c r="C73" i="3"/>
  <c r="H73" i="3"/>
  <c r="A74" i="3"/>
  <c r="B74" i="3"/>
  <c r="C74" i="3"/>
  <c r="H74" i="3"/>
  <c r="A75" i="3"/>
  <c r="B75" i="3"/>
  <c r="C75" i="3"/>
  <c r="H75" i="3"/>
  <c r="A76" i="3"/>
  <c r="B76" i="3"/>
  <c r="C76" i="3"/>
  <c r="H76" i="3"/>
  <c r="A77" i="3"/>
  <c r="B77" i="3"/>
  <c r="C77" i="3"/>
  <c r="H77" i="3"/>
  <c r="A78" i="3"/>
  <c r="B78" i="3"/>
  <c r="C78" i="3"/>
  <c r="H78" i="3"/>
  <c r="A79" i="3"/>
  <c r="B79" i="3"/>
  <c r="C79" i="3"/>
  <c r="H79" i="3"/>
  <c r="A80" i="3"/>
  <c r="B80" i="3"/>
  <c r="C80" i="3"/>
  <c r="H80" i="3"/>
  <c r="A81" i="3"/>
  <c r="B81" i="3"/>
  <c r="C81" i="3"/>
  <c r="H81" i="3"/>
  <c r="A82" i="3"/>
  <c r="B82" i="3"/>
  <c r="C82" i="3"/>
  <c r="H82" i="3"/>
  <c r="A83" i="3"/>
  <c r="B83" i="3"/>
  <c r="C83" i="3"/>
  <c r="H83" i="3"/>
  <c r="A84" i="3"/>
  <c r="B84" i="3"/>
  <c r="C84" i="3"/>
  <c r="H84" i="3"/>
  <c r="A85" i="3"/>
  <c r="B85" i="3"/>
  <c r="C85" i="3"/>
  <c r="H85" i="3"/>
  <c r="A86" i="3"/>
  <c r="B86" i="3"/>
  <c r="C86" i="3"/>
  <c r="H86" i="3"/>
  <c r="A87" i="3"/>
  <c r="B87" i="3"/>
  <c r="C87" i="3"/>
  <c r="H87" i="3"/>
  <c r="A88" i="3"/>
  <c r="B88" i="3"/>
  <c r="C88" i="3"/>
  <c r="H88" i="3"/>
  <c r="A89" i="3"/>
  <c r="B89" i="3"/>
  <c r="C89" i="3"/>
  <c r="H89" i="3"/>
  <c r="A90" i="3"/>
  <c r="B90" i="3"/>
  <c r="C90" i="3"/>
  <c r="H90" i="3"/>
  <c r="A91" i="3"/>
  <c r="B91" i="3"/>
  <c r="C91" i="3"/>
  <c r="H91" i="3"/>
  <c r="A92" i="3"/>
  <c r="B92" i="3"/>
  <c r="C92" i="3"/>
  <c r="H92" i="3"/>
  <c r="A93" i="3"/>
  <c r="B93" i="3"/>
  <c r="C93" i="3"/>
  <c r="H93" i="3"/>
  <c r="A94" i="3"/>
  <c r="B94" i="3"/>
  <c r="C94" i="3"/>
  <c r="H94" i="3"/>
  <c r="A95" i="3"/>
  <c r="B95" i="3"/>
  <c r="C95" i="3"/>
  <c r="H95" i="3"/>
  <c r="A96" i="3"/>
  <c r="B96" i="3"/>
  <c r="C96" i="3"/>
  <c r="H96" i="3"/>
  <c r="A97" i="3"/>
  <c r="B97" i="3"/>
  <c r="C97" i="3"/>
  <c r="H97" i="3"/>
  <c r="A98" i="3"/>
  <c r="B98" i="3"/>
  <c r="C98" i="3"/>
  <c r="H98" i="3"/>
  <c r="A99" i="3"/>
  <c r="B99" i="3"/>
  <c r="C99" i="3"/>
  <c r="H99" i="3"/>
  <c r="A100" i="3"/>
  <c r="B100" i="3"/>
  <c r="C100" i="3"/>
  <c r="H100" i="3"/>
  <c r="A101" i="3"/>
  <c r="B101" i="3"/>
  <c r="C101" i="3"/>
  <c r="H101" i="3"/>
  <c r="A102" i="3"/>
  <c r="B102" i="3"/>
  <c r="C102" i="3"/>
  <c r="H102" i="3"/>
  <c r="A103" i="3"/>
  <c r="B103" i="3"/>
  <c r="C103" i="3"/>
  <c r="H103" i="3"/>
  <c r="A104" i="3"/>
  <c r="B104" i="3"/>
  <c r="C104" i="3"/>
  <c r="H104" i="3"/>
  <c r="A105" i="3"/>
  <c r="B105" i="3"/>
  <c r="C105" i="3"/>
  <c r="H105" i="3"/>
  <c r="A106" i="3"/>
  <c r="B106" i="3"/>
  <c r="C106" i="3"/>
  <c r="H106" i="3"/>
  <c r="A107" i="3"/>
  <c r="B107" i="3"/>
  <c r="C107" i="3"/>
  <c r="H107" i="3"/>
  <c r="A108" i="3"/>
  <c r="B108" i="3"/>
  <c r="C108" i="3"/>
  <c r="H108" i="3"/>
  <c r="A109" i="3"/>
  <c r="B109" i="3"/>
  <c r="C109" i="3"/>
  <c r="H109" i="3"/>
  <c r="A110" i="3"/>
  <c r="B110" i="3"/>
  <c r="C110" i="3"/>
  <c r="H110" i="3"/>
  <c r="A111" i="3"/>
  <c r="B111" i="3"/>
  <c r="C111" i="3"/>
  <c r="H111" i="3"/>
  <c r="A112" i="3"/>
  <c r="B112" i="3"/>
  <c r="C112" i="3"/>
  <c r="H112" i="3"/>
  <c r="A113" i="3"/>
  <c r="B113" i="3"/>
  <c r="C113" i="3"/>
  <c r="H113" i="3"/>
  <c r="A114" i="3"/>
  <c r="B114" i="3"/>
  <c r="C114" i="3"/>
  <c r="H114" i="3"/>
  <c r="A115" i="3"/>
  <c r="B115" i="3"/>
  <c r="C115" i="3"/>
  <c r="H115" i="3"/>
  <c r="A116" i="3"/>
  <c r="B116" i="3"/>
  <c r="C116" i="3"/>
  <c r="H116" i="3"/>
  <c r="A117" i="3"/>
  <c r="B117" i="3"/>
  <c r="C117" i="3"/>
  <c r="H117" i="3"/>
  <c r="A118" i="3"/>
  <c r="B118" i="3"/>
  <c r="C118" i="3"/>
  <c r="H118" i="3"/>
  <c r="A119" i="3"/>
  <c r="B119" i="3"/>
  <c r="C119" i="3"/>
  <c r="H119" i="3"/>
  <c r="A120" i="3"/>
  <c r="B120" i="3"/>
  <c r="C120" i="3"/>
  <c r="H120" i="3"/>
  <c r="A121" i="3"/>
  <c r="B121" i="3"/>
  <c r="C121" i="3"/>
  <c r="H121" i="3"/>
  <c r="A122" i="3"/>
  <c r="B122" i="3"/>
  <c r="C122" i="3"/>
  <c r="H122" i="3"/>
  <c r="A123" i="3"/>
  <c r="B123" i="3"/>
  <c r="C123" i="3"/>
  <c r="H123" i="3"/>
  <c r="A124" i="3"/>
  <c r="B124" i="3"/>
  <c r="C124" i="3"/>
  <c r="H124" i="3"/>
  <c r="A125" i="3"/>
  <c r="B125" i="3"/>
  <c r="C125" i="3"/>
  <c r="H125" i="3"/>
  <c r="A126" i="3"/>
  <c r="B126" i="3"/>
  <c r="C126" i="3"/>
  <c r="H126" i="3"/>
  <c r="A127" i="3"/>
  <c r="B127" i="3"/>
  <c r="C127" i="3"/>
  <c r="H127" i="3"/>
  <c r="A128" i="3"/>
  <c r="B128" i="3"/>
  <c r="C128" i="3"/>
  <c r="H128" i="3"/>
  <c r="A129" i="3"/>
  <c r="B129" i="3"/>
  <c r="C129" i="3"/>
  <c r="H129" i="3"/>
  <c r="A130" i="3"/>
  <c r="B130" i="3"/>
  <c r="C130" i="3"/>
  <c r="H130" i="3"/>
  <c r="A131" i="3"/>
  <c r="B131" i="3"/>
  <c r="C131" i="3"/>
  <c r="E131" i="3"/>
  <c r="F131" i="3"/>
  <c r="H131" i="3"/>
  <c r="L6" i="1"/>
  <c r="M6" i="1"/>
  <c r="N6" i="1"/>
  <c r="P6" i="1"/>
  <c r="Q6" i="1"/>
  <c r="Q7" i="1" s="1"/>
  <c r="T7" i="1" s="1"/>
  <c r="W6" i="1"/>
  <c r="L7" i="1"/>
  <c r="M7" i="1"/>
  <c r="N7" i="1"/>
  <c r="L8" i="1"/>
  <c r="M8" i="1"/>
  <c r="N8" i="1"/>
  <c r="L9" i="1"/>
  <c r="M9" i="1"/>
  <c r="N9" i="1"/>
  <c r="L10" i="1"/>
  <c r="M10" i="1"/>
  <c r="N10" i="1"/>
  <c r="L11" i="1"/>
  <c r="M11" i="1"/>
  <c r="N11" i="1"/>
  <c r="L12" i="1"/>
  <c r="M12" i="1"/>
  <c r="N12" i="1"/>
  <c r="L13" i="1"/>
  <c r="M13" i="1"/>
  <c r="N13" i="1"/>
  <c r="L14" i="1"/>
  <c r="M14" i="1"/>
  <c r="N14" i="1"/>
  <c r="L15" i="1"/>
  <c r="M15" i="1"/>
  <c r="N15" i="1"/>
  <c r="L16" i="1"/>
  <c r="M16" i="1"/>
  <c r="N16" i="1"/>
  <c r="L17" i="1"/>
  <c r="M17" i="1"/>
  <c r="N17" i="1"/>
  <c r="L18" i="1"/>
  <c r="M18" i="1"/>
  <c r="N18" i="1"/>
  <c r="L19" i="1"/>
  <c r="M19" i="1"/>
  <c r="N19" i="1"/>
  <c r="L20" i="1"/>
  <c r="M20" i="1"/>
  <c r="N20" i="1"/>
  <c r="L21" i="1"/>
  <c r="M21" i="1"/>
  <c r="N21" i="1"/>
  <c r="L22" i="1"/>
  <c r="M22" i="1"/>
  <c r="N22" i="1"/>
  <c r="L23" i="1"/>
  <c r="M23" i="1"/>
  <c r="N23" i="1"/>
  <c r="L24" i="1"/>
  <c r="M24" i="1"/>
  <c r="N24" i="1"/>
  <c r="L25" i="1"/>
  <c r="M25" i="1"/>
  <c r="N25" i="1"/>
  <c r="L26" i="1"/>
  <c r="M26" i="1"/>
  <c r="N26" i="1"/>
  <c r="L27" i="1"/>
  <c r="M27" i="1"/>
  <c r="N27" i="1"/>
  <c r="L28" i="1"/>
  <c r="M28" i="1"/>
  <c r="N28" i="1"/>
  <c r="L29" i="1"/>
  <c r="M29" i="1"/>
  <c r="N29" i="1"/>
  <c r="L30" i="1"/>
  <c r="M30" i="1"/>
  <c r="N30" i="1"/>
  <c r="L31" i="1"/>
  <c r="M31" i="1"/>
  <c r="N31" i="1"/>
  <c r="L32" i="1"/>
  <c r="M32" i="1"/>
  <c r="N32" i="1"/>
  <c r="L33" i="1"/>
  <c r="M33" i="1"/>
  <c r="N33" i="1"/>
  <c r="L34" i="1"/>
  <c r="M34" i="1"/>
  <c r="N34" i="1"/>
  <c r="L35" i="1"/>
  <c r="M35" i="1"/>
  <c r="N35" i="1"/>
  <c r="L36" i="1"/>
  <c r="M36" i="1"/>
  <c r="N36" i="1"/>
  <c r="L37" i="1"/>
  <c r="M37" i="1"/>
  <c r="N37" i="1"/>
  <c r="L38" i="1"/>
  <c r="M38" i="1"/>
  <c r="N38" i="1"/>
  <c r="L39" i="1"/>
  <c r="M39" i="1"/>
  <c r="N39" i="1"/>
  <c r="L40" i="1"/>
  <c r="M40" i="1"/>
  <c r="N40" i="1"/>
  <c r="L41" i="1"/>
  <c r="M41" i="1"/>
  <c r="N41" i="1"/>
  <c r="L42" i="1"/>
  <c r="M42" i="1"/>
  <c r="N42" i="1"/>
  <c r="L43" i="1"/>
  <c r="M43" i="1"/>
  <c r="N43" i="1"/>
  <c r="L44" i="1"/>
  <c r="M44" i="1"/>
  <c r="N44" i="1"/>
  <c r="L45" i="1"/>
  <c r="M45" i="1"/>
  <c r="N45" i="1"/>
  <c r="L46" i="1"/>
  <c r="M46" i="1"/>
  <c r="N46" i="1"/>
  <c r="L47" i="1"/>
  <c r="M47" i="1"/>
  <c r="N47" i="1"/>
  <c r="L48" i="1"/>
  <c r="M48" i="1"/>
  <c r="N48" i="1"/>
  <c r="L49" i="1"/>
  <c r="M49" i="1"/>
  <c r="N49" i="1"/>
  <c r="L50" i="1"/>
  <c r="M50" i="1"/>
  <c r="N50" i="1"/>
  <c r="L51" i="1"/>
  <c r="M51" i="1"/>
  <c r="N51" i="1"/>
  <c r="L52" i="1"/>
  <c r="M52" i="1"/>
  <c r="N52" i="1"/>
  <c r="L53" i="1"/>
  <c r="M53" i="1"/>
  <c r="N53" i="1"/>
  <c r="L54" i="1"/>
  <c r="M54" i="1"/>
  <c r="N54" i="1"/>
  <c r="L55" i="1"/>
  <c r="M55" i="1"/>
  <c r="N55" i="1"/>
  <c r="L56" i="1"/>
  <c r="M56" i="1"/>
  <c r="N56" i="1"/>
  <c r="L57" i="1"/>
  <c r="M57" i="1"/>
  <c r="N57" i="1"/>
  <c r="L58" i="1"/>
  <c r="M58" i="1"/>
  <c r="N58" i="1"/>
  <c r="L59" i="1"/>
  <c r="M59" i="1"/>
  <c r="N59" i="1"/>
  <c r="L60" i="1"/>
  <c r="M60" i="1"/>
  <c r="N60" i="1"/>
  <c r="L61" i="1"/>
  <c r="M61" i="1"/>
  <c r="N61" i="1"/>
  <c r="L62" i="1"/>
  <c r="M62" i="1"/>
  <c r="N62" i="1"/>
  <c r="L63" i="1"/>
  <c r="M63" i="1"/>
  <c r="N63" i="1"/>
  <c r="L64" i="1"/>
  <c r="M64" i="1"/>
  <c r="N64" i="1"/>
  <c r="L65" i="1"/>
  <c r="M65" i="1"/>
  <c r="N65" i="1"/>
  <c r="L66" i="1"/>
  <c r="M66" i="1"/>
  <c r="N66" i="1"/>
  <c r="L67" i="1"/>
  <c r="M67" i="1"/>
  <c r="N67" i="1"/>
  <c r="L68" i="1"/>
  <c r="M68" i="1"/>
  <c r="N68" i="1"/>
  <c r="L69" i="1"/>
  <c r="M69" i="1"/>
  <c r="N69" i="1"/>
  <c r="L70" i="1"/>
  <c r="M70" i="1"/>
  <c r="N70" i="1"/>
  <c r="L71" i="1"/>
  <c r="M71" i="1"/>
  <c r="N71" i="1"/>
  <c r="L72" i="1"/>
  <c r="M72" i="1"/>
  <c r="N72" i="1"/>
  <c r="L73" i="1"/>
  <c r="M73" i="1"/>
  <c r="N73" i="1"/>
  <c r="L74" i="1"/>
  <c r="M74" i="1"/>
  <c r="N74" i="1"/>
  <c r="L75" i="1"/>
  <c r="M75" i="1"/>
  <c r="N75" i="1"/>
  <c r="L76" i="1"/>
  <c r="M76" i="1"/>
  <c r="N76" i="1"/>
  <c r="L77" i="1"/>
  <c r="M77" i="1"/>
  <c r="N77" i="1"/>
  <c r="L78" i="1"/>
  <c r="M78" i="1"/>
  <c r="N78" i="1"/>
  <c r="L79" i="1"/>
  <c r="M79" i="1"/>
  <c r="N79" i="1"/>
  <c r="L80" i="1"/>
  <c r="M80" i="1"/>
  <c r="N80" i="1"/>
  <c r="L81" i="1"/>
  <c r="M81" i="1"/>
  <c r="N81" i="1"/>
  <c r="L82" i="1"/>
  <c r="M82" i="1"/>
  <c r="N82" i="1"/>
  <c r="L83" i="1"/>
  <c r="M83" i="1"/>
  <c r="N83" i="1"/>
  <c r="L84" i="1"/>
  <c r="M84" i="1"/>
  <c r="N84" i="1"/>
  <c r="L85" i="1"/>
  <c r="M85" i="1"/>
  <c r="N85" i="1"/>
  <c r="L86" i="1"/>
  <c r="M86" i="1"/>
  <c r="N86" i="1"/>
  <c r="L87" i="1"/>
  <c r="M87" i="1"/>
  <c r="N87" i="1"/>
  <c r="L88" i="1"/>
  <c r="M88" i="1"/>
  <c r="N88" i="1"/>
  <c r="L89" i="1"/>
  <c r="M89" i="1"/>
  <c r="N89" i="1"/>
  <c r="L90" i="1"/>
  <c r="M90" i="1"/>
  <c r="N90" i="1"/>
  <c r="L91" i="1"/>
  <c r="M91" i="1"/>
  <c r="N91" i="1"/>
  <c r="L92" i="1"/>
  <c r="M92" i="1"/>
  <c r="N92" i="1"/>
  <c r="L93" i="1"/>
  <c r="M93" i="1"/>
  <c r="N93" i="1"/>
  <c r="L94" i="1"/>
  <c r="M94" i="1"/>
  <c r="N94" i="1"/>
  <c r="L95" i="1"/>
  <c r="M95" i="1"/>
  <c r="N95" i="1"/>
  <c r="L96" i="1"/>
  <c r="M96" i="1"/>
  <c r="N96" i="1"/>
  <c r="L97" i="1"/>
  <c r="M97" i="1"/>
  <c r="N97" i="1"/>
  <c r="L98" i="1"/>
  <c r="M98" i="1"/>
  <c r="N98" i="1"/>
  <c r="L99" i="1"/>
  <c r="M99" i="1"/>
  <c r="N99" i="1"/>
  <c r="L100" i="1"/>
  <c r="M100" i="1"/>
  <c r="N100" i="1"/>
  <c r="L101" i="1"/>
  <c r="M101" i="1"/>
  <c r="N101" i="1"/>
  <c r="L102" i="1"/>
  <c r="M102" i="1"/>
  <c r="N102" i="1"/>
  <c r="L103" i="1"/>
  <c r="M103" i="1"/>
  <c r="N103" i="1"/>
  <c r="L104" i="1"/>
  <c r="M104" i="1"/>
  <c r="N104" i="1"/>
  <c r="L105" i="1"/>
  <c r="M105" i="1"/>
  <c r="N105" i="1"/>
  <c r="L106" i="1"/>
  <c r="M106" i="1"/>
  <c r="N106" i="1"/>
  <c r="L107" i="1"/>
  <c r="M107" i="1"/>
  <c r="N107" i="1"/>
  <c r="L108" i="1"/>
  <c r="M108" i="1"/>
  <c r="N108" i="1"/>
  <c r="L109" i="1"/>
  <c r="M109" i="1"/>
  <c r="N109" i="1"/>
  <c r="L110" i="1"/>
  <c r="M110" i="1"/>
  <c r="N110" i="1"/>
  <c r="L111" i="1"/>
  <c r="M111" i="1"/>
  <c r="N111" i="1"/>
  <c r="L112" i="1"/>
  <c r="M112" i="1"/>
  <c r="N112" i="1"/>
  <c r="L113" i="1"/>
  <c r="M113" i="1"/>
  <c r="N113" i="1"/>
  <c r="L114" i="1"/>
  <c r="M114" i="1"/>
  <c r="N114" i="1"/>
  <c r="L115" i="1"/>
  <c r="M115" i="1"/>
  <c r="N115" i="1"/>
  <c r="L116" i="1"/>
  <c r="M116" i="1"/>
  <c r="N116" i="1"/>
  <c r="L117" i="1"/>
  <c r="M117" i="1"/>
  <c r="N117" i="1"/>
  <c r="L118" i="1"/>
  <c r="M118" i="1"/>
  <c r="N118" i="1"/>
  <c r="L119" i="1"/>
  <c r="M119" i="1"/>
  <c r="N119" i="1"/>
  <c r="L120" i="1"/>
  <c r="M120" i="1"/>
  <c r="N120" i="1"/>
  <c r="L121" i="1"/>
  <c r="M121" i="1"/>
  <c r="N121" i="1"/>
  <c r="L122" i="1"/>
  <c r="M122" i="1"/>
  <c r="N122" i="1"/>
  <c r="L123" i="1"/>
  <c r="M123" i="1"/>
  <c r="N123" i="1"/>
  <c r="L124" i="1"/>
  <c r="M124" i="1"/>
  <c r="N124" i="1"/>
  <c r="L125" i="1"/>
  <c r="M125" i="1"/>
  <c r="N125" i="1"/>
  <c r="L126" i="1"/>
  <c r="M126" i="1"/>
  <c r="N126" i="1"/>
  <c r="L127" i="1"/>
  <c r="M127" i="1"/>
  <c r="N127" i="1"/>
  <c r="L128" i="1"/>
  <c r="M128" i="1"/>
  <c r="N128" i="1"/>
  <c r="L129" i="1"/>
  <c r="M129" i="1"/>
  <c r="N129" i="1"/>
  <c r="L130" i="1"/>
  <c r="M130" i="1"/>
  <c r="N130" i="1"/>
  <c r="L131" i="1"/>
  <c r="M131" i="1"/>
  <c r="N131" i="1"/>
  <c r="L5" i="1"/>
  <c r="M5" i="1"/>
  <c r="N5" i="1"/>
  <c r="D44" i="4" l="1"/>
  <c r="G131" i="4"/>
  <c r="G40" i="4"/>
  <c r="G24" i="4"/>
  <c r="G8" i="4"/>
  <c r="F40" i="4"/>
  <c r="G39" i="4" s="1"/>
  <c r="F36" i="4"/>
  <c r="G35" i="4" s="1"/>
  <c r="F32" i="4"/>
  <c r="G31" i="4" s="1"/>
  <c r="F28" i="4"/>
  <c r="G27" i="4" s="1"/>
  <c r="F24" i="4"/>
  <c r="G23" i="4" s="1"/>
  <c r="F20" i="4"/>
  <c r="G19" i="4" s="1"/>
  <c r="F16" i="4"/>
  <c r="G15" i="4" s="1"/>
  <c r="F12" i="4"/>
  <c r="G11" i="4" s="1"/>
  <c r="F8" i="4"/>
  <c r="G7" i="4" s="1"/>
  <c r="G131" i="3"/>
  <c r="D7" i="3"/>
  <c r="P7" i="1"/>
  <c r="S6" i="1"/>
  <c r="V6" i="1"/>
  <c r="W7" i="1"/>
  <c r="Q8" i="1"/>
  <c r="T6" i="1"/>
  <c r="G28" i="4" l="1"/>
  <c r="G12" i="4"/>
  <c r="G16" i="4"/>
  <c r="G32" i="4"/>
  <c r="E43" i="4"/>
  <c r="F42" i="4" s="1"/>
  <c r="G41" i="4" s="1"/>
  <c r="D45" i="4"/>
  <c r="G20" i="4"/>
  <c r="G36" i="4"/>
  <c r="E6" i="3"/>
  <c r="F5" i="3" s="1"/>
  <c r="D8" i="3"/>
  <c r="T8" i="1"/>
  <c r="W8" i="1"/>
  <c r="Q9" i="1"/>
  <c r="V7" i="1"/>
  <c r="P8" i="1"/>
  <c r="S7" i="1"/>
  <c r="K2" i="1"/>
  <c r="N4" i="1"/>
  <c r="H4" i="4" s="1"/>
  <c r="L4" i="1"/>
  <c r="M4" i="1"/>
  <c r="M3" i="1"/>
  <c r="M2" i="1" s="1"/>
  <c r="Q2" i="1" s="1"/>
  <c r="L3" i="1"/>
  <c r="L2" i="1" s="1"/>
  <c r="P2" i="1" s="1"/>
  <c r="N3" i="1"/>
  <c r="H3" i="3" s="1"/>
  <c r="E44" i="4" l="1"/>
  <c r="F43" i="4" s="1"/>
  <c r="G42" i="4" s="1"/>
  <c r="D46" i="4"/>
  <c r="E7" i="3"/>
  <c r="F6" i="3" s="1"/>
  <c r="G5" i="3" s="1"/>
  <c r="D9" i="3"/>
  <c r="Q10" i="1"/>
  <c r="T9" i="1"/>
  <c r="W9" i="1"/>
  <c r="V8" i="1"/>
  <c r="P9" i="1"/>
  <c r="S8" i="1"/>
  <c r="N2" i="1"/>
  <c r="H2" i="4" s="1"/>
  <c r="P3" i="1"/>
  <c r="P4" i="1" s="1"/>
  <c r="V4" i="1" s="1"/>
  <c r="B4" i="4" s="1"/>
  <c r="H4" i="3"/>
  <c r="A3" i="4"/>
  <c r="A4" i="4"/>
  <c r="A2" i="4"/>
  <c r="A3" i="3"/>
  <c r="A4" i="3"/>
  <c r="Q3" i="1"/>
  <c r="T3" i="1" s="1"/>
  <c r="C3" i="3" s="1"/>
  <c r="H3" i="4"/>
  <c r="A2" i="3"/>
  <c r="E45" i="4" l="1"/>
  <c r="F44" i="4" s="1"/>
  <c r="G43" i="4" s="1"/>
  <c r="D47" i="4"/>
  <c r="E8" i="3"/>
  <c r="F7" i="3" s="1"/>
  <c r="G6" i="3" s="1"/>
  <c r="D10" i="3"/>
  <c r="S9" i="1"/>
  <c r="V9" i="1"/>
  <c r="P10" i="1"/>
  <c r="W10" i="1"/>
  <c r="Q11" i="1"/>
  <c r="T10" i="1"/>
  <c r="T2" i="1"/>
  <c r="C2" i="3" s="1"/>
  <c r="V2" i="1"/>
  <c r="B2" i="4" s="1"/>
  <c r="W2" i="1"/>
  <c r="C2" i="4" s="1"/>
  <c r="H2" i="3"/>
  <c r="S4" i="1"/>
  <c r="B4" i="3" s="1"/>
  <c r="P5" i="1"/>
  <c r="S2" i="1"/>
  <c r="B2" i="3" s="1"/>
  <c r="W3" i="1"/>
  <c r="C3" i="4" s="1"/>
  <c r="S3" i="1"/>
  <c r="B3" i="3" s="1"/>
  <c r="Q4" i="1"/>
  <c r="V3" i="1"/>
  <c r="B3" i="4" s="1"/>
  <c r="E46" i="4" l="1"/>
  <c r="F45" i="4" s="1"/>
  <c r="G44" i="4" s="1"/>
  <c r="D48" i="4"/>
  <c r="E9" i="3"/>
  <c r="F8" i="3" s="1"/>
  <c r="G7" i="3" s="1"/>
  <c r="D11" i="3"/>
  <c r="P11" i="1"/>
  <c r="S10" i="1"/>
  <c r="V10" i="1"/>
  <c r="W11" i="1"/>
  <c r="Q12" i="1"/>
  <c r="T11" i="1"/>
  <c r="D3" i="4"/>
  <c r="E2" i="4" s="1"/>
  <c r="D3" i="3"/>
  <c r="E2" i="3" s="1"/>
  <c r="V5" i="1"/>
  <c r="S5" i="1"/>
  <c r="W4" i="1"/>
  <c r="C4" i="4" s="1"/>
  <c r="Q5" i="1"/>
  <c r="T4" i="1"/>
  <c r="C4" i="3" s="1"/>
  <c r="E47" i="4" l="1"/>
  <c r="F46" i="4" s="1"/>
  <c r="G45" i="4" s="1"/>
  <c r="D49" i="4"/>
  <c r="E10" i="3"/>
  <c r="F9" i="3" s="1"/>
  <c r="G8" i="3" s="1"/>
  <c r="D12" i="3"/>
  <c r="T12" i="1"/>
  <c r="W12" i="1"/>
  <c r="Q13" i="1"/>
  <c r="V11" i="1"/>
  <c r="P12" i="1"/>
  <c r="S11" i="1"/>
  <c r="D4" i="4"/>
  <c r="D4" i="3"/>
  <c r="T5" i="1"/>
  <c r="W5" i="1"/>
  <c r="E48" i="4" l="1"/>
  <c r="F47" i="4" s="1"/>
  <c r="G46" i="4" s="1"/>
  <c r="D50" i="4"/>
  <c r="E11" i="3"/>
  <c r="F10" i="3" s="1"/>
  <c r="G9" i="3" s="1"/>
  <c r="D13" i="3"/>
  <c r="Q14" i="1"/>
  <c r="T13" i="1"/>
  <c r="W13" i="1"/>
  <c r="V12" i="1"/>
  <c r="P13" i="1"/>
  <c r="S12" i="1"/>
  <c r="E3" i="4"/>
  <c r="E3" i="3"/>
  <c r="E49" i="4" l="1"/>
  <c r="F48" i="4" s="1"/>
  <c r="G47" i="4" s="1"/>
  <c r="D51" i="4"/>
  <c r="E12" i="3"/>
  <c r="F11" i="3" s="1"/>
  <c r="G10" i="3" s="1"/>
  <c r="D14" i="3"/>
  <c r="S13" i="1"/>
  <c r="V13" i="1"/>
  <c r="P14" i="1"/>
  <c r="W14" i="1"/>
  <c r="Q15" i="1"/>
  <c r="T14" i="1"/>
  <c r="F2" i="3"/>
  <c r="F2" i="4"/>
  <c r="E4" i="4"/>
  <c r="F3" i="4" s="1"/>
  <c r="E4" i="3"/>
  <c r="F3" i="3" s="1"/>
  <c r="E50" i="4" l="1"/>
  <c r="F49" i="4" s="1"/>
  <c r="G48" i="4" s="1"/>
  <c r="D52" i="4"/>
  <c r="E13" i="3"/>
  <c r="F12" i="3" s="1"/>
  <c r="G11" i="3" s="1"/>
  <c r="D15" i="3"/>
  <c r="P15" i="1"/>
  <c r="S14" i="1"/>
  <c r="V14" i="1"/>
  <c r="W15" i="1"/>
  <c r="Q16" i="1"/>
  <c r="T15" i="1"/>
  <c r="G2" i="3"/>
  <c r="G2" i="4"/>
  <c r="F4" i="4"/>
  <c r="G3" i="4" s="1"/>
  <c r="F4" i="3"/>
  <c r="G3" i="3" s="1"/>
  <c r="E51" i="4" l="1"/>
  <c r="F50" i="4" s="1"/>
  <c r="G49" i="4" s="1"/>
  <c r="D53" i="4"/>
  <c r="E14" i="3"/>
  <c r="F13" i="3" s="1"/>
  <c r="G12" i="3" s="1"/>
  <c r="D16" i="3"/>
  <c r="T16" i="1"/>
  <c r="W16" i="1"/>
  <c r="Q17" i="1"/>
  <c r="V15" i="1"/>
  <c r="P16" i="1"/>
  <c r="S15" i="1"/>
  <c r="G4" i="4"/>
  <c r="G4" i="3"/>
  <c r="E52" i="4" l="1"/>
  <c r="F51" i="4" s="1"/>
  <c r="G50" i="4" s="1"/>
  <c r="D54" i="4"/>
  <c r="E15" i="3"/>
  <c r="F14" i="3" s="1"/>
  <c r="G13" i="3" s="1"/>
  <c r="D17" i="3"/>
  <c r="Q18" i="1"/>
  <c r="T17" i="1"/>
  <c r="W17" i="1"/>
  <c r="V16" i="1"/>
  <c r="P17" i="1"/>
  <c r="S16" i="1"/>
  <c r="E53" i="4" l="1"/>
  <c r="F52" i="4" s="1"/>
  <c r="G51" i="4" s="1"/>
  <c r="D55" i="4"/>
  <c r="E16" i="3"/>
  <c r="F15" i="3" s="1"/>
  <c r="G14" i="3" s="1"/>
  <c r="D18" i="3"/>
  <c r="S17" i="1"/>
  <c r="V17" i="1"/>
  <c r="P18" i="1"/>
  <c r="W18" i="1"/>
  <c r="Q19" i="1"/>
  <c r="T18" i="1"/>
  <c r="E54" i="4" l="1"/>
  <c r="F53" i="4" s="1"/>
  <c r="G52" i="4" s="1"/>
  <c r="D56" i="4"/>
  <c r="E17" i="3"/>
  <c r="F16" i="3" s="1"/>
  <c r="G15" i="3" s="1"/>
  <c r="D19" i="3"/>
  <c r="P19" i="1"/>
  <c r="S18" i="1"/>
  <c r="V18" i="1"/>
  <c r="W19" i="1"/>
  <c r="Q20" i="1"/>
  <c r="T19" i="1"/>
  <c r="E55" i="4" l="1"/>
  <c r="F54" i="4" s="1"/>
  <c r="G53" i="4" s="1"/>
  <c r="D57" i="4"/>
  <c r="E18" i="3"/>
  <c r="F17" i="3" s="1"/>
  <c r="G16" i="3" s="1"/>
  <c r="D20" i="3"/>
  <c r="T20" i="1"/>
  <c r="W20" i="1"/>
  <c r="Q21" i="1"/>
  <c r="V19" i="1"/>
  <c r="P20" i="1"/>
  <c r="S19" i="1"/>
  <c r="E56" i="4" l="1"/>
  <c r="F55" i="4" s="1"/>
  <c r="G54" i="4" s="1"/>
  <c r="D58" i="4"/>
  <c r="E19" i="3"/>
  <c r="F18" i="3" s="1"/>
  <c r="G17" i="3" s="1"/>
  <c r="D21" i="3"/>
  <c r="Q22" i="1"/>
  <c r="T21" i="1"/>
  <c r="W21" i="1"/>
  <c r="V20" i="1"/>
  <c r="P21" i="1"/>
  <c r="S20" i="1"/>
  <c r="E57" i="4" l="1"/>
  <c r="F56" i="4" s="1"/>
  <c r="G55" i="4" s="1"/>
  <c r="D59" i="4"/>
  <c r="E20" i="3"/>
  <c r="F19" i="3" s="1"/>
  <c r="G18" i="3" s="1"/>
  <c r="D22" i="3"/>
  <c r="S21" i="1"/>
  <c r="V21" i="1"/>
  <c r="P22" i="1"/>
  <c r="W22" i="1"/>
  <c r="Q23" i="1"/>
  <c r="T22" i="1"/>
  <c r="E58" i="4" l="1"/>
  <c r="F57" i="4" s="1"/>
  <c r="G56" i="4" s="1"/>
  <c r="D60" i="4"/>
  <c r="E21" i="3"/>
  <c r="F20" i="3" s="1"/>
  <c r="G19" i="3" s="1"/>
  <c r="D23" i="3"/>
  <c r="P23" i="1"/>
  <c r="S22" i="1"/>
  <c r="V22" i="1"/>
  <c r="W23" i="1"/>
  <c r="Q24" i="1"/>
  <c r="T23" i="1"/>
  <c r="E59" i="4" l="1"/>
  <c r="F58" i="4" s="1"/>
  <c r="G57" i="4" s="1"/>
  <c r="D61" i="4"/>
  <c r="E22" i="3"/>
  <c r="F21" i="3" s="1"/>
  <c r="G20" i="3" s="1"/>
  <c r="D24" i="3"/>
  <c r="T24" i="1"/>
  <c r="W24" i="1"/>
  <c r="Q25" i="1"/>
  <c r="V23" i="1"/>
  <c r="P24" i="1"/>
  <c r="S23" i="1"/>
  <c r="E60" i="4" l="1"/>
  <c r="F59" i="4" s="1"/>
  <c r="G58" i="4" s="1"/>
  <c r="D62" i="4"/>
  <c r="E23" i="3"/>
  <c r="F22" i="3" s="1"/>
  <c r="G21" i="3" s="1"/>
  <c r="D25" i="3"/>
  <c r="Q26" i="1"/>
  <c r="T25" i="1"/>
  <c r="W25" i="1"/>
  <c r="V24" i="1"/>
  <c r="P25" i="1"/>
  <c r="S24" i="1"/>
  <c r="E61" i="4" l="1"/>
  <c r="F60" i="4" s="1"/>
  <c r="G59" i="4" s="1"/>
  <c r="D63" i="4"/>
  <c r="E24" i="3"/>
  <c r="F23" i="3" s="1"/>
  <c r="G22" i="3" s="1"/>
  <c r="D26" i="3"/>
  <c r="S25" i="1"/>
  <c r="V25" i="1"/>
  <c r="P26" i="1"/>
  <c r="W26" i="1"/>
  <c r="Q27" i="1"/>
  <c r="T26" i="1"/>
  <c r="E62" i="4" l="1"/>
  <c r="F61" i="4" s="1"/>
  <c r="G60" i="4" s="1"/>
  <c r="D64" i="4"/>
  <c r="E25" i="3"/>
  <c r="F24" i="3" s="1"/>
  <c r="G23" i="3" s="1"/>
  <c r="D27" i="3"/>
  <c r="P27" i="1"/>
  <c r="S26" i="1"/>
  <c r="V26" i="1"/>
  <c r="W27" i="1"/>
  <c r="Q28" i="1"/>
  <c r="T27" i="1"/>
  <c r="E63" i="4" l="1"/>
  <c r="F62" i="4" s="1"/>
  <c r="G61" i="4" s="1"/>
  <c r="D65" i="4"/>
  <c r="E26" i="3"/>
  <c r="F25" i="3" s="1"/>
  <c r="G24" i="3" s="1"/>
  <c r="D28" i="3"/>
  <c r="T28" i="1"/>
  <c r="W28" i="1"/>
  <c r="Q29" i="1"/>
  <c r="V27" i="1"/>
  <c r="P28" i="1"/>
  <c r="S27" i="1"/>
  <c r="E64" i="4" l="1"/>
  <c r="F63" i="4" s="1"/>
  <c r="G62" i="4" s="1"/>
  <c r="D66" i="4"/>
  <c r="E27" i="3"/>
  <c r="F26" i="3" s="1"/>
  <c r="G25" i="3" s="1"/>
  <c r="D29" i="3"/>
  <c r="Q30" i="1"/>
  <c r="T29" i="1"/>
  <c r="W29" i="1"/>
  <c r="V28" i="1"/>
  <c r="P29" i="1"/>
  <c r="S28" i="1"/>
  <c r="E65" i="4" l="1"/>
  <c r="F64" i="4" s="1"/>
  <c r="G63" i="4" s="1"/>
  <c r="D67" i="4"/>
  <c r="E28" i="3"/>
  <c r="F27" i="3" s="1"/>
  <c r="G26" i="3" s="1"/>
  <c r="D30" i="3"/>
  <c r="S29" i="1"/>
  <c r="V29" i="1"/>
  <c r="P30" i="1"/>
  <c r="W30" i="1"/>
  <c r="Q31" i="1"/>
  <c r="T30" i="1"/>
  <c r="E66" i="4" l="1"/>
  <c r="F65" i="4" s="1"/>
  <c r="G64" i="4" s="1"/>
  <c r="D68" i="4"/>
  <c r="E29" i="3"/>
  <c r="F28" i="3" s="1"/>
  <c r="G27" i="3" s="1"/>
  <c r="D31" i="3"/>
  <c r="P31" i="1"/>
  <c r="S30" i="1"/>
  <c r="V30" i="1"/>
  <c r="W31" i="1"/>
  <c r="Q32" i="1"/>
  <c r="T31" i="1"/>
  <c r="E67" i="4" l="1"/>
  <c r="F66" i="4" s="1"/>
  <c r="G65" i="4" s="1"/>
  <c r="D69" i="4"/>
  <c r="E30" i="3"/>
  <c r="F29" i="3" s="1"/>
  <c r="G28" i="3" s="1"/>
  <c r="D32" i="3"/>
  <c r="T32" i="1"/>
  <c r="W32" i="1"/>
  <c r="Q33" i="1"/>
  <c r="V31" i="1"/>
  <c r="P32" i="1"/>
  <c r="S31" i="1"/>
  <c r="E68" i="4" l="1"/>
  <c r="F67" i="4" s="1"/>
  <c r="G66" i="4" s="1"/>
  <c r="D70" i="4"/>
  <c r="E31" i="3"/>
  <c r="F30" i="3" s="1"/>
  <c r="G29" i="3" s="1"/>
  <c r="D33" i="3"/>
  <c r="Q34" i="1"/>
  <c r="T33" i="1"/>
  <c r="W33" i="1"/>
  <c r="V32" i="1"/>
  <c r="P33" i="1"/>
  <c r="S32" i="1"/>
  <c r="E69" i="4" l="1"/>
  <c r="F68" i="4" s="1"/>
  <c r="G67" i="4" s="1"/>
  <c r="D71" i="4"/>
  <c r="E32" i="3"/>
  <c r="F31" i="3" s="1"/>
  <c r="G30" i="3" s="1"/>
  <c r="D34" i="3"/>
  <c r="S33" i="1"/>
  <c r="V33" i="1"/>
  <c r="P34" i="1"/>
  <c r="W34" i="1"/>
  <c r="Q35" i="1"/>
  <c r="T34" i="1"/>
  <c r="E70" i="4" l="1"/>
  <c r="F69" i="4" s="1"/>
  <c r="G68" i="4" s="1"/>
  <c r="D72" i="4"/>
  <c r="E33" i="3"/>
  <c r="F32" i="3" s="1"/>
  <c r="G31" i="3" s="1"/>
  <c r="D35" i="3"/>
  <c r="P35" i="1"/>
  <c r="S34" i="1"/>
  <c r="V34" i="1"/>
  <c r="W35" i="1"/>
  <c r="Q36" i="1"/>
  <c r="T35" i="1"/>
  <c r="E71" i="4" l="1"/>
  <c r="F70" i="4" s="1"/>
  <c r="G69" i="4" s="1"/>
  <c r="D73" i="4"/>
  <c r="E34" i="3"/>
  <c r="F33" i="3" s="1"/>
  <c r="G32" i="3" s="1"/>
  <c r="D36" i="3"/>
  <c r="T36" i="1"/>
  <c r="W36" i="1"/>
  <c r="Q37" i="1"/>
  <c r="V35" i="1"/>
  <c r="P36" i="1"/>
  <c r="S35" i="1"/>
  <c r="E72" i="4" l="1"/>
  <c r="F71" i="4" s="1"/>
  <c r="G70" i="4" s="1"/>
  <c r="D74" i="4"/>
  <c r="E35" i="3"/>
  <c r="F34" i="3" s="1"/>
  <c r="G33" i="3" s="1"/>
  <c r="D37" i="3"/>
  <c r="Q38" i="1"/>
  <c r="T37" i="1"/>
  <c r="W37" i="1"/>
  <c r="V36" i="1"/>
  <c r="P37" i="1"/>
  <c r="S36" i="1"/>
  <c r="E73" i="4" l="1"/>
  <c r="F72" i="4" s="1"/>
  <c r="G71" i="4" s="1"/>
  <c r="D75" i="4"/>
  <c r="E36" i="3"/>
  <c r="F35" i="3" s="1"/>
  <c r="G34" i="3" s="1"/>
  <c r="D38" i="3"/>
  <c r="S37" i="1"/>
  <c r="V37" i="1"/>
  <c r="P38" i="1"/>
  <c r="W38" i="1"/>
  <c r="Q39" i="1"/>
  <c r="T38" i="1"/>
  <c r="E74" i="4" l="1"/>
  <c r="F73" i="4" s="1"/>
  <c r="G72" i="4" s="1"/>
  <c r="D76" i="4"/>
  <c r="E37" i="3"/>
  <c r="F36" i="3" s="1"/>
  <c r="G35" i="3" s="1"/>
  <c r="D39" i="3"/>
  <c r="P39" i="1"/>
  <c r="S38" i="1"/>
  <c r="V38" i="1"/>
  <c r="W39" i="1"/>
  <c r="Q40" i="1"/>
  <c r="T39" i="1"/>
  <c r="E75" i="4" l="1"/>
  <c r="F74" i="4" s="1"/>
  <c r="G73" i="4" s="1"/>
  <c r="D77" i="4"/>
  <c r="E38" i="3"/>
  <c r="F37" i="3" s="1"/>
  <c r="G36" i="3" s="1"/>
  <c r="D40" i="3"/>
  <c r="T40" i="1"/>
  <c r="W40" i="1"/>
  <c r="Q41" i="1"/>
  <c r="V39" i="1"/>
  <c r="P40" i="1"/>
  <c r="S39" i="1"/>
  <c r="E76" i="4" l="1"/>
  <c r="F75" i="4" s="1"/>
  <c r="G74" i="4" s="1"/>
  <c r="D78" i="4"/>
  <c r="E39" i="3"/>
  <c r="F38" i="3" s="1"/>
  <c r="G37" i="3" s="1"/>
  <c r="D41" i="3"/>
  <c r="Q42" i="1"/>
  <c r="T41" i="1"/>
  <c r="W41" i="1"/>
  <c r="V40" i="1"/>
  <c r="P41" i="1"/>
  <c r="S40" i="1"/>
  <c r="E77" i="4" l="1"/>
  <c r="F76" i="4" s="1"/>
  <c r="G75" i="4" s="1"/>
  <c r="D79" i="4"/>
  <c r="E40" i="3"/>
  <c r="F39" i="3" s="1"/>
  <c r="G38" i="3" s="1"/>
  <c r="D42" i="3"/>
  <c r="S41" i="1"/>
  <c r="V41" i="1"/>
  <c r="P42" i="1"/>
  <c r="W42" i="1"/>
  <c r="Q43" i="1"/>
  <c r="T42" i="1"/>
  <c r="E78" i="4" l="1"/>
  <c r="F77" i="4" s="1"/>
  <c r="G76" i="4" s="1"/>
  <c r="D80" i="4"/>
  <c r="E41" i="3"/>
  <c r="F40" i="3" s="1"/>
  <c r="G39" i="3" s="1"/>
  <c r="D43" i="3"/>
  <c r="P43" i="1"/>
  <c r="S42" i="1"/>
  <c r="V42" i="1"/>
  <c r="W43" i="1"/>
  <c r="Q44" i="1"/>
  <c r="T43" i="1"/>
  <c r="E79" i="4" l="1"/>
  <c r="F78" i="4" s="1"/>
  <c r="G77" i="4" s="1"/>
  <c r="D81" i="4"/>
  <c r="E42" i="3"/>
  <c r="F41" i="3" s="1"/>
  <c r="G40" i="3" s="1"/>
  <c r="D44" i="3"/>
  <c r="T44" i="1"/>
  <c r="W44" i="1"/>
  <c r="Q45" i="1"/>
  <c r="V43" i="1"/>
  <c r="P44" i="1"/>
  <c r="S43" i="1"/>
  <c r="E80" i="4" l="1"/>
  <c r="F79" i="4" s="1"/>
  <c r="G78" i="4" s="1"/>
  <c r="D82" i="4"/>
  <c r="E43" i="3"/>
  <c r="F42" i="3" s="1"/>
  <c r="G41" i="3" s="1"/>
  <c r="D45" i="3"/>
  <c r="Q46" i="1"/>
  <c r="T45" i="1"/>
  <c r="W45" i="1"/>
  <c r="V44" i="1"/>
  <c r="P45" i="1"/>
  <c r="S44" i="1"/>
  <c r="E81" i="4" l="1"/>
  <c r="F80" i="4" s="1"/>
  <c r="G79" i="4" s="1"/>
  <c r="D83" i="4"/>
  <c r="E44" i="3"/>
  <c r="F43" i="3" s="1"/>
  <c r="G42" i="3" s="1"/>
  <c r="D46" i="3"/>
  <c r="S45" i="1"/>
  <c r="V45" i="1"/>
  <c r="P46" i="1"/>
  <c r="W46" i="1"/>
  <c r="Q47" i="1"/>
  <c r="T46" i="1"/>
  <c r="E82" i="4" l="1"/>
  <c r="F81" i="4" s="1"/>
  <c r="G80" i="4" s="1"/>
  <c r="D84" i="4"/>
  <c r="E45" i="3"/>
  <c r="F44" i="3" s="1"/>
  <c r="G43" i="3" s="1"/>
  <c r="D47" i="3"/>
  <c r="P47" i="1"/>
  <c r="S46" i="1"/>
  <c r="V46" i="1"/>
  <c r="W47" i="1"/>
  <c r="Q48" i="1"/>
  <c r="T47" i="1"/>
  <c r="E83" i="4" l="1"/>
  <c r="F82" i="4" s="1"/>
  <c r="G81" i="4" s="1"/>
  <c r="D85" i="4"/>
  <c r="E46" i="3"/>
  <c r="F45" i="3" s="1"/>
  <c r="G44" i="3" s="1"/>
  <c r="D48" i="3"/>
  <c r="T48" i="1"/>
  <c r="W48" i="1"/>
  <c r="Q49" i="1"/>
  <c r="V47" i="1"/>
  <c r="P48" i="1"/>
  <c r="S47" i="1"/>
  <c r="E84" i="4" l="1"/>
  <c r="F83" i="4" s="1"/>
  <c r="G82" i="4" s="1"/>
  <c r="D86" i="4"/>
  <c r="E47" i="3"/>
  <c r="F46" i="3" s="1"/>
  <c r="G45" i="3" s="1"/>
  <c r="D49" i="3"/>
  <c r="Q50" i="1"/>
  <c r="T49" i="1"/>
  <c r="W49" i="1"/>
  <c r="V48" i="1"/>
  <c r="P49" i="1"/>
  <c r="S48" i="1"/>
  <c r="E85" i="4" l="1"/>
  <c r="F84" i="4" s="1"/>
  <c r="G83" i="4" s="1"/>
  <c r="D87" i="4"/>
  <c r="E48" i="3"/>
  <c r="F47" i="3" s="1"/>
  <c r="G46" i="3" s="1"/>
  <c r="D50" i="3"/>
  <c r="S49" i="1"/>
  <c r="V49" i="1"/>
  <c r="P50" i="1"/>
  <c r="W50" i="1"/>
  <c r="Q51" i="1"/>
  <c r="T50" i="1"/>
  <c r="E86" i="4" l="1"/>
  <c r="F85" i="4" s="1"/>
  <c r="G84" i="4" s="1"/>
  <c r="D88" i="4"/>
  <c r="E49" i="3"/>
  <c r="F48" i="3" s="1"/>
  <c r="G47" i="3" s="1"/>
  <c r="D51" i="3"/>
  <c r="P51" i="1"/>
  <c r="S50" i="1"/>
  <c r="V50" i="1"/>
  <c r="W51" i="1"/>
  <c r="Q52" i="1"/>
  <c r="T51" i="1"/>
  <c r="E87" i="4" l="1"/>
  <c r="F86" i="4" s="1"/>
  <c r="G85" i="4" s="1"/>
  <c r="D89" i="4"/>
  <c r="E50" i="3"/>
  <c r="F49" i="3" s="1"/>
  <c r="G48" i="3" s="1"/>
  <c r="D52" i="3"/>
  <c r="T52" i="1"/>
  <c r="W52" i="1"/>
  <c r="Q53" i="1"/>
  <c r="V51" i="1"/>
  <c r="P52" i="1"/>
  <c r="S51" i="1"/>
  <c r="E88" i="4" l="1"/>
  <c r="F87" i="4" s="1"/>
  <c r="G86" i="4" s="1"/>
  <c r="D90" i="4"/>
  <c r="E51" i="3"/>
  <c r="F50" i="3" s="1"/>
  <c r="G49" i="3" s="1"/>
  <c r="D53" i="3"/>
  <c r="Q54" i="1"/>
  <c r="T53" i="1"/>
  <c r="W53" i="1"/>
  <c r="V52" i="1"/>
  <c r="P53" i="1"/>
  <c r="S52" i="1"/>
  <c r="E89" i="4" l="1"/>
  <c r="F88" i="4" s="1"/>
  <c r="G87" i="4" s="1"/>
  <c r="D91" i="4"/>
  <c r="E52" i="3"/>
  <c r="F51" i="3" s="1"/>
  <c r="G50" i="3" s="1"/>
  <c r="D54" i="3"/>
  <c r="S53" i="1"/>
  <c r="V53" i="1"/>
  <c r="P54" i="1"/>
  <c r="W54" i="1"/>
  <c r="Q55" i="1"/>
  <c r="T54" i="1"/>
  <c r="D92" i="4" l="1"/>
  <c r="E90" i="4"/>
  <c r="F89" i="4" s="1"/>
  <c r="G88" i="4" s="1"/>
  <c r="E53" i="3"/>
  <c r="F52" i="3" s="1"/>
  <c r="G51" i="3" s="1"/>
  <c r="D55" i="3"/>
  <c r="P55" i="1"/>
  <c r="S54" i="1"/>
  <c r="V54" i="1"/>
  <c r="W55" i="1"/>
  <c r="Q56" i="1"/>
  <c r="T55" i="1"/>
  <c r="D93" i="4" l="1"/>
  <c r="E91" i="4"/>
  <c r="F90" i="4" s="1"/>
  <c r="G89" i="4" s="1"/>
  <c r="E54" i="3"/>
  <c r="F53" i="3" s="1"/>
  <c r="G52" i="3" s="1"/>
  <c r="D56" i="3"/>
  <c r="T56" i="1"/>
  <c r="W56" i="1"/>
  <c r="Q57" i="1"/>
  <c r="V55" i="1"/>
  <c r="P56" i="1"/>
  <c r="S55" i="1"/>
  <c r="D94" i="4" l="1"/>
  <c r="E92" i="4"/>
  <c r="F91" i="4" s="1"/>
  <c r="G90" i="4" s="1"/>
  <c r="E55" i="3"/>
  <c r="F54" i="3" s="1"/>
  <c r="G53" i="3" s="1"/>
  <c r="D57" i="3"/>
  <c r="Q58" i="1"/>
  <c r="T57" i="1"/>
  <c r="W57" i="1"/>
  <c r="V56" i="1"/>
  <c r="P57" i="1"/>
  <c r="S56" i="1"/>
  <c r="D95" i="4" l="1"/>
  <c r="E93" i="4"/>
  <c r="F92" i="4" s="1"/>
  <c r="G91" i="4" s="1"/>
  <c r="E56" i="3"/>
  <c r="F55" i="3" s="1"/>
  <c r="G54" i="3" s="1"/>
  <c r="D58" i="3"/>
  <c r="S57" i="1"/>
  <c r="V57" i="1"/>
  <c r="P58" i="1"/>
  <c r="W58" i="1"/>
  <c r="Q59" i="1"/>
  <c r="T58" i="1"/>
  <c r="D96" i="4" l="1"/>
  <c r="E94" i="4"/>
  <c r="F93" i="4" s="1"/>
  <c r="G92" i="4" s="1"/>
  <c r="E57" i="3"/>
  <c r="F56" i="3" s="1"/>
  <c r="G55" i="3" s="1"/>
  <c r="D59" i="3"/>
  <c r="P59" i="1"/>
  <c r="S58" i="1"/>
  <c r="V58" i="1"/>
  <c r="W59" i="1"/>
  <c r="Q60" i="1"/>
  <c r="T59" i="1"/>
  <c r="D97" i="4" l="1"/>
  <c r="E95" i="4"/>
  <c r="F94" i="4" s="1"/>
  <c r="G93" i="4" s="1"/>
  <c r="E58" i="3"/>
  <c r="F57" i="3" s="1"/>
  <c r="G56" i="3" s="1"/>
  <c r="D60" i="3"/>
  <c r="T60" i="1"/>
  <c r="W60" i="1"/>
  <c r="Q61" i="1"/>
  <c r="V59" i="1"/>
  <c r="P60" i="1"/>
  <c r="S59" i="1"/>
  <c r="D98" i="4" l="1"/>
  <c r="E96" i="4"/>
  <c r="F95" i="4" s="1"/>
  <c r="G94" i="4" s="1"/>
  <c r="E59" i="3"/>
  <c r="F58" i="3" s="1"/>
  <c r="G57" i="3" s="1"/>
  <c r="D61" i="3"/>
  <c r="T61" i="1"/>
  <c r="W61" i="1"/>
  <c r="Q62" i="1"/>
  <c r="V60" i="1"/>
  <c r="P61" i="1"/>
  <c r="S60" i="1"/>
  <c r="D99" i="4" l="1"/>
  <c r="E97" i="4"/>
  <c r="F96" i="4" s="1"/>
  <c r="G95" i="4" s="1"/>
  <c r="E60" i="3"/>
  <c r="F59" i="3" s="1"/>
  <c r="G58" i="3" s="1"/>
  <c r="D62" i="3"/>
  <c r="W62" i="1"/>
  <c r="Q63" i="1"/>
  <c r="T62" i="1"/>
  <c r="S61" i="1"/>
  <c r="V61" i="1"/>
  <c r="P62" i="1"/>
  <c r="D100" i="4" l="1"/>
  <c r="E98" i="4"/>
  <c r="F97" i="4" s="1"/>
  <c r="G96" i="4" s="1"/>
  <c r="E61" i="3"/>
  <c r="F60" i="3" s="1"/>
  <c r="G59" i="3" s="1"/>
  <c r="D63" i="3"/>
  <c r="S62" i="1"/>
  <c r="V62" i="1"/>
  <c r="P63" i="1"/>
  <c r="T63" i="1"/>
  <c r="W63" i="1"/>
  <c r="Q64" i="1"/>
  <c r="D101" i="4" l="1"/>
  <c r="E99" i="4"/>
  <c r="F98" i="4" s="1"/>
  <c r="G97" i="4" s="1"/>
  <c r="E62" i="3"/>
  <c r="F61" i="3" s="1"/>
  <c r="G60" i="3" s="1"/>
  <c r="D64" i="3"/>
  <c r="V63" i="1"/>
  <c r="P64" i="1"/>
  <c r="S63" i="1"/>
  <c r="Q65" i="1"/>
  <c r="T64" i="1"/>
  <c r="W64" i="1"/>
  <c r="D102" i="4" l="1"/>
  <c r="E100" i="4"/>
  <c r="F99" i="4" s="1"/>
  <c r="G98" i="4" s="1"/>
  <c r="E63" i="3"/>
  <c r="F62" i="3" s="1"/>
  <c r="G61" i="3" s="1"/>
  <c r="D65" i="3"/>
  <c r="S64" i="1"/>
  <c r="V64" i="1"/>
  <c r="P65" i="1"/>
  <c r="W65" i="1"/>
  <c r="Q66" i="1"/>
  <c r="T65" i="1"/>
  <c r="D103" i="4" l="1"/>
  <c r="E101" i="4"/>
  <c r="F100" i="4" s="1"/>
  <c r="G99" i="4" s="1"/>
  <c r="E64" i="3"/>
  <c r="F63" i="3" s="1"/>
  <c r="G62" i="3" s="1"/>
  <c r="D66" i="3"/>
  <c r="W66" i="1"/>
  <c r="Q67" i="1"/>
  <c r="T66" i="1"/>
  <c r="P66" i="1"/>
  <c r="S65" i="1"/>
  <c r="V65" i="1"/>
  <c r="D104" i="4" l="1"/>
  <c r="E102" i="4"/>
  <c r="F101" i="4" s="1"/>
  <c r="G100" i="4" s="1"/>
  <c r="E65" i="3"/>
  <c r="F64" i="3" s="1"/>
  <c r="G63" i="3" s="1"/>
  <c r="D67" i="3"/>
  <c r="V66" i="1"/>
  <c r="P67" i="1"/>
  <c r="S66" i="1"/>
  <c r="T67" i="1"/>
  <c r="W67" i="1"/>
  <c r="Q68" i="1"/>
  <c r="D105" i="4" l="1"/>
  <c r="E103" i="4"/>
  <c r="F102" i="4" s="1"/>
  <c r="G101" i="4" s="1"/>
  <c r="E66" i="3"/>
  <c r="F65" i="3" s="1"/>
  <c r="G64" i="3" s="1"/>
  <c r="D68" i="3"/>
  <c r="Q69" i="1"/>
  <c r="T68" i="1"/>
  <c r="W68" i="1"/>
  <c r="V67" i="1"/>
  <c r="P68" i="1"/>
  <c r="S67" i="1"/>
  <c r="D106" i="4" l="1"/>
  <c r="E104" i="4"/>
  <c r="F103" i="4" s="1"/>
  <c r="G102" i="4" s="1"/>
  <c r="E67" i="3"/>
  <c r="F66" i="3" s="1"/>
  <c r="G65" i="3" s="1"/>
  <c r="D69" i="3"/>
  <c r="S68" i="1"/>
  <c r="V68" i="1"/>
  <c r="P69" i="1"/>
  <c r="W69" i="1"/>
  <c r="Q70" i="1"/>
  <c r="T69" i="1"/>
  <c r="D107" i="4" l="1"/>
  <c r="E105" i="4"/>
  <c r="F104" i="4" s="1"/>
  <c r="G103" i="4" s="1"/>
  <c r="E68" i="3"/>
  <c r="F67" i="3" s="1"/>
  <c r="G66" i="3" s="1"/>
  <c r="D70" i="3"/>
  <c r="P70" i="1"/>
  <c r="S69" i="1"/>
  <c r="V69" i="1"/>
  <c r="W70" i="1"/>
  <c r="Q71" i="1"/>
  <c r="T70" i="1"/>
  <c r="D108" i="4" l="1"/>
  <c r="E106" i="4"/>
  <c r="F105" i="4" s="1"/>
  <c r="G104" i="4" s="1"/>
  <c r="E69" i="3"/>
  <c r="F68" i="3" s="1"/>
  <c r="G67" i="3" s="1"/>
  <c r="D71" i="3"/>
  <c r="T71" i="1"/>
  <c r="W71" i="1"/>
  <c r="Q72" i="1"/>
  <c r="V70" i="1"/>
  <c r="P71" i="1"/>
  <c r="S70" i="1"/>
  <c r="D109" i="4" l="1"/>
  <c r="E107" i="4"/>
  <c r="F106" i="4" s="1"/>
  <c r="G105" i="4" s="1"/>
  <c r="E70" i="3"/>
  <c r="F69" i="3" s="1"/>
  <c r="G68" i="3" s="1"/>
  <c r="D72" i="3"/>
  <c r="Q73" i="1"/>
  <c r="T72" i="1"/>
  <c r="W72" i="1"/>
  <c r="V71" i="1"/>
  <c r="P72" i="1"/>
  <c r="S71" i="1"/>
  <c r="D110" i="4" l="1"/>
  <c r="E108" i="4"/>
  <c r="F107" i="4" s="1"/>
  <c r="G106" i="4" s="1"/>
  <c r="E71" i="3"/>
  <c r="F70" i="3" s="1"/>
  <c r="G69" i="3" s="1"/>
  <c r="D73" i="3"/>
  <c r="S72" i="1"/>
  <c r="V72" i="1"/>
  <c r="P73" i="1"/>
  <c r="W73" i="1"/>
  <c r="Q74" i="1"/>
  <c r="T73" i="1"/>
  <c r="D111" i="4" l="1"/>
  <c r="E109" i="4"/>
  <c r="F108" i="4" s="1"/>
  <c r="G107" i="4" s="1"/>
  <c r="E72" i="3"/>
  <c r="F71" i="3" s="1"/>
  <c r="G70" i="3" s="1"/>
  <c r="D74" i="3"/>
  <c r="P74" i="1"/>
  <c r="S73" i="1"/>
  <c r="V73" i="1"/>
  <c r="W74" i="1"/>
  <c r="Q75" i="1"/>
  <c r="T74" i="1"/>
  <c r="D112" i="4" l="1"/>
  <c r="E110" i="4"/>
  <c r="F109" i="4" s="1"/>
  <c r="G108" i="4" s="1"/>
  <c r="E73" i="3"/>
  <c r="F72" i="3" s="1"/>
  <c r="G71" i="3" s="1"/>
  <c r="D75" i="3"/>
  <c r="T75" i="1"/>
  <c r="W75" i="1"/>
  <c r="Q76" i="1"/>
  <c r="V74" i="1"/>
  <c r="P75" i="1"/>
  <c r="S74" i="1"/>
  <c r="D113" i="4" l="1"/>
  <c r="E111" i="4"/>
  <c r="F110" i="4" s="1"/>
  <c r="G109" i="4" s="1"/>
  <c r="E74" i="3"/>
  <c r="F73" i="3" s="1"/>
  <c r="G72" i="3" s="1"/>
  <c r="D76" i="3"/>
  <c r="V75" i="1"/>
  <c r="P76" i="1"/>
  <c r="S75" i="1"/>
  <c r="Q77" i="1"/>
  <c r="T76" i="1"/>
  <c r="W76" i="1"/>
  <c r="D114" i="4" l="1"/>
  <c r="E112" i="4"/>
  <c r="F111" i="4" s="1"/>
  <c r="G110" i="4" s="1"/>
  <c r="E75" i="3"/>
  <c r="F74" i="3" s="1"/>
  <c r="G73" i="3" s="1"/>
  <c r="D77" i="3"/>
  <c r="W77" i="1"/>
  <c r="Q78" i="1"/>
  <c r="T77" i="1"/>
  <c r="S76" i="1"/>
  <c r="V76" i="1"/>
  <c r="P77" i="1"/>
  <c r="D115" i="4" l="1"/>
  <c r="E113" i="4"/>
  <c r="F112" i="4" s="1"/>
  <c r="G111" i="4" s="1"/>
  <c r="E76" i="3"/>
  <c r="F75" i="3" s="1"/>
  <c r="G74" i="3" s="1"/>
  <c r="D78" i="3"/>
  <c r="W78" i="1"/>
  <c r="Q79" i="1"/>
  <c r="T78" i="1"/>
  <c r="P78" i="1"/>
  <c r="S77" i="1"/>
  <c r="V77" i="1"/>
  <c r="D116" i="4" l="1"/>
  <c r="E114" i="4"/>
  <c r="F113" i="4" s="1"/>
  <c r="G112" i="4" s="1"/>
  <c r="E77" i="3"/>
  <c r="F76" i="3" s="1"/>
  <c r="G75" i="3" s="1"/>
  <c r="D79" i="3"/>
  <c r="V78" i="1"/>
  <c r="P79" i="1"/>
  <c r="S78" i="1"/>
  <c r="T79" i="1"/>
  <c r="W79" i="1"/>
  <c r="Q80" i="1"/>
  <c r="D117" i="4" l="1"/>
  <c r="E115" i="4"/>
  <c r="F114" i="4" s="1"/>
  <c r="G113" i="4" s="1"/>
  <c r="E78" i="3"/>
  <c r="F77" i="3" s="1"/>
  <c r="G76" i="3" s="1"/>
  <c r="D80" i="3"/>
  <c r="Q81" i="1"/>
  <c r="T80" i="1"/>
  <c r="W80" i="1"/>
  <c r="V79" i="1"/>
  <c r="P80" i="1"/>
  <c r="S79" i="1"/>
  <c r="D118" i="4" l="1"/>
  <c r="E116" i="4"/>
  <c r="F115" i="4" s="1"/>
  <c r="G114" i="4" s="1"/>
  <c r="E79" i="3"/>
  <c r="F78" i="3" s="1"/>
  <c r="G77" i="3" s="1"/>
  <c r="D81" i="3"/>
  <c r="S80" i="1"/>
  <c r="V80" i="1"/>
  <c r="P81" i="1"/>
  <c r="W81" i="1"/>
  <c r="Q82" i="1"/>
  <c r="T81" i="1"/>
  <c r="D119" i="4" l="1"/>
  <c r="E117" i="4"/>
  <c r="F116" i="4" s="1"/>
  <c r="G115" i="4" s="1"/>
  <c r="E80" i="3"/>
  <c r="F79" i="3" s="1"/>
  <c r="G78" i="3" s="1"/>
  <c r="D82" i="3"/>
  <c r="P82" i="1"/>
  <c r="S81" i="1"/>
  <c r="V81" i="1"/>
  <c r="W82" i="1"/>
  <c r="Q83" i="1"/>
  <c r="T82" i="1"/>
  <c r="D120" i="4" l="1"/>
  <c r="E118" i="4"/>
  <c r="F117" i="4" s="1"/>
  <c r="G116" i="4" s="1"/>
  <c r="E81" i="3"/>
  <c r="F80" i="3" s="1"/>
  <c r="G79" i="3" s="1"/>
  <c r="D83" i="3"/>
  <c r="T83" i="1"/>
  <c r="W83" i="1"/>
  <c r="Q84" i="1"/>
  <c r="V82" i="1"/>
  <c r="P83" i="1"/>
  <c r="S82" i="1"/>
  <c r="D121" i="4" l="1"/>
  <c r="E119" i="4"/>
  <c r="F118" i="4" s="1"/>
  <c r="G117" i="4" s="1"/>
  <c r="E82" i="3"/>
  <c r="F81" i="3" s="1"/>
  <c r="G80" i="3" s="1"/>
  <c r="D84" i="3"/>
  <c r="Q85" i="1"/>
  <c r="T84" i="1"/>
  <c r="W84" i="1"/>
  <c r="V83" i="1"/>
  <c r="P84" i="1"/>
  <c r="S83" i="1"/>
  <c r="D122" i="4" l="1"/>
  <c r="E120" i="4"/>
  <c r="F119" i="4" s="1"/>
  <c r="G118" i="4" s="1"/>
  <c r="E83" i="3"/>
  <c r="F82" i="3" s="1"/>
  <c r="G81" i="3" s="1"/>
  <c r="D85" i="3"/>
  <c r="S84" i="1"/>
  <c r="V84" i="1"/>
  <c r="P85" i="1"/>
  <c r="W85" i="1"/>
  <c r="Q86" i="1"/>
  <c r="T85" i="1"/>
  <c r="D123" i="4" l="1"/>
  <c r="E121" i="4"/>
  <c r="F120" i="4" s="1"/>
  <c r="G119" i="4" s="1"/>
  <c r="E84" i="3"/>
  <c r="F83" i="3" s="1"/>
  <c r="G82" i="3" s="1"/>
  <c r="D86" i="3"/>
  <c r="P86" i="1"/>
  <c r="S85" i="1"/>
  <c r="V85" i="1"/>
  <c r="W86" i="1"/>
  <c r="Q87" i="1"/>
  <c r="T86" i="1"/>
  <c r="D124" i="4" l="1"/>
  <c r="E122" i="4"/>
  <c r="F121" i="4" s="1"/>
  <c r="G120" i="4" s="1"/>
  <c r="E85" i="3"/>
  <c r="F84" i="3" s="1"/>
  <c r="G83" i="3" s="1"/>
  <c r="D87" i="3"/>
  <c r="T87" i="1"/>
  <c r="W87" i="1"/>
  <c r="Q88" i="1"/>
  <c r="V86" i="1"/>
  <c r="P87" i="1"/>
  <c r="S86" i="1"/>
  <c r="D125" i="4" l="1"/>
  <c r="E123" i="4"/>
  <c r="F122" i="4" s="1"/>
  <c r="G121" i="4" s="1"/>
  <c r="E86" i="3"/>
  <c r="F85" i="3" s="1"/>
  <c r="G84" i="3" s="1"/>
  <c r="D88" i="3"/>
  <c r="T88" i="1"/>
  <c r="Q89" i="1"/>
  <c r="W88" i="1"/>
  <c r="V87" i="1"/>
  <c r="P88" i="1"/>
  <c r="S87" i="1"/>
  <c r="D126" i="4" l="1"/>
  <c r="E124" i="4"/>
  <c r="F123" i="4" s="1"/>
  <c r="G122" i="4" s="1"/>
  <c r="E87" i="3"/>
  <c r="F86" i="3" s="1"/>
  <c r="G85" i="3" s="1"/>
  <c r="D89" i="3"/>
  <c r="V88" i="1"/>
  <c r="S88" i="1"/>
  <c r="P89" i="1"/>
  <c r="Q90" i="1"/>
  <c r="T89" i="1"/>
  <c r="W89" i="1"/>
  <c r="D127" i="4" l="1"/>
  <c r="E125" i="4"/>
  <c r="F124" i="4" s="1"/>
  <c r="G123" i="4" s="1"/>
  <c r="E88" i="3"/>
  <c r="F87" i="3" s="1"/>
  <c r="G86" i="3" s="1"/>
  <c r="D90" i="3"/>
  <c r="W90" i="1"/>
  <c r="Q91" i="1"/>
  <c r="T90" i="1"/>
  <c r="S89" i="1"/>
  <c r="V89" i="1"/>
  <c r="P90" i="1"/>
  <c r="D128" i="4" l="1"/>
  <c r="E126" i="4"/>
  <c r="F125" i="4" s="1"/>
  <c r="G124" i="4" s="1"/>
  <c r="E89" i="3"/>
  <c r="F88" i="3" s="1"/>
  <c r="G87" i="3" s="1"/>
  <c r="D91" i="3"/>
  <c r="P91" i="1"/>
  <c r="S90" i="1"/>
  <c r="V90" i="1"/>
  <c r="W91" i="1"/>
  <c r="T91" i="1"/>
  <c r="Q92" i="1"/>
  <c r="D129" i="4" l="1"/>
  <c r="E127" i="4"/>
  <c r="F126" i="4" s="1"/>
  <c r="G125" i="4" s="1"/>
  <c r="D92" i="3"/>
  <c r="E90" i="3"/>
  <c r="F89" i="3" s="1"/>
  <c r="G88" i="3" s="1"/>
  <c r="T92" i="1"/>
  <c r="Q93" i="1"/>
  <c r="W92" i="1"/>
  <c r="V91" i="1"/>
  <c r="P92" i="1"/>
  <c r="S91" i="1"/>
  <c r="D130" i="4" l="1"/>
  <c r="E128" i="4"/>
  <c r="F127" i="4" s="1"/>
  <c r="G126" i="4" s="1"/>
  <c r="D93" i="3"/>
  <c r="E91" i="3"/>
  <c r="F90" i="3" s="1"/>
  <c r="G89" i="3" s="1"/>
  <c r="Q94" i="1"/>
  <c r="T93" i="1"/>
  <c r="W93" i="1"/>
  <c r="V92" i="1"/>
  <c r="S92" i="1"/>
  <c r="P93" i="1"/>
  <c r="D131" i="4" l="1"/>
  <c r="E130" i="4" s="1"/>
  <c r="E129" i="4"/>
  <c r="F128" i="4" s="1"/>
  <c r="G127" i="4" s="1"/>
  <c r="D94" i="3"/>
  <c r="E92" i="3"/>
  <c r="F91" i="3" s="1"/>
  <c r="G90" i="3" s="1"/>
  <c r="S93" i="1"/>
  <c r="V93" i="1"/>
  <c r="P94" i="1"/>
  <c r="W94" i="1"/>
  <c r="Q95" i="1"/>
  <c r="T94" i="1"/>
  <c r="F129" i="4" l="1"/>
  <c r="G128" i="4" s="1"/>
  <c r="F130" i="4"/>
  <c r="D95" i="3"/>
  <c r="E93" i="3"/>
  <c r="F92" i="3" s="1"/>
  <c r="G91" i="3" s="1"/>
  <c r="P95" i="1"/>
  <c r="S94" i="1"/>
  <c r="V94" i="1"/>
  <c r="W95" i="1"/>
  <c r="T95" i="1"/>
  <c r="Q96" i="1"/>
  <c r="G129" i="4" l="1"/>
  <c r="G130" i="4"/>
  <c r="D96" i="3"/>
  <c r="E94" i="3"/>
  <c r="F93" i="3" s="1"/>
  <c r="G92" i="3" s="1"/>
  <c r="T96" i="1"/>
  <c r="Q97" i="1"/>
  <c r="W96" i="1"/>
  <c r="V95" i="1"/>
  <c r="P96" i="1"/>
  <c r="S95" i="1"/>
  <c r="D97" i="3" l="1"/>
  <c r="E95" i="3"/>
  <c r="F94" i="3" s="1"/>
  <c r="G93" i="3" s="1"/>
  <c r="Q98" i="1"/>
  <c r="T97" i="1"/>
  <c r="W97" i="1"/>
  <c r="V96" i="1"/>
  <c r="S96" i="1"/>
  <c r="P97" i="1"/>
  <c r="D98" i="3" l="1"/>
  <c r="E96" i="3"/>
  <c r="F95" i="3" s="1"/>
  <c r="G94" i="3" s="1"/>
  <c r="S97" i="1"/>
  <c r="V97" i="1"/>
  <c r="P98" i="1"/>
  <c r="W98" i="1"/>
  <c r="Q99" i="1"/>
  <c r="T98" i="1"/>
  <c r="D99" i="3" l="1"/>
  <c r="E97" i="3"/>
  <c r="F96" i="3" s="1"/>
  <c r="G95" i="3" s="1"/>
  <c r="P99" i="1"/>
  <c r="S98" i="1"/>
  <c r="V98" i="1"/>
  <c r="W99" i="1"/>
  <c r="T99" i="1"/>
  <c r="Q100" i="1"/>
  <c r="D100" i="3" l="1"/>
  <c r="E98" i="3"/>
  <c r="F97" i="3" s="1"/>
  <c r="G96" i="3" s="1"/>
  <c r="T100" i="1"/>
  <c r="Q101" i="1"/>
  <c r="W100" i="1"/>
  <c r="V99" i="1"/>
  <c r="P100" i="1"/>
  <c r="S99" i="1"/>
  <c r="D101" i="3" l="1"/>
  <c r="E99" i="3"/>
  <c r="F98" i="3" s="1"/>
  <c r="G97" i="3" s="1"/>
  <c r="W101" i="1"/>
  <c r="Q102" i="1"/>
  <c r="T101" i="1"/>
  <c r="S100" i="1"/>
  <c r="V100" i="1"/>
  <c r="P101" i="1"/>
  <c r="D102" i="3" l="1"/>
  <c r="E100" i="3"/>
  <c r="F99" i="3" s="1"/>
  <c r="G98" i="3" s="1"/>
  <c r="P102" i="1"/>
  <c r="S101" i="1"/>
  <c r="V101" i="1"/>
  <c r="W102" i="1"/>
  <c r="Q103" i="1"/>
  <c r="T102" i="1"/>
  <c r="D103" i="3" l="1"/>
  <c r="E101" i="3"/>
  <c r="F100" i="3" s="1"/>
  <c r="G99" i="3" s="1"/>
  <c r="T103" i="1"/>
  <c r="W103" i="1"/>
  <c r="Q104" i="1"/>
  <c r="V102" i="1"/>
  <c r="P103" i="1"/>
  <c r="S102" i="1"/>
  <c r="D104" i="3" l="1"/>
  <c r="E102" i="3"/>
  <c r="F101" i="3" s="1"/>
  <c r="G100" i="3" s="1"/>
  <c r="Q105" i="1"/>
  <c r="T104" i="1"/>
  <c r="W104" i="1"/>
  <c r="V103" i="1"/>
  <c r="P104" i="1"/>
  <c r="S103" i="1"/>
  <c r="D105" i="3" l="1"/>
  <c r="E103" i="3"/>
  <c r="F102" i="3" s="1"/>
  <c r="G101" i="3" s="1"/>
  <c r="S104" i="1"/>
  <c r="V104" i="1"/>
  <c r="P105" i="1"/>
  <c r="W105" i="1"/>
  <c r="Q106" i="1"/>
  <c r="T105" i="1"/>
  <c r="D106" i="3" l="1"/>
  <c r="E104" i="3"/>
  <c r="F103" i="3" s="1"/>
  <c r="G102" i="3" s="1"/>
  <c r="P106" i="1"/>
  <c r="S105" i="1"/>
  <c r="V105" i="1"/>
  <c r="W106" i="1"/>
  <c r="Q107" i="1"/>
  <c r="T106" i="1"/>
  <c r="D107" i="3" l="1"/>
  <c r="E105" i="3"/>
  <c r="F104" i="3" s="1"/>
  <c r="G103" i="3" s="1"/>
  <c r="T107" i="1"/>
  <c r="W107" i="1"/>
  <c r="Q108" i="1"/>
  <c r="V106" i="1"/>
  <c r="P107" i="1"/>
  <c r="S106" i="1"/>
  <c r="D108" i="3" l="1"/>
  <c r="E106" i="3"/>
  <c r="F105" i="3" s="1"/>
  <c r="G104" i="3" s="1"/>
  <c r="Q109" i="1"/>
  <c r="T108" i="1"/>
  <c r="W108" i="1"/>
  <c r="V107" i="1"/>
  <c r="P108" i="1"/>
  <c r="S107" i="1"/>
  <c r="D109" i="3" l="1"/>
  <c r="E107" i="3"/>
  <c r="F106" i="3" s="1"/>
  <c r="G105" i="3" s="1"/>
  <c r="S108" i="1"/>
  <c r="V108" i="1"/>
  <c r="P109" i="1"/>
  <c r="W109" i="1"/>
  <c r="Q110" i="1"/>
  <c r="T109" i="1"/>
  <c r="D110" i="3" l="1"/>
  <c r="E108" i="3"/>
  <c r="F107" i="3" s="1"/>
  <c r="G106" i="3" s="1"/>
  <c r="P110" i="1"/>
  <c r="S109" i="1"/>
  <c r="V109" i="1"/>
  <c r="W110" i="1"/>
  <c r="Q111" i="1"/>
  <c r="T110" i="1"/>
  <c r="D111" i="3" l="1"/>
  <c r="E109" i="3"/>
  <c r="F108" i="3" s="1"/>
  <c r="G107" i="3" s="1"/>
  <c r="T111" i="1"/>
  <c r="W111" i="1"/>
  <c r="Q112" i="1"/>
  <c r="V110" i="1"/>
  <c r="P111" i="1"/>
  <c r="S110" i="1"/>
  <c r="D112" i="3" l="1"/>
  <c r="E110" i="3"/>
  <c r="F109" i="3" s="1"/>
  <c r="G108" i="3" s="1"/>
  <c r="Q113" i="1"/>
  <c r="T112" i="1"/>
  <c r="W112" i="1"/>
  <c r="V111" i="1"/>
  <c r="P112" i="1"/>
  <c r="S111" i="1"/>
  <c r="D113" i="3" l="1"/>
  <c r="E111" i="3"/>
  <c r="F110" i="3" s="1"/>
  <c r="G109" i="3" s="1"/>
  <c r="S112" i="1"/>
  <c r="V112" i="1"/>
  <c r="P113" i="1"/>
  <c r="W113" i="1"/>
  <c r="Q114" i="1"/>
  <c r="T113" i="1"/>
  <c r="D114" i="3" l="1"/>
  <c r="E112" i="3"/>
  <c r="F111" i="3" s="1"/>
  <c r="G110" i="3" s="1"/>
  <c r="W114" i="1"/>
  <c r="Q115" i="1"/>
  <c r="T114" i="1"/>
  <c r="P114" i="1"/>
  <c r="S113" i="1"/>
  <c r="V113" i="1"/>
  <c r="D115" i="3" l="1"/>
  <c r="E113" i="3"/>
  <c r="F112" i="3" s="1"/>
  <c r="G111" i="3" s="1"/>
  <c r="V114" i="1"/>
  <c r="P115" i="1"/>
  <c r="S114" i="1"/>
  <c r="T115" i="1"/>
  <c r="W115" i="1"/>
  <c r="Q116" i="1"/>
  <c r="D116" i="3" l="1"/>
  <c r="E114" i="3"/>
  <c r="F113" i="3" s="1"/>
  <c r="G112" i="3" s="1"/>
  <c r="Q117" i="1"/>
  <c r="T116" i="1"/>
  <c r="W116" i="1"/>
  <c r="V115" i="1"/>
  <c r="P116" i="1"/>
  <c r="S115" i="1"/>
  <c r="D117" i="3" l="1"/>
  <c r="E115" i="3"/>
  <c r="F114" i="3" s="1"/>
  <c r="G113" i="3" s="1"/>
  <c r="S116" i="1"/>
  <c r="V116" i="1"/>
  <c r="P117" i="1"/>
  <c r="W117" i="1"/>
  <c r="Q118" i="1"/>
  <c r="T117" i="1"/>
  <c r="D118" i="3" l="1"/>
  <c r="E116" i="3"/>
  <c r="F115" i="3" s="1"/>
  <c r="G114" i="3" s="1"/>
  <c r="P118" i="1"/>
  <c r="S117" i="1"/>
  <c r="V117" i="1"/>
  <c r="W118" i="1"/>
  <c r="Q119" i="1"/>
  <c r="T118" i="1"/>
  <c r="D119" i="3" l="1"/>
  <c r="E117" i="3"/>
  <c r="F116" i="3" s="1"/>
  <c r="G115" i="3" s="1"/>
  <c r="T119" i="1"/>
  <c r="W119" i="1"/>
  <c r="Q120" i="1"/>
  <c r="V118" i="1"/>
  <c r="P119" i="1"/>
  <c r="S118" i="1"/>
  <c r="D120" i="3" l="1"/>
  <c r="E118" i="3"/>
  <c r="F117" i="3" s="1"/>
  <c r="G116" i="3" s="1"/>
  <c r="Q121" i="1"/>
  <c r="T120" i="1"/>
  <c r="W120" i="1"/>
  <c r="V119" i="1"/>
  <c r="P120" i="1"/>
  <c r="S119" i="1"/>
  <c r="D121" i="3" l="1"/>
  <c r="E119" i="3"/>
  <c r="F118" i="3" s="1"/>
  <c r="G117" i="3" s="1"/>
  <c r="S120" i="1"/>
  <c r="V120" i="1"/>
  <c r="P121" i="1"/>
  <c r="W121" i="1"/>
  <c r="Q122" i="1"/>
  <c r="T121" i="1"/>
  <c r="D122" i="3" l="1"/>
  <c r="E120" i="3"/>
  <c r="F119" i="3" s="1"/>
  <c r="G118" i="3" s="1"/>
  <c r="P122" i="1"/>
  <c r="S121" i="1"/>
  <c r="V121" i="1"/>
  <c r="W122" i="1"/>
  <c r="Q123" i="1"/>
  <c r="T122" i="1"/>
  <c r="D123" i="3" l="1"/>
  <c r="E121" i="3"/>
  <c r="F120" i="3" s="1"/>
  <c r="G119" i="3" s="1"/>
  <c r="T123" i="1"/>
  <c r="W123" i="1"/>
  <c r="Q124" i="1"/>
  <c r="V122" i="1"/>
  <c r="P123" i="1"/>
  <c r="S122" i="1"/>
  <c r="D124" i="3" l="1"/>
  <c r="E122" i="3"/>
  <c r="F121" i="3" s="1"/>
  <c r="G120" i="3" s="1"/>
  <c r="Q125" i="1"/>
  <c r="T124" i="1"/>
  <c r="W124" i="1"/>
  <c r="V123" i="1"/>
  <c r="P124" i="1"/>
  <c r="S123" i="1"/>
  <c r="D125" i="3" l="1"/>
  <c r="E123" i="3"/>
  <c r="F122" i="3" s="1"/>
  <c r="G121" i="3" s="1"/>
  <c r="S124" i="1"/>
  <c r="V124" i="1"/>
  <c r="P125" i="1"/>
  <c r="W125" i="1"/>
  <c r="Q126" i="1"/>
  <c r="T125" i="1"/>
  <c r="D126" i="3" l="1"/>
  <c r="E124" i="3"/>
  <c r="F123" i="3" s="1"/>
  <c r="G122" i="3" s="1"/>
  <c r="P126" i="1"/>
  <c r="S125" i="1"/>
  <c r="V125" i="1"/>
  <c r="W126" i="1"/>
  <c r="Q127" i="1"/>
  <c r="T126" i="1"/>
  <c r="D127" i="3" l="1"/>
  <c r="E125" i="3"/>
  <c r="F124" i="3" s="1"/>
  <c r="G123" i="3" s="1"/>
  <c r="T127" i="1"/>
  <c r="W127" i="1"/>
  <c r="Q128" i="1"/>
  <c r="V126" i="1"/>
  <c r="P127" i="1"/>
  <c r="S126" i="1"/>
  <c r="D128" i="3" l="1"/>
  <c r="E126" i="3"/>
  <c r="F125" i="3" s="1"/>
  <c r="G124" i="3" s="1"/>
  <c r="Q129" i="1"/>
  <c r="T128" i="1"/>
  <c r="W128" i="1"/>
  <c r="V127" i="1"/>
  <c r="P128" i="1"/>
  <c r="S127" i="1"/>
  <c r="D129" i="3" l="1"/>
  <c r="E127" i="3"/>
  <c r="F126" i="3" s="1"/>
  <c r="G125" i="3" s="1"/>
  <c r="S128" i="1"/>
  <c r="V128" i="1"/>
  <c r="P129" i="1"/>
  <c r="W129" i="1"/>
  <c r="Q130" i="1"/>
  <c r="T129" i="1"/>
  <c r="D130" i="3" l="1"/>
  <c r="E128" i="3"/>
  <c r="F127" i="3" s="1"/>
  <c r="G126" i="3" s="1"/>
  <c r="P130" i="1"/>
  <c r="S129" i="1"/>
  <c r="V129" i="1"/>
  <c r="W130" i="1"/>
  <c r="Q131" i="1"/>
  <c r="T130" i="1"/>
  <c r="D131" i="3" l="1"/>
  <c r="E130" i="3" s="1"/>
  <c r="E129" i="3"/>
  <c r="F128" i="3" s="1"/>
  <c r="G127" i="3" s="1"/>
  <c r="T131" i="1"/>
  <c r="W131" i="1"/>
  <c r="V130" i="1"/>
  <c r="P131" i="1"/>
  <c r="S130" i="1"/>
  <c r="F129" i="3" l="1"/>
  <c r="G128" i="3" s="1"/>
  <c r="F130" i="3"/>
  <c r="V131" i="1"/>
  <c r="S131" i="1"/>
  <c r="G129" i="3" l="1"/>
  <c r="G130" i="3"/>
  <c r="C7" i="1" l="1"/>
  <c r="C8" i="1" l="1"/>
</calcChain>
</file>

<file path=xl/sharedStrings.xml><?xml version="1.0" encoding="utf-8"?>
<sst xmlns="http://schemas.openxmlformats.org/spreadsheetml/2006/main" count="39" uniqueCount="21">
  <si>
    <t>dt</t>
  </si>
  <si>
    <t>x</t>
  </si>
  <si>
    <t>y</t>
  </si>
  <si>
    <t>position</t>
  </si>
  <si>
    <t>velocity</t>
  </si>
  <si>
    <t>acceleration</t>
  </si>
  <si>
    <t>jerk</t>
  </si>
  <si>
    <t>heading</t>
  </si>
  <si>
    <t>x-orig</t>
  </si>
  <si>
    <t>y-orig</t>
  </si>
  <si>
    <t>x-center</t>
  </si>
  <si>
    <t>y-center</t>
  </si>
  <si>
    <t>Filename</t>
  </si>
  <si>
    <t>Wheelbase</t>
  </si>
  <si>
    <t>x-left</t>
  </si>
  <si>
    <t>y-left</t>
  </si>
  <si>
    <t>x-right</t>
  </si>
  <si>
    <t>y-right</t>
  </si>
  <si>
    <t>C:\Users\Team294\Desktop\Pathweaver examples\Bad - Copy\R2ShipFront.pf1.csv</t>
  </si>
  <si>
    <t>Max Left Velocity</t>
  </si>
  <si>
    <t>Max Right Velocity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</si>
</sst>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6" formatCode="0.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0" fontId="16" fillId="0" borderId="0" xfId="0" applyFont="1"/>
    <xf numFmtId="0" fontId="9" fillId="5" borderId="4" xfId="9"/>
    <xf numFmtId="166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Right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Main!$V$2:$V$131</c:f>
              <c:numCache>
                <c:formatCode>General</c:formatCode>
                <c:ptCount val="130"/>
                <c:pt idx="0">
                  <c:v>25.998470000002651</c:v>
                </c:pt>
                <c:pt idx="1">
                  <c:v>25.99999099999474</c:v>
                </c:pt>
                <c:pt idx="2">
                  <c:v>26.006285999970228</c:v>
                </c:pt>
                <c:pt idx="3">
                  <c:v>26.020442999946749</c:v>
                </c:pt>
                <c:pt idx="4">
                  <c:v>26.045623999946272</c:v>
                </c:pt>
                <c:pt idx="5">
                  <c:v>26.084950607500133</c:v>
                </c:pt>
                <c:pt idx="6">
                  <c:v>26.141592606267281</c:v>
                </c:pt>
                <c:pt idx="7">
                  <c:v>26.218701600732778</c:v>
                </c:pt>
                <c:pt idx="8">
                  <c:v>26.319424582480167</c:v>
                </c:pt>
                <c:pt idx="9">
                  <c:v>26.446909532549014</c:v>
                </c:pt>
                <c:pt idx="10">
                  <c:v>26.604334412120938</c:v>
                </c:pt>
                <c:pt idx="11">
                  <c:v>26.794861147826321</c:v>
                </c:pt>
                <c:pt idx="12">
                  <c:v>27.021637609829021</c:v>
                </c:pt>
                <c:pt idx="13">
                  <c:v>27.287870576898559</c:v>
                </c:pt>
                <c:pt idx="14">
                  <c:v>27.596753687412249</c:v>
                </c:pt>
                <c:pt idx="15">
                  <c:v>27.951462371837682</c:v>
                </c:pt>
                <c:pt idx="16">
                  <c:v>28.355218753547437</c:v>
                </c:pt>
                <c:pt idx="17">
                  <c:v>28.811244516471938</c:v>
                </c:pt>
                <c:pt idx="18">
                  <c:v>29.321209780992397</c:v>
                </c:pt>
                <c:pt idx="19">
                  <c:v>29.88519997533049</c:v>
                </c:pt>
                <c:pt idx="20">
                  <c:v>30.503318611362367</c:v>
                </c:pt>
                <c:pt idx="21">
                  <c:v>31.175679039295058</c:v>
                </c:pt>
                <c:pt idx="22">
                  <c:v>31.902397160856125</c:v>
                </c:pt>
                <c:pt idx="23">
                  <c:v>32.683599079648538</c:v>
                </c:pt>
                <c:pt idx="24">
                  <c:v>33.519424681788855</c:v>
                </c:pt>
                <c:pt idx="25">
                  <c:v>34.410027134932015</c:v>
                </c:pt>
                <c:pt idx="26">
                  <c:v>35.355553317976735</c:v>
                </c:pt>
                <c:pt idx="27">
                  <c:v>36.356150157160037</c:v>
                </c:pt>
                <c:pt idx="28">
                  <c:v>37.412000756243167</c:v>
                </c:pt>
                <c:pt idx="29">
                  <c:v>38.523256548164539</c:v>
                </c:pt>
                <c:pt idx="30">
                  <c:v>39.68849445736916</c:v>
                </c:pt>
                <c:pt idx="31">
                  <c:v>40.904690045696853</c:v>
                </c:pt>
                <c:pt idx="32">
                  <c:v>42.168782389909438</c:v>
                </c:pt>
                <c:pt idx="33">
                  <c:v>43.477720513971285</c:v>
                </c:pt>
                <c:pt idx="34">
                  <c:v>44.828428025941214</c:v>
                </c:pt>
                <c:pt idx="35">
                  <c:v>46.217763135186303</c:v>
                </c:pt>
                <c:pt idx="36">
                  <c:v>47.642620091420511</c:v>
                </c:pt>
                <c:pt idx="37">
                  <c:v>49.099841434235834</c:v>
                </c:pt>
                <c:pt idx="38">
                  <c:v>50.586231277360298</c:v>
                </c:pt>
                <c:pt idx="39">
                  <c:v>52.098571680253571</c:v>
                </c:pt>
                <c:pt idx="40">
                  <c:v>53.633639053999694</c:v>
                </c:pt>
                <c:pt idx="41">
                  <c:v>55.188144578222108</c:v>
                </c:pt>
                <c:pt idx="42">
                  <c:v>56.758793018444678</c:v>
                </c:pt>
                <c:pt idx="43">
                  <c:v>58.342273085269937</c:v>
                </c:pt>
                <c:pt idx="44">
                  <c:v>59.935212846182125</c:v>
                </c:pt>
                <c:pt idx="45">
                  <c:v>61.534254940256005</c:v>
                </c:pt>
                <c:pt idx="46">
                  <c:v>63.135985800806303</c:v>
                </c:pt>
                <c:pt idx="47">
                  <c:v>64.738607176693122</c:v>
                </c:pt>
                <c:pt idx="48">
                  <c:v>66.341971812738166</c:v>
                </c:pt>
                <c:pt idx="49">
                  <c:v>67.945852139627647</c:v>
                </c:pt>
                <c:pt idx="50">
                  <c:v>69.550058495973843</c:v>
                </c:pt>
                <c:pt idx="51">
                  <c:v>71.154394493393639</c:v>
                </c:pt>
                <c:pt idx="52">
                  <c:v>72.758613556354504</c:v>
                </c:pt>
                <c:pt idx="53">
                  <c:v>74.362521394045118</c:v>
                </c:pt>
                <c:pt idx="54">
                  <c:v>76.114732089946003</c:v>
                </c:pt>
                <c:pt idx="55">
                  <c:v>77.923291352149079</c:v>
                </c:pt>
                <c:pt idx="56">
                  <c:v>79.707827058826496</c:v>
                </c:pt>
                <c:pt idx="57">
                  <c:v>81.467199321331094</c:v>
                </c:pt>
                <c:pt idx="58">
                  <c:v>83.200544621709227</c:v>
                </c:pt>
                <c:pt idx="59">
                  <c:v>84.907348972475333</c:v>
                </c:pt>
                <c:pt idx="60">
                  <c:v>86.587347387083099</c:v>
                </c:pt>
                <c:pt idx="61">
                  <c:v>88.240549449984854</c:v>
                </c:pt>
                <c:pt idx="62">
                  <c:v>89.867152401707088</c:v>
                </c:pt>
                <c:pt idx="63">
                  <c:v>91.467552220431685</c:v>
                </c:pt>
                <c:pt idx="64">
                  <c:v>93.042325535956991</c:v>
                </c:pt>
                <c:pt idx="65">
                  <c:v>94.592145834830433</c:v>
                </c:pt>
                <c:pt idx="66">
                  <c:v>96.117783839866831</c:v>
                </c:pt>
                <c:pt idx="67">
                  <c:v>97.6201072780771</c:v>
                </c:pt>
                <c:pt idx="68">
                  <c:v>99.100028651003541</c:v>
                </c:pt>
                <c:pt idx="69">
                  <c:v>100.55849534702713</c:v>
                </c:pt>
                <c:pt idx="70">
                  <c:v>101.99646767527693</c:v>
                </c:pt>
                <c:pt idx="71">
                  <c:v>103.41491125723452</c:v>
                </c:pt>
                <c:pt idx="72">
                  <c:v>104.81476465061986</c:v>
                </c:pt>
                <c:pt idx="73">
                  <c:v>106.19698514326427</c:v>
                </c:pt>
                <c:pt idx="74">
                  <c:v>107.56246531215011</c:v>
                </c:pt>
                <c:pt idx="75">
                  <c:v>108.91209361701451</c:v>
                </c:pt>
                <c:pt idx="76">
                  <c:v>110.24667264192999</c:v>
                </c:pt>
                <c:pt idx="77">
                  <c:v>111.56701844368897</c:v>
                </c:pt>
                <c:pt idx="78">
                  <c:v>112.87382730676005</c:v>
                </c:pt>
                <c:pt idx="79">
                  <c:v>114.16781450381821</c:v>
                </c:pt>
                <c:pt idx="80">
                  <c:v>115.44956765948072</c:v>
                </c:pt>
                <c:pt idx="81">
                  <c:v>116.71967310880656</c:v>
                </c:pt>
                <c:pt idx="82">
                  <c:v>117.9786330541796</c:v>
                </c:pt>
                <c:pt idx="83">
                  <c:v>119.22671965929209</c:v>
                </c:pt>
                <c:pt idx="84">
                  <c:v>120.46294383024906</c:v>
                </c:pt>
                <c:pt idx="85">
                  <c:v>121.68516177871037</c:v>
                </c:pt>
                <c:pt idx="86">
                  <c:v>122.89129042744139</c:v>
                </c:pt>
                <c:pt idx="87">
                  <c:v>124.07923123212218</c:v>
                </c:pt>
                <c:pt idx="88">
                  <c:v>125.24693088907108</c:v>
                </c:pt>
                <c:pt idx="89">
                  <c:v>126.39237190692508</c:v>
                </c:pt>
                <c:pt idx="90">
                  <c:v>127.51354376921802</c:v>
                </c:pt>
                <c:pt idx="91">
                  <c:v>128.6084959449617</c:v>
                </c:pt>
                <c:pt idx="92">
                  <c:v>129.67534723418828</c:v>
                </c:pt>
                <c:pt idx="93">
                  <c:v>130.71224319720443</c:v>
                </c:pt>
                <c:pt idx="94">
                  <c:v>131.71739176350707</c:v>
                </c:pt>
                <c:pt idx="95">
                  <c:v>132.68909129490609</c:v>
                </c:pt>
                <c:pt idx="96">
                  <c:v>133.6256666527315</c:v>
                </c:pt>
                <c:pt idx="97">
                  <c:v>134.52549251094774</c:v>
                </c:pt>
                <c:pt idx="98">
                  <c:v>135.38702157454458</c:v>
                </c:pt>
                <c:pt idx="99">
                  <c:v>136.208689587153</c:v>
                </c:pt>
                <c:pt idx="100">
                  <c:v>136.98909477206317</c:v>
                </c:pt>
                <c:pt idx="101">
                  <c:v>137.72796798125486</c:v>
                </c:pt>
                <c:pt idx="102">
                  <c:v>138.42595694228049</c:v>
                </c:pt>
                <c:pt idx="103">
                  <c:v>139.08364801540944</c:v>
                </c:pt>
                <c:pt idx="104">
                  <c:v>139.70157330080715</c:v>
                </c:pt>
                <c:pt idx="105">
                  <c:v>140.28022185384086</c:v>
                </c:pt>
                <c:pt idx="106">
                  <c:v>140.81997518264612</c:v>
                </c:pt>
                <c:pt idx="107">
                  <c:v>141.32120548793867</c:v>
                </c:pt>
                <c:pt idx="108">
                  <c:v>141.78419462227089</c:v>
                </c:pt>
                <c:pt idx="109">
                  <c:v>142.20917599495382</c:v>
                </c:pt>
                <c:pt idx="110">
                  <c:v>142.59637186312472</c:v>
                </c:pt>
                <c:pt idx="111">
                  <c:v>142.94592534626997</c:v>
                </c:pt>
                <c:pt idx="112">
                  <c:v>143.25810224822786</c:v>
                </c:pt>
                <c:pt idx="113">
                  <c:v>143.53423051305884</c:v>
                </c:pt>
                <c:pt idx="114">
                  <c:v>143.77657874014898</c:v>
                </c:pt>
                <c:pt idx="115">
                  <c:v>143.98737262107133</c:v>
                </c:pt>
                <c:pt idx="116">
                  <c:v>144.16885735827219</c:v>
                </c:pt>
                <c:pt idx="117">
                  <c:v>144.32322505474872</c:v>
                </c:pt>
                <c:pt idx="118">
                  <c:v>144.45270473052949</c:v>
                </c:pt>
                <c:pt idx="119">
                  <c:v>144.55947894866955</c:v>
                </c:pt>
                <c:pt idx="120">
                  <c:v>144.64573283739432</c:v>
                </c:pt>
                <c:pt idx="121">
                  <c:v>144.71366944446979</c:v>
                </c:pt>
                <c:pt idx="122">
                  <c:v>144.76549032611831</c:v>
                </c:pt>
                <c:pt idx="123">
                  <c:v>144.80335329779439</c:v>
                </c:pt>
                <c:pt idx="124">
                  <c:v>144.82947529299636</c:v>
                </c:pt>
                <c:pt idx="125">
                  <c:v>144.84601329259553</c:v>
                </c:pt>
                <c:pt idx="126">
                  <c:v>144.85518629260835</c:v>
                </c:pt>
                <c:pt idx="127">
                  <c:v>144.85915129261195</c:v>
                </c:pt>
                <c:pt idx="128">
                  <c:v>144.86011129261198</c:v>
                </c:pt>
                <c:pt idx="129">
                  <c:v>144.86011129261198</c:v>
                </c:pt>
              </c:numCache>
            </c:numRef>
          </c:xVal>
          <c:yVal>
            <c:numRef>
              <c:f>Main!$W$2:$W$131</c:f>
              <c:numCache>
                <c:formatCode>General</c:formatCode>
                <c:ptCount val="130"/>
                <c:pt idx="0">
                  <c:v>217.99999992197002</c:v>
                </c:pt>
                <c:pt idx="1">
                  <c:v>218.00000007711202</c:v>
                </c:pt>
                <c:pt idx="2">
                  <c:v>218.00000063254203</c:v>
                </c:pt>
                <c:pt idx="3">
                  <c:v>218.00000144669852</c:v>
                </c:pt>
                <c:pt idx="4">
                  <c:v>218.00000149539952</c:v>
                </c:pt>
                <c:pt idx="5">
                  <c:v>217.99999819642451</c:v>
                </c:pt>
                <c:pt idx="6">
                  <c:v>217.99998640139282</c:v>
                </c:pt>
                <c:pt idx="7">
                  <c:v>217.99995721848569</c:v>
                </c:pt>
                <c:pt idx="8">
                  <c:v>217.99989662645433</c:v>
                </c:pt>
                <c:pt idx="9">
                  <c:v>217.99978385806327</c:v>
                </c:pt>
                <c:pt idx="10">
                  <c:v>217.99958922247274</c:v>
                </c:pt>
                <c:pt idx="11">
                  <c:v>217.99927198969959</c:v>
                </c:pt>
                <c:pt idx="12">
                  <c:v>217.99877816737728</c:v>
                </c:pt>
                <c:pt idx="13">
                  <c:v>217.99803674413292</c:v>
                </c:pt>
                <c:pt idx="14">
                  <c:v>217.99695659745913</c:v>
                </c:pt>
                <c:pt idx="15">
                  <c:v>217.99542324921609</c:v>
                </c:pt>
                <c:pt idx="16">
                  <c:v>217.9932936562013</c:v>
                </c:pt>
                <c:pt idx="17">
                  <c:v>217.99039160779827</c:v>
                </c:pt>
                <c:pt idx="18">
                  <c:v>217.98651544295831</c:v>
                </c:pt>
                <c:pt idx="19">
                  <c:v>217.9814442071436</c:v>
                </c:pt>
                <c:pt idx="20">
                  <c:v>217.97492715975847</c:v>
                </c:pt>
                <c:pt idx="21">
                  <c:v>217.96668148569356</c:v>
                </c:pt>
                <c:pt idx="22">
                  <c:v>217.9563904582574</c:v>
                </c:pt>
                <c:pt idx="23">
                  <c:v>217.94370067273533</c:v>
                </c:pt>
                <c:pt idx="24">
                  <c:v>217.92821895580664</c:v>
                </c:pt>
                <c:pt idx="25">
                  <c:v>217.90950900506255</c:v>
                </c:pt>
                <c:pt idx="26">
                  <c:v>217.88708906849047</c:v>
                </c:pt>
                <c:pt idx="27">
                  <c:v>217.86042919015432</c:v>
                </c:pt>
                <c:pt idx="28">
                  <c:v>217.8289444204178</c:v>
                </c:pt>
                <c:pt idx="29">
                  <c:v>217.79199520756822</c:v>
                </c:pt>
                <c:pt idx="30">
                  <c:v>217.74894538182585</c:v>
                </c:pt>
                <c:pt idx="31">
                  <c:v>217.69919186652243</c:v>
                </c:pt>
                <c:pt idx="32">
                  <c:v>217.64212500585296</c:v>
                </c:pt>
                <c:pt idx="33">
                  <c:v>217.57713013573755</c:v>
                </c:pt>
                <c:pt idx="34">
                  <c:v>217.50359484585385</c:v>
                </c:pt>
                <c:pt idx="35">
                  <c:v>217.42092172210437</c:v>
                </c:pt>
                <c:pt idx="36">
                  <c:v>217.32852453600265</c:v>
                </c:pt>
                <c:pt idx="37">
                  <c:v>217.22584237948541</c:v>
                </c:pt>
                <c:pt idx="38">
                  <c:v>217.11234803555226</c:v>
                </c:pt>
                <c:pt idx="39">
                  <c:v>216.98755453085371</c:v>
                </c:pt>
                <c:pt idx="40">
                  <c:v>216.8510197329403</c:v>
                </c:pt>
                <c:pt idx="41">
                  <c:v>216.70236338308345</c:v>
                </c:pt>
                <c:pt idx="42">
                  <c:v>216.54126867622605</c:v>
                </c:pt>
                <c:pt idx="43">
                  <c:v>216.3674902977985</c:v>
                </c:pt>
                <c:pt idx="44">
                  <c:v>216.18087134936866</c:v>
                </c:pt>
                <c:pt idx="45">
                  <c:v>215.9813396827067</c:v>
                </c:pt>
                <c:pt idx="46">
                  <c:v>215.76892744865643</c:v>
                </c:pt>
                <c:pt idx="47">
                  <c:v>215.54353148409015</c:v>
                </c:pt>
                <c:pt idx="48">
                  <c:v>215.30484278428514</c:v>
                </c:pt>
                <c:pt idx="49">
                  <c:v>215.05257194863307</c:v>
                </c:pt>
                <c:pt idx="50">
                  <c:v>214.78642828223448</c:v>
                </c:pt>
                <c:pt idx="51">
                  <c:v>214.50612590089639</c:v>
                </c:pt>
                <c:pt idx="52">
                  <c:v>214.21139648282877</c:v>
                </c:pt>
                <c:pt idx="53">
                  <c:v>213.90196556910729</c:v>
                </c:pt>
                <c:pt idx="54">
                  <c:v>213.53073646973351</c:v>
                </c:pt>
                <c:pt idx="55">
                  <c:v>213.10357168633482</c:v>
                </c:pt>
                <c:pt idx="56">
                  <c:v>212.63829339565851</c:v>
                </c:pt>
                <c:pt idx="57">
                  <c:v>212.13777712061093</c:v>
                </c:pt>
                <c:pt idx="58">
                  <c:v>211.60495640513727</c:v>
                </c:pt>
                <c:pt idx="59">
                  <c:v>211.04275127197931</c:v>
                </c:pt>
                <c:pt idx="60">
                  <c:v>210.45405830996302</c:v>
                </c:pt>
                <c:pt idx="61">
                  <c:v>209.84170283101477</c:v>
                </c:pt>
                <c:pt idx="62">
                  <c:v>209.20844061585225</c:v>
                </c:pt>
                <c:pt idx="63">
                  <c:v>208.55692718809055</c:v>
                </c:pt>
                <c:pt idx="64">
                  <c:v>207.88969881476817</c:v>
                </c:pt>
                <c:pt idx="65">
                  <c:v>207.20919331180994</c:v>
                </c:pt>
                <c:pt idx="66">
                  <c:v>206.51773946899795</c:v>
                </c:pt>
                <c:pt idx="67">
                  <c:v>205.81754527825507</c:v>
                </c:pt>
                <c:pt idx="68">
                  <c:v>205.11071652563172</c:v>
                </c:pt>
                <c:pt idx="69">
                  <c:v>204.39925884033838</c:v>
                </c:pt>
                <c:pt idx="70">
                  <c:v>203.68508814524318</c:v>
                </c:pt>
                <c:pt idx="71">
                  <c:v>202.97003511380638</c:v>
                </c:pt>
                <c:pt idx="72">
                  <c:v>202.25586593222474</c:v>
                </c:pt>
                <c:pt idx="73">
                  <c:v>201.54425703695475</c:v>
                </c:pt>
                <c:pt idx="74">
                  <c:v>200.83684553634632</c:v>
                </c:pt>
                <c:pt idx="75">
                  <c:v>200.13519785260439</c:v>
                </c:pt>
                <c:pt idx="76">
                  <c:v>199.4408613764692</c:v>
                </c:pt>
                <c:pt idx="77">
                  <c:v>198.75530839593875</c:v>
                </c:pt>
                <c:pt idx="78">
                  <c:v>198.08001727345967</c:v>
                </c:pt>
                <c:pt idx="79">
                  <c:v>197.4163932982645</c:v>
                </c:pt>
                <c:pt idx="80">
                  <c:v>196.76585552091277</c:v>
                </c:pt>
                <c:pt idx="81">
                  <c:v>196.12976520875569</c:v>
                </c:pt>
                <c:pt idx="82">
                  <c:v>195.50947181210466</c:v>
                </c:pt>
                <c:pt idx="83">
                  <c:v>194.90638224379319</c:v>
                </c:pt>
                <c:pt idx="84">
                  <c:v>194.32241726499637</c:v>
                </c:pt>
                <c:pt idx="85">
                  <c:v>193.75988543444009</c:v>
                </c:pt>
                <c:pt idx="86">
                  <c:v>193.22085135036471</c:v>
                </c:pt>
                <c:pt idx="87">
                  <c:v>192.70714967626782</c:v>
                </c:pt>
                <c:pt idx="88">
                  <c:v>192.22033223780173</c:v>
                </c:pt>
                <c:pt idx="89">
                  <c:v>191.76165555753744</c:v>
                </c:pt>
                <c:pt idx="90">
                  <c:v>191.33208341092097</c:v>
                </c:pt>
                <c:pt idx="91">
                  <c:v>190.93225674127689</c:v>
                </c:pt>
                <c:pt idx="92">
                  <c:v>190.56248933316789</c:v>
                </c:pt>
                <c:pt idx="93">
                  <c:v>190.22279226562674</c:v>
                </c:pt>
                <c:pt idx="94">
                  <c:v>189.91287148938895</c:v>
                </c:pt>
                <c:pt idx="95">
                  <c:v>189.63213344177754</c:v>
                </c:pt>
                <c:pt idx="96">
                  <c:v>189.37972986362183</c:v>
                </c:pt>
                <c:pt idx="97">
                  <c:v>189.15457449757861</c:v>
                </c:pt>
                <c:pt idx="98">
                  <c:v>188.95536116492354</c:v>
                </c:pt>
                <c:pt idx="99">
                  <c:v>188.7806219992807</c:v>
                </c:pt>
                <c:pt idx="100">
                  <c:v>188.62872121235915</c:v>
                </c:pt>
                <c:pt idx="101">
                  <c:v>188.49774692573897</c:v>
                </c:pt>
                <c:pt idx="102">
                  <c:v>188.38566608872088</c:v>
                </c:pt>
                <c:pt idx="103">
                  <c:v>188.29053838122252</c:v>
                </c:pt>
                <c:pt idx="104">
                  <c:v>188.21052133374596</c:v>
                </c:pt>
                <c:pt idx="105">
                  <c:v>188.14387345579632</c:v>
                </c:pt>
                <c:pt idx="106">
                  <c:v>188.08896820567827</c:v>
                </c:pt>
                <c:pt idx="107">
                  <c:v>188.0442813226565</c:v>
                </c:pt>
                <c:pt idx="108">
                  <c:v>188.00840350791725</c:v>
                </c:pt>
                <c:pt idx="109">
                  <c:v>187.98003590376993</c:v>
                </c:pt>
                <c:pt idx="110">
                  <c:v>187.95798693909833</c:v>
                </c:pt>
                <c:pt idx="111">
                  <c:v>187.94117884493517</c:v>
                </c:pt>
                <c:pt idx="112">
                  <c:v>187.9286380237555</c:v>
                </c:pt>
                <c:pt idx="113">
                  <c:v>187.91947713968278</c:v>
                </c:pt>
                <c:pt idx="114">
                  <c:v>187.91292413792348</c:v>
                </c:pt>
                <c:pt idx="115">
                  <c:v>187.90834861351857</c:v>
                </c:pt>
                <c:pt idx="116">
                  <c:v>187.90524099203225</c:v>
                </c:pt>
                <c:pt idx="117">
                  <c:v>187.90319829893866</c:v>
                </c:pt>
                <c:pt idx="118">
                  <c:v>187.90190600031974</c:v>
                </c:pt>
                <c:pt idx="119">
                  <c:v>187.90112560259269</c:v>
                </c:pt>
                <c:pt idx="120">
                  <c:v>187.90068053366235</c:v>
                </c:pt>
                <c:pt idx="121">
                  <c:v>187.90044421592063</c:v>
                </c:pt>
                <c:pt idx="122">
                  <c:v>187.90032977630804</c:v>
                </c:pt>
                <c:pt idx="123">
                  <c:v>187.90028096460662</c:v>
                </c:pt>
                <c:pt idx="124">
                  <c:v>187.90026352129084</c:v>
                </c:pt>
                <c:pt idx="125">
                  <c:v>187.90025883639416</c:v>
                </c:pt>
                <c:pt idx="126">
                  <c:v>187.90025807866687</c:v>
                </c:pt>
                <c:pt idx="127">
                  <c:v>187.9002580594439</c:v>
                </c:pt>
                <c:pt idx="128">
                  <c:v>187.9002580638365</c:v>
                </c:pt>
                <c:pt idx="129">
                  <c:v>187.9002580638365</c:v>
                </c:pt>
              </c:numCache>
            </c:numRef>
          </c:yVal>
          <c:smooth val="0"/>
        </c:ser>
        <c:ser>
          <c:idx val="2"/>
          <c:order val="1"/>
          <c:tx>
            <c:v>Left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Main!$S$2:$S$131</c:f>
              <c:numCache>
                <c:formatCode>General</c:formatCode>
                <c:ptCount val="130"/>
                <c:pt idx="0">
                  <c:v>26.001529999997349</c:v>
                </c:pt>
                <c:pt idx="1">
                  <c:v>26.003050999989437</c:v>
                </c:pt>
                <c:pt idx="2">
                  <c:v>26.008925999966824</c:v>
                </c:pt>
                <c:pt idx="3">
                  <c:v>26.022152999945821</c:v>
                </c:pt>
                <c:pt idx="4">
                  <c:v>26.045653999946275</c:v>
                </c:pt>
                <c:pt idx="5">
                  <c:v>26.082391392115646</c:v>
                </c:pt>
                <c:pt idx="6">
                  <c:v>26.135283390926205</c:v>
                </c:pt>
                <c:pt idx="7">
                  <c:v>26.207262385622371</c:v>
                </c:pt>
                <c:pt idx="8">
                  <c:v>26.301265368201491</c:v>
                </c:pt>
                <c:pt idx="9">
                  <c:v>26.42023032067803</c:v>
                </c:pt>
                <c:pt idx="10">
                  <c:v>26.567065206319779</c:v>
                </c:pt>
                <c:pt idx="11">
                  <c:v>26.744691955822699</c:v>
                </c:pt>
                <c:pt idx="12">
                  <c:v>26.956048446693501</c:v>
                </c:pt>
                <c:pt idx="13">
                  <c:v>27.204011470719959</c:v>
                </c:pt>
                <c:pt idx="14">
                  <c:v>27.491474688114277</c:v>
                </c:pt>
                <c:pt idx="15">
                  <c:v>27.821343564421884</c:v>
                </c:pt>
                <c:pt idx="16">
                  <c:v>28.196480278887083</c:v>
                </c:pt>
                <c:pt idx="17">
                  <c:v>28.619746601572352</c:v>
                </c:pt>
                <c:pt idx="18">
                  <c:v>29.092512780733692</c:v>
                </c:pt>
                <c:pt idx="19">
                  <c:v>29.614684425996689</c:v>
                </c:pt>
                <c:pt idx="20">
                  <c:v>30.186155304470098</c:v>
                </c:pt>
                <c:pt idx="21">
                  <c:v>30.806799119794416</c:v>
                </c:pt>
                <c:pt idx="22">
                  <c:v>31.476492253621174</c:v>
                </c:pt>
                <c:pt idx="23">
                  <c:v>32.195091455228471</c:v>
                </c:pt>
                <c:pt idx="24">
                  <c:v>32.962437470771484</c:v>
                </c:pt>
                <c:pt idx="25">
                  <c:v>33.778354603631819</c:v>
                </c:pt>
                <c:pt idx="26">
                  <c:v>34.642661212712419</c:v>
                </c:pt>
                <c:pt idx="27">
                  <c:v>35.555176133867342</c:v>
                </c:pt>
                <c:pt idx="28">
                  <c:v>36.515664952270917</c:v>
                </c:pt>
                <c:pt idx="29">
                  <c:v>37.523922240724886</c:v>
                </c:pt>
                <c:pt idx="30">
                  <c:v>38.578258824623447</c:v>
                </c:pt>
                <c:pt idx="31">
                  <c:v>39.675534985667156</c:v>
                </c:pt>
                <c:pt idx="32">
                  <c:v>40.8126354768971</c:v>
                </c:pt>
                <c:pt idx="33">
                  <c:v>41.986426163519361</c:v>
                </c:pt>
                <c:pt idx="34">
                  <c:v>43.193778765497065</c:v>
                </c:pt>
                <c:pt idx="35">
                  <c:v>44.431620854288724</c:v>
                </c:pt>
                <c:pt idx="36">
                  <c:v>45.696827720676723</c:v>
                </c:pt>
                <c:pt idx="37">
                  <c:v>46.986314490316921</c:v>
                </c:pt>
                <c:pt idx="38">
                  <c:v>48.297019494601457</c:v>
                </c:pt>
                <c:pt idx="39">
                  <c:v>49.625890751937646</c:v>
                </c:pt>
                <c:pt idx="40">
                  <c:v>50.969872530266422</c:v>
                </c:pt>
                <c:pt idx="41">
                  <c:v>52.325965314190512</c:v>
                </c:pt>
                <c:pt idx="42">
                  <c:v>53.691164934021415</c:v>
                </c:pt>
                <c:pt idx="43">
                  <c:v>55.062482741176552</c:v>
                </c:pt>
                <c:pt idx="44">
                  <c:v>56.436990259748043</c:v>
                </c:pt>
                <c:pt idx="45">
                  <c:v>57.811744952066803</c:v>
                </c:pt>
                <c:pt idx="46">
                  <c:v>59.183868098810017</c:v>
                </c:pt>
                <c:pt idx="47">
                  <c:v>60.551888721851874</c:v>
                </c:pt>
                <c:pt idx="48">
                  <c:v>61.915691151387989</c:v>
                </c:pt>
                <c:pt idx="49">
                  <c:v>63.275229944896587</c:v>
                </c:pt>
                <c:pt idx="50">
                  <c:v>64.630410456067779</c:v>
                </c:pt>
                <c:pt idx="51">
                  <c:v>65.981133460229401</c:v>
                </c:pt>
                <c:pt idx="52">
                  <c:v>67.32734024831683</c:v>
                </c:pt>
                <c:pt idx="53">
                  <c:v>68.668908210763036</c:v>
                </c:pt>
                <c:pt idx="54">
                  <c:v>69.850569124775902</c:v>
                </c:pt>
                <c:pt idx="55">
                  <c:v>70.960080623097355</c:v>
                </c:pt>
                <c:pt idx="56">
                  <c:v>72.076869593462845</c:v>
                </c:pt>
                <c:pt idx="57">
                  <c:v>73.201376976440542</c:v>
                </c:pt>
                <c:pt idx="58">
                  <c:v>74.334012499670351</c:v>
                </c:pt>
                <c:pt idx="59">
                  <c:v>75.475070728322137</c:v>
                </c:pt>
                <c:pt idx="60">
                  <c:v>76.624821559009746</c:v>
                </c:pt>
                <c:pt idx="61">
                  <c:v>77.783468455557966</c:v>
                </c:pt>
                <c:pt idx="62">
                  <c:v>78.951221330960678</c:v>
                </c:pt>
                <c:pt idx="63">
                  <c:v>80.128267501002966</c:v>
                </c:pt>
                <c:pt idx="64">
                  <c:v>81.314770054395694</c:v>
                </c:pt>
                <c:pt idx="65">
                  <c:v>82.510936616036588</c:v>
                </c:pt>
                <c:pt idx="66">
                  <c:v>83.717002516188899</c:v>
                </c:pt>
                <c:pt idx="67">
                  <c:v>84.933213086930223</c:v>
                </c:pt>
                <c:pt idx="68">
                  <c:v>86.159861642515594</c:v>
                </c:pt>
                <c:pt idx="69">
                  <c:v>87.397285437044957</c:v>
                </c:pt>
                <c:pt idx="70">
                  <c:v>88.645875383249347</c:v>
                </c:pt>
                <c:pt idx="71">
                  <c:v>89.906071863396974</c:v>
                </c:pt>
                <c:pt idx="72">
                  <c:v>91.178388457729412</c:v>
                </c:pt>
                <c:pt idx="73">
                  <c:v>92.463352500179639</c:v>
                </c:pt>
                <c:pt idx="74">
                  <c:v>93.761583385532916</c:v>
                </c:pt>
                <c:pt idx="75">
                  <c:v>95.073720331019217</c:v>
                </c:pt>
                <c:pt idx="76">
                  <c:v>96.400500977868006</c:v>
                </c:pt>
                <c:pt idx="77">
                  <c:v>97.74264795663774</c:v>
                </c:pt>
                <c:pt idx="78">
                  <c:v>99.101001903630831</c:v>
                </c:pt>
                <c:pt idx="79">
                  <c:v>100.4763671946891</c:v>
                </c:pt>
                <c:pt idx="80">
                  <c:v>101.86965806759156</c:v>
                </c:pt>
                <c:pt idx="81">
                  <c:v>103.28175773810629</c:v>
                </c:pt>
                <c:pt idx="82">
                  <c:v>104.71359461760932</c:v>
                </c:pt>
                <c:pt idx="83">
                  <c:v>106.16594172457704</c:v>
                </c:pt>
                <c:pt idx="84">
                  <c:v>107.63800392455357</c:v>
                </c:pt>
                <c:pt idx="85">
                  <c:v>109.12756783646346</c:v>
                </c:pt>
                <c:pt idx="86">
                  <c:v>110.63214972333373</c:v>
                </c:pt>
                <c:pt idx="87">
                  <c:v>112.14904057604245</c:v>
                </c:pt>
                <c:pt idx="88">
                  <c:v>113.67521402946264</c:v>
                </c:pt>
                <c:pt idx="89">
                  <c:v>115.20732577638189</c:v>
                </c:pt>
                <c:pt idx="90">
                  <c:v>116.74172214483173</c:v>
                </c:pt>
                <c:pt idx="91">
                  <c:v>118.27439220772179</c:v>
                </c:pt>
                <c:pt idx="92">
                  <c:v>119.80095963007351</c:v>
                </c:pt>
                <c:pt idx="93">
                  <c:v>121.31673870903707</c:v>
                </c:pt>
                <c:pt idx="94">
                  <c:v>122.81673210643166</c:v>
                </c:pt>
                <c:pt idx="95">
                  <c:v>124.2956234093223</c:v>
                </c:pt>
                <c:pt idx="96">
                  <c:v>125.74788312253477</c:v>
                </c:pt>
                <c:pt idx="97">
                  <c:v>127.16779626818385</c:v>
                </c:pt>
                <c:pt idx="98">
                  <c:v>128.54946871787422</c:v>
                </c:pt>
                <c:pt idx="99">
                  <c:v>129.88697615469545</c:v>
                </c:pt>
                <c:pt idx="100">
                  <c:v>131.17458868717338</c:v>
                </c:pt>
                <c:pt idx="101">
                  <c:v>132.40849550364871</c:v>
                </c:pt>
                <c:pt idx="102">
                  <c:v>133.58670389614184</c:v>
                </c:pt>
                <c:pt idx="103">
                  <c:v>134.70742973723986</c:v>
                </c:pt>
                <c:pt idx="104">
                  <c:v>135.76908389460525</c:v>
                </c:pt>
                <c:pt idx="105">
                  <c:v>136.77026017426383</c:v>
                </c:pt>
                <c:pt idx="106">
                  <c:v>137.70979447178254</c:v>
                </c:pt>
                <c:pt idx="107">
                  <c:v>138.58665721954245</c:v>
                </c:pt>
                <c:pt idx="108">
                  <c:v>139.40002225155831</c:v>
                </c:pt>
                <c:pt idx="109">
                  <c:v>140.14921897724784</c:v>
                </c:pt>
                <c:pt idx="110">
                  <c:v>140.83367845693186</c:v>
                </c:pt>
                <c:pt idx="111">
                  <c:v>141.45298303796432</c:v>
                </c:pt>
                <c:pt idx="112">
                  <c:v>142.00703593313719</c:v>
                </c:pt>
                <c:pt idx="113">
                  <c:v>142.49777759250372</c:v>
                </c:pt>
                <c:pt idx="114">
                  <c:v>142.92891235803643</c:v>
                </c:pt>
                <c:pt idx="115">
                  <c:v>143.30423245801606</c:v>
                </c:pt>
                <c:pt idx="116">
                  <c:v>143.62752752315384</c:v>
                </c:pt>
                <c:pt idx="117">
                  <c:v>143.90265961606718</c:v>
                </c:pt>
                <c:pt idx="118">
                  <c:v>144.13347154007857</c:v>
                </c:pt>
                <c:pt idx="119">
                  <c:v>144.3238521559411</c:v>
                </c:pt>
                <c:pt idx="120">
                  <c:v>144.47769450070038</c:v>
                </c:pt>
                <c:pt idx="121">
                  <c:v>144.59888050917968</c:v>
                </c:pt>
                <c:pt idx="122">
                  <c:v>144.69129118637989</c:v>
                </c:pt>
                <c:pt idx="123">
                  <c:v>144.75885409872467</c:v>
                </c:pt>
                <c:pt idx="124">
                  <c:v>144.80543608018135</c:v>
                </c:pt>
                <c:pt idx="125">
                  <c:v>144.83496407745773</c:v>
                </c:pt>
                <c:pt idx="126">
                  <c:v>144.85130707723155</c:v>
                </c:pt>
                <c:pt idx="127">
                  <c:v>144.85839207722444</c:v>
                </c:pt>
                <c:pt idx="128">
                  <c:v>144.86010207722438</c:v>
                </c:pt>
                <c:pt idx="129">
                  <c:v>144.86010207722438</c:v>
                </c:pt>
              </c:numCache>
            </c:numRef>
          </c:xVal>
          <c:yVal>
            <c:numRef>
              <c:f>Main!$T$2:$T$131</c:f>
              <c:numCache>
                <c:formatCode>General</c:formatCode>
                <c:ptCount val="130"/>
                <c:pt idx="0">
                  <c:v>188.00000007802998</c:v>
                </c:pt>
                <c:pt idx="1">
                  <c:v>188.00000023317199</c:v>
                </c:pt>
                <c:pt idx="2">
                  <c:v>188.00000074870201</c:v>
                </c:pt>
                <c:pt idx="3">
                  <c:v>188.00000149543351</c:v>
                </c:pt>
                <c:pt idx="4">
                  <c:v>188.00000149541452</c:v>
                </c:pt>
                <c:pt idx="5">
                  <c:v>187.99999830558423</c:v>
                </c:pt>
                <c:pt idx="6">
                  <c:v>187.99998706482947</c:v>
                </c:pt>
                <c:pt idx="7">
                  <c:v>187.99995939941317</c:v>
                </c:pt>
                <c:pt idx="8">
                  <c:v>187.99990212240587</c:v>
                </c:pt>
                <c:pt idx="9">
                  <c:v>187.99979572107139</c:v>
                </c:pt>
                <c:pt idx="10">
                  <c:v>187.99961237237667</c:v>
                </c:pt>
                <c:pt idx="11">
                  <c:v>187.99931393885936</c:v>
                </c:pt>
                <c:pt idx="12">
                  <c:v>187.99884986643497</c:v>
                </c:pt>
                <c:pt idx="13">
                  <c:v>187.99815395019002</c:v>
                </c:pt>
                <c:pt idx="14">
                  <c:v>187.99714132582278</c:v>
                </c:pt>
                <c:pt idx="15">
                  <c:v>187.99570543227728</c:v>
                </c:pt>
                <c:pt idx="16">
                  <c:v>187.99371362419649</c:v>
                </c:pt>
                <c:pt idx="17">
                  <c:v>187.99100280488116</c:v>
                </c:pt>
                <c:pt idx="18">
                  <c:v>187.98738716092197</c:v>
                </c:pt>
                <c:pt idx="19">
                  <c:v>187.98266387631068</c:v>
                </c:pt>
                <c:pt idx="20">
                  <c:v>187.97660374932832</c:v>
                </c:pt>
                <c:pt idx="21">
                  <c:v>187.96894944467104</c:v>
                </c:pt>
                <c:pt idx="22">
                  <c:v>187.95941386044021</c:v>
                </c:pt>
                <c:pt idx="23">
                  <c:v>187.94767826474126</c:v>
                </c:pt>
                <c:pt idx="24">
                  <c:v>187.93338998068555</c:v>
                </c:pt>
                <c:pt idx="25">
                  <c:v>187.91615991208528</c:v>
                </c:pt>
                <c:pt idx="26">
                  <c:v>187.89556051714362</c:v>
                </c:pt>
                <c:pt idx="27">
                  <c:v>187.87112375281532</c:v>
                </c:pt>
                <c:pt idx="28">
                  <c:v>187.84233770797837</c:v>
                </c:pt>
                <c:pt idx="29">
                  <c:v>187.80864431174649</c:v>
                </c:pt>
                <c:pt idx="30">
                  <c:v>187.76949614005721</c:v>
                </c:pt>
                <c:pt idx="31">
                  <c:v>187.72438281227818</c:v>
                </c:pt>
                <c:pt idx="32">
                  <c:v>187.67279292203222</c:v>
                </c:pt>
                <c:pt idx="33">
                  <c:v>187.61421904284958</c:v>
                </c:pt>
                <c:pt idx="34">
                  <c:v>187.54816258732473</c:v>
                </c:pt>
                <c:pt idx="35">
                  <c:v>187.4741406638272</c:v>
                </c:pt>
                <c:pt idx="36">
                  <c:v>187.39169283907864</c:v>
                </c:pt>
                <c:pt idx="37">
                  <c:v>187.30038492504826</c:v>
                </c:pt>
                <c:pt idx="38">
                  <c:v>187.19981705915916</c:v>
                </c:pt>
                <c:pt idx="39">
                  <c:v>187.08963070616747</c:v>
                </c:pt>
                <c:pt idx="40">
                  <c:v>186.96951461845458</c:v>
                </c:pt>
                <c:pt idx="41">
                  <c:v>186.83921000202625</c:v>
                </c:pt>
                <c:pt idx="42">
                  <c:v>186.69851984278816</c:v>
                </c:pt>
                <c:pt idx="43">
                  <c:v>186.54731297943249</c:v>
                </c:pt>
                <c:pt idx="44">
                  <c:v>186.38552878151484</c:v>
                </c:pt>
                <c:pt idx="45">
                  <c:v>186.21318691187068</c:v>
                </c:pt>
                <c:pt idx="46">
                  <c:v>186.03038737572132</c:v>
                </c:pt>
                <c:pt idx="47">
                  <c:v>185.83711149480345</c:v>
                </c:pt>
                <c:pt idx="48">
                  <c:v>185.63317212847346</c:v>
                </c:pt>
                <c:pt idx="49">
                  <c:v>185.41838074465241</c:v>
                </c:pt>
                <c:pt idx="50">
                  <c:v>185.19255960706042</c:v>
                </c:pt>
                <c:pt idx="51">
                  <c:v>184.9555358850821</c:v>
                </c:pt>
                <c:pt idx="52">
                  <c:v>184.70713797234595</c:v>
                </c:pt>
                <c:pt idx="53">
                  <c:v>184.44720756773921</c:v>
                </c:pt>
                <c:pt idx="54">
                  <c:v>184.192020370596</c:v>
                </c:pt>
                <c:pt idx="55">
                  <c:v>183.92286408108953</c:v>
                </c:pt>
                <c:pt idx="56">
                  <c:v>183.62504662522949</c:v>
                </c:pt>
                <c:pt idx="57">
                  <c:v>183.29898066578798</c:v>
                </c:pt>
                <c:pt idx="58">
                  <c:v>182.94514816905775</c:v>
                </c:pt>
                <c:pt idx="59">
                  <c:v>182.56412547780039</c:v>
                </c:pt>
                <c:pt idx="60">
                  <c:v>182.15656585700933</c:v>
                </c:pt>
                <c:pt idx="61">
                  <c:v>181.72321323651491</c:v>
                </c:pt>
                <c:pt idx="62">
                  <c:v>181.2648823446028</c:v>
                </c:pt>
                <c:pt idx="63">
                  <c:v>180.78246730042164</c:v>
                </c:pt>
                <c:pt idx="64">
                  <c:v>180.27694012558788</c:v>
                </c:pt>
                <c:pt idx="65">
                  <c:v>179.7493247066667</c:v>
                </c:pt>
                <c:pt idx="66">
                  <c:v>179.20070041711091</c:v>
                </c:pt>
                <c:pt idx="67">
                  <c:v>178.63220518873908</c:v>
                </c:pt>
                <c:pt idx="68">
                  <c:v>178.04501724051366</c:v>
                </c:pt>
                <c:pt idx="69">
                  <c:v>177.44035393480877</c:v>
                </c:pt>
                <c:pt idx="70">
                  <c:v>176.81946540070118</c:v>
                </c:pt>
                <c:pt idx="71">
                  <c:v>176.18363449275421</c:v>
                </c:pt>
                <c:pt idx="72">
                  <c:v>175.53416605504682</c:v>
                </c:pt>
                <c:pt idx="73">
                  <c:v>174.87241168600835</c:v>
                </c:pt>
                <c:pt idx="74">
                  <c:v>174.19973499395505</c:v>
                </c:pt>
                <c:pt idx="75">
                  <c:v>173.51754534909742</c:v>
                </c:pt>
                <c:pt idx="76">
                  <c:v>172.82726465882641</c:v>
                </c:pt>
                <c:pt idx="77">
                  <c:v>172.13038059065173</c:v>
                </c:pt>
                <c:pt idx="78">
                  <c:v>171.42838917281787</c:v>
                </c:pt>
                <c:pt idx="79">
                  <c:v>170.72286841710013</c:v>
                </c:pt>
                <c:pt idx="80">
                  <c:v>170.01541523526296</c:v>
                </c:pt>
                <c:pt idx="81">
                  <c:v>169.30771401035</c:v>
                </c:pt>
                <c:pt idx="82">
                  <c:v>168.60150356334401</c:v>
                </c:pt>
                <c:pt idx="83">
                  <c:v>167.89867816254889</c:v>
                </c:pt>
                <c:pt idx="84">
                  <c:v>167.20192839743908</c:v>
                </c:pt>
                <c:pt idx="85">
                  <c:v>166.51457695056268</c:v>
                </c:pt>
                <c:pt idx="86">
                  <c:v>165.83995528765539</c:v>
                </c:pt>
                <c:pt idx="87">
                  <c:v>165.18133359554844</c:v>
                </c:pt>
                <c:pt idx="88">
                  <c:v>164.54190437563707</c:v>
                </c:pt>
                <c:pt idx="89">
                  <c:v>163.92472427807309</c:v>
                </c:pt>
                <c:pt idx="90">
                  <c:v>163.33265736515347</c:v>
                </c:pt>
                <c:pt idx="91">
                  <c:v>162.76833833584254</c:v>
                </c:pt>
                <c:pt idx="92">
                  <c:v>162.23412069952252</c:v>
                </c:pt>
                <c:pt idx="93">
                  <c:v>161.73201313600609</c:v>
                </c:pt>
                <c:pt idx="94">
                  <c:v>161.26364361726453</c:v>
                </c:pt>
                <c:pt idx="95">
                  <c:v>160.83022904547633</c:v>
                </c:pt>
                <c:pt idx="96">
                  <c:v>160.43252746595721</c:v>
                </c:pt>
                <c:pt idx="97">
                  <c:v>160.07082807454674</c:v>
                </c:pt>
                <c:pt idx="98">
                  <c:v>159.74495427059497</c:v>
                </c:pt>
                <c:pt idx="99">
                  <c:v>159.45425264884994</c:v>
                </c:pt>
                <c:pt idx="100">
                  <c:v>159.19758941304195</c:v>
                </c:pt>
                <c:pt idx="101">
                  <c:v>158.97312647839044</c:v>
                </c:pt>
                <c:pt idx="102">
                  <c:v>158.77854481772533</c:v>
                </c:pt>
                <c:pt idx="103">
                  <c:v>158.61144281579442</c:v>
                </c:pt>
                <c:pt idx="104">
                  <c:v>158.46937934037069</c:v>
                </c:pt>
                <c:pt idx="105">
                  <c:v>158.34991150026076</c:v>
                </c:pt>
                <c:pt idx="106">
                  <c:v>158.25062415065787</c:v>
                </c:pt>
                <c:pt idx="107">
                  <c:v>158.16917051503253</c:v>
                </c:pt>
                <c:pt idx="108">
                  <c:v>158.10329153510014</c:v>
                </c:pt>
                <c:pt idx="109">
                  <c:v>158.05084318018976</c:v>
                </c:pt>
                <c:pt idx="110">
                  <c:v>158.00981651157863</c:v>
                </c:pt>
                <c:pt idx="111">
                  <c:v>157.97834981855533</c:v>
                </c:pt>
                <c:pt idx="112">
                  <c:v>157.95473549046423</c:v>
                </c:pt>
                <c:pt idx="113">
                  <c:v>157.93738639631613</c:v>
                </c:pt>
                <c:pt idx="114">
                  <c:v>157.92490216739941</c:v>
                </c:pt>
                <c:pt idx="115">
                  <c:v>157.91612763010988</c:v>
                </c:pt>
                <c:pt idx="116">
                  <c:v>157.91012535615562</c:v>
                </c:pt>
                <c:pt idx="117">
                  <c:v>157.90614636526044</c:v>
                </c:pt>
                <c:pt idx="118">
                  <c:v>157.90360454556878</c:v>
                </c:pt>
                <c:pt idx="119">
                  <c:v>157.90205094995468</c:v>
                </c:pt>
                <c:pt idx="120">
                  <c:v>157.90115115206368</c:v>
                </c:pt>
                <c:pt idx="121">
                  <c:v>157.90066382505216</c:v>
                </c:pt>
                <c:pt idx="122">
                  <c:v>157.90042153498732</c:v>
                </c:pt>
                <c:pt idx="123">
                  <c:v>157.90031396760338</c:v>
                </c:pt>
                <c:pt idx="124">
                  <c:v>157.90027315268824</c:v>
                </c:pt>
                <c:pt idx="125">
                  <c:v>157.9002608711468</c:v>
                </c:pt>
                <c:pt idx="126">
                  <c:v>157.90025832947208</c:v>
                </c:pt>
                <c:pt idx="127">
                  <c:v>157.90025806905072</c:v>
                </c:pt>
                <c:pt idx="128">
                  <c:v>157.90025806383792</c:v>
                </c:pt>
                <c:pt idx="129">
                  <c:v>157.90025806383792</c:v>
                </c:pt>
              </c:numCache>
            </c:numRef>
          </c:yVal>
          <c:smooth val="0"/>
        </c:ser>
        <c:ser>
          <c:idx val="1"/>
          <c:order val="2"/>
          <c:tx>
            <c:v>Original</c:v>
          </c:tx>
          <c:spPr>
            <a:ln w="190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Main!$L$2:$L$131</c:f>
              <c:numCache>
                <c:formatCode>General</c:formatCode>
                <c:ptCount val="130"/>
                <c:pt idx="0">
                  <c:v>26</c:v>
                </c:pt>
                <c:pt idx="1">
                  <c:v>26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  <c:pt idx="5">
                  <c:v>26.037507000000002</c:v>
                </c:pt>
                <c:pt idx="6">
                  <c:v>26.092274</c:v>
                </c:pt>
                <c:pt idx="7">
                  <c:v>26.166817999999999</c:v>
                </c:pt>
                <c:pt idx="8">
                  <c:v>26.264181000000001</c:v>
                </c:pt>
                <c:pt idx="9">
                  <c:v>26.387405999999999</c:v>
                </c:pt>
                <c:pt idx="10">
                  <c:v>26.539535000000001</c:v>
                </c:pt>
                <c:pt idx="11">
                  <c:v>26.723611999999999</c:v>
                </c:pt>
                <c:pt idx="12">
                  <c:v>26.942678999999998</c:v>
                </c:pt>
                <c:pt idx="13">
                  <c:v>27.199777000000001</c:v>
                </c:pt>
                <c:pt idx="14">
                  <c:v>27.497949999999999</c:v>
                </c:pt>
                <c:pt idx="15">
                  <c:v>27.840240000000001</c:v>
                </c:pt>
                <c:pt idx="16">
                  <c:v>28.229687999999999</c:v>
                </c:pt>
                <c:pt idx="17">
                  <c:v>28.669335</c:v>
                </c:pt>
                <c:pt idx="18">
                  <c:v>29.160703000000002</c:v>
                </c:pt>
                <c:pt idx="19">
                  <c:v>29.703786999999998</c:v>
                </c:pt>
                <c:pt idx="20">
                  <c:v>30.298586</c:v>
                </c:pt>
                <c:pt idx="21">
                  <c:v>30.945095999999999</c:v>
                </c:pt>
                <c:pt idx="22">
                  <c:v>31.64331</c:v>
                </c:pt>
                <c:pt idx="23">
                  <c:v>32.393222999999999</c:v>
                </c:pt>
                <c:pt idx="24">
                  <c:v>33.194825000000002</c:v>
                </c:pt>
                <c:pt idx="25">
                  <c:v>34.048105999999997</c:v>
                </c:pt>
                <c:pt idx="26">
                  <c:v>34.953051000000002</c:v>
                </c:pt>
                <c:pt idx="27">
                  <c:v>35.909643000000003</c:v>
                </c:pt>
                <c:pt idx="28">
                  <c:v>36.917859</c:v>
                </c:pt>
                <c:pt idx="29">
                  <c:v>37.977674999999998</c:v>
                </c:pt>
                <c:pt idx="30">
                  <c:v>39.087535000000003</c:v>
                </c:pt>
                <c:pt idx="31">
                  <c:v>40.244363</c:v>
                </c:pt>
                <c:pt idx="32">
                  <c:v>41.445072000000003</c:v>
                </c:pt>
                <c:pt idx="33">
                  <c:v>42.686571000000001</c:v>
                </c:pt>
                <c:pt idx="34">
                  <c:v>43.965764</c:v>
                </c:pt>
                <c:pt idx="35">
                  <c:v>45.279546000000003</c:v>
                </c:pt>
                <c:pt idx="36">
                  <c:v>46.624806</c:v>
                </c:pt>
                <c:pt idx="37">
                  <c:v>47.998426000000002</c:v>
                </c:pt>
                <c:pt idx="38">
                  <c:v>49.397281</c:v>
                </c:pt>
                <c:pt idx="39">
                  <c:v>50.818240000000003</c:v>
                </c:pt>
                <c:pt idx="40">
                  <c:v>52.258167</c:v>
                </c:pt>
                <c:pt idx="41">
                  <c:v>53.713920000000002</c:v>
                </c:pt>
                <c:pt idx="42">
                  <c:v>55.182353999999997</c:v>
                </c:pt>
                <c:pt idx="43">
                  <c:v>56.660321000000003</c:v>
                </c:pt>
                <c:pt idx="44">
                  <c:v>58.144672</c:v>
                </c:pt>
                <c:pt idx="45">
                  <c:v>59.632258999999998</c:v>
                </c:pt>
                <c:pt idx="46">
                  <c:v>61.119936000000003</c:v>
                </c:pt>
                <c:pt idx="47">
                  <c:v>62.606071</c:v>
                </c:pt>
                <c:pt idx="48">
                  <c:v>64.090535000000003</c:v>
                </c:pt>
                <c:pt idx="49">
                  <c:v>65.573193000000003</c:v>
                </c:pt>
                <c:pt idx="50">
                  <c:v>67.053905999999998</c:v>
                </c:pt>
                <c:pt idx="51">
                  <c:v>68.532529999999994</c:v>
                </c:pt>
                <c:pt idx="52">
                  <c:v>70.008915000000002</c:v>
                </c:pt>
                <c:pt idx="53">
                  <c:v>71.482902999999993</c:v>
                </c:pt>
                <c:pt idx="54">
                  <c:v>72.876383000000004</c:v>
                </c:pt>
                <c:pt idx="55">
                  <c:v>74.339412999999993</c:v>
                </c:pt>
                <c:pt idx="56">
                  <c:v>75.794295000000005</c:v>
                </c:pt>
                <c:pt idx="57">
                  <c:v>77.240620000000007</c:v>
                </c:pt>
                <c:pt idx="58">
                  <c:v>78.678099000000003</c:v>
                </c:pt>
                <c:pt idx="59">
                  <c:v>80.106564000000006</c:v>
                </c:pt>
                <c:pt idx="60">
                  <c:v>81.525962000000007</c:v>
                </c:pt>
                <c:pt idx="61">
                  <c:v>82.936347999999995</c:v>
                </c:pt>
                <c:pt idx="62">
                  <c:v>84.337879000000001</c:v>
                </c:pt>
                <c:pt idx="63">
                  <c:v>85.730801</c:v>
                </c:pt>
                <c:pt idx="64">
                  <c:v>87.115447000000003</c:v>
                </c:pt>
                <c:pt idx="65">
                  <c:v>88.492223999999993</c:v>
                </c:pt>
                <c:pt idx="66">
                  <c:v>89.861602000000005</c:v>
                </c:pt>
                <c:pt idx="67">
                  <c:v>91.224113000000003</c:v>
                </c:pt>
                <c:pt idx="68">
                  <c:v>92.580337</c:v>
                </c:pt>
                <c:pt idx="69">
                  <c:v>93.930897000000002</c:v>
                </c:pt>
                <c:pt idx="70">
                  <c:v>95.276452000000006</c:v>
                </c:pt>
                <c:pt idx="71">
                  <c:v>96.617693000000003</c:v>
                </c:pt>
                <c:pt idx="72">
                  <c:v>97.955335000000005</c:v>
                </c:pt>
                <c:pt idx="73">
                  <c:v>99.290110999999996</c:v>
                </c:pt>
                <c:pt idx="74">
                  <c:v>100.622771</c:v>
                </c:pt>
                <c:pt idx="75">
                  <c:v>101.954077</c:v>
                </c:pt>
                <c:pt idx="76">
                  <c:v>103.28479400000001</c:v>
                </c:pt>
                <c:pt idx="77">
                  <c:v>104.61569299999999</c:v>
                </c:pt>
                <c:pt idx="78">
                  <c:v>105.947543</c:v>
                </c:pt>
                <c:pt idx="79">
                  <c:v>107.281109</c:v>
                </c:pt>
                <c:pt idx="80">
                  <c:v>108.61714600000001</c:v>
                </c:pt>
                <c:pt idx="81">
                  <c:v>109.95639799999999</c:v>
                </c:pt>
                <c:pt idx="82">
                  <c:v>111.29958999999999</c:v>
                </c:pt>
                <c:pt idx="83">
                  <c:v>112.647257</c:v>
                </c:pt>
                <c:pt idx="84">
                  <c:v>113.998531</c:v>
                </c:pt>
                <c:pt idx="85">
                  <c:v>115.351266</c:v>
                </c:pt>
                <c:pt idx="86">
                  <c:v>116.703221</c:v>
                </c:pt>
                <c:pt idx="87">
                  <c:v>118.052036</c:v>
                </c:pt>
                <c:pt idx="88">
                  <c:v>119.395225</c:v>
                </c:pt>
                <c:pt idx="89">
                  <c:v>120.730161</c:v>
                </c:pt>
                <c:pt idx="90">
                  <c:v>122.05407099999999</c:v>
                </c:pt>
                <c:pt idx="91">
                  <c:v>123.36403</c:v>
                </c:pt>
                <c:pt idx="92">
                  <c:v>124.65696699999999</c:v>
                </c:pt>
                <c:pt idx="93">
                  <c:v>125.929664</c:v>
                </c:pt>
                <c:pt idx="94">
                  <c:v>127.178774</c:v>
                </c:pt>
                <c:pt idx="95">
                  <c:v>128.40082899999999</c:v>
                </c:pt>
                <c:pt idx="96">
                  <c:v>129.59226100000001</c:v>
                </c:pt>
                <c:pt idx="97">
                  <c:v>130.74942300000001</c:v>
                </c:pt>
                <c:pt idx="98">
                  <c:v>131.86860799999999</c:v>
                </c:pt>
                <c:pt idx="99">
                  <c:v>132.946079</c:v>
                </c:pt>
                <c:pt idx="100">
                  <c:v>133.978264</c:v>
                </c:pt>
                <c:pt idx="101">
                  <c:v>134.96311</c:v>
                </c:pt>
                <c:pt idx="102">
                  <c:v>135.89991800000001</c:v>
                </c:pt>
                <c:pt idx="103">
                  <c:v>136.78806299999999</c:v>
                </c:pt>
                <c:pt idx="104">
                  <c:v>137.62699000000001</c:v>
                </c:pt>
                <c:pt idx="105">
                  <c:v>138.416213</c:v>
                </c:pt>
                <c:pt idx="106">
                  <c:v>139.15531799999999</c:v>
                </c:pt>
                <c:pt idx="107">
                  <c:v>139.84394700000001</c:v>
                </c:pt>
                <c:pt idx="108">
                  <c:v>140.48181099999999</c:v>
                </c:pt>
                <c:pt idx="109">
                  <c:v>141.06867</c:v>
                </c:pt>
                <c:pt idx="110">
                  <c:v>141.604331</c:v>
                </c:pt>
                <c:pt idx="111">
                  <c:v>142.08864399999999</c:v>
                </c:pt>
                <c:pt idx="112">
                  <c:v>142.521683</c:v>
                </c:pt>
                <c:pt idx="113">
                  <c:v>142.90506500000001</c:v>
                </c:pt>
                <c:pt idx="114">
                  <c:v>143.24177499999999</c:v>
                </c:pt>
                <c:pt idx="115">
                  <c:v>143.53481300000001</c:v>
                </c:pt>
                <c:pt idx="116">
                  <c:v>143.78719000000001</c:v>
                </c:pt>
                <c:pt idx="117">
                  <c:v>144.001936</c:v>
                </c:pt>
                <c:pt idx="118">
                  <c:v>144.18207799999999</c:v>
                </c:pt>
                <c:pt idx="119">
                  <c:v>144.33065300000001</c:v>
                </c:pt>
                <c:pt idx="120">
                  <c:v>144.45069799999999</c:v>
                </c:pt>
                <c:pt idx="121">
                  <c:v>144.54525799999999</c:v>
                </c:pt>
                <c:pt idx="122">
                  <c:v>144.61737400000001</c:v>
                </c:pt>
                <c:pt idx="123">
                  <c:v>144.67009100000001</c:v>
                </c:pt>
                <c:pt idx="124">
                  <c:v>144.70643799999999</c:v>
                </c:pt>
                <c:pt idx="125">
                  <c:v>144.72947300000001</c:v>
                </c:pt>
                <c:pt idx="126">
                  <c:v>144.742234</c:v>
                </c:pt>
                <c:pt idx="127">
                  <c:v>144.74776</c:v>
                </c:pt>
                <c:pt idx="128">
                  <c:v>144.74909500000001</c:v>
                </c:pt>
                <c:pt idx="129">
                  <c:v>144.74909500000001</c:v>
                </c:pt>
              </c:numCache>
            </c:numRef>
          </c:xVal>
          <c:yVal>
            <c:numRef>
              <c:f>Main!$M$2:$M$131</c:f>
              <c:numCache>
                <c:formatCode>General</c:formatCode>
                <c:ptCount val="130"/>
                <c:pt idx="0">
                  <c:v>203</c:v>
                </c:pt>
                <c:pt idx="1">
                  <c:v>203</c:v>
                </c:pt>
                <c:pt idx="2">
                  <c:v>203</c:v>
                </c:pt>
                <c:pt idx="3">
                  <c:v>203</c:v>
                </c:pt>
                <c:pt idx="4">
                  <c:v>203</c:v>
                </c:pt>
                <c:pt idx="5">
                  <c:v>202.99999800000001</c:v>
                </c:pt>
                <c:pt idx="6">
                  <c:v>202.99999</c:v>
                </c:pt>
                <c:pt idx="7">
                  <c:v>202.999968</c:v>
                </c:pt>
                <c:pt idx="8">
                  <c:v>202.99992</c:v>
                </c:pt>
                <c:pt idx="9">
                  <c:v>202.99982800000001</c:v>
                </c:pt>
                <c:pt idx="10">
                  <c:v>202.99966599999999</c:v>
                </c:pt>
                <c:pt idx="11">
                  <c:v>202.99939800000001</c:v>
                </c:pt>
                <c:pt idx="12">
                  <c:v>202.998975</c:v>
                </c:pt>
                <c:pt idx="13">
                  <c:v>202.998335</c:v>
                </c:pt>
                <c:pt idx="14">
                  <c:v>202.99739500000001</c:v>
                </c:pt>
                <c:pt idx="15">
                  <c:v>202.99605199999999</c:v>
                </c:pt>
                <c:pt idx="16">
                  <c:v>202.99417800000001</c:v>
                </c:pt>
                <c:pt idx="17">
                  <c:v>202.991612</c:v>
                </c:pt>
                <c:pt idx="18">
                  <c:v>202.98817199999999</c:v>
                </c:pt>
                <c:pt idx="19">
                  <c:v>202.983654</c:v>
                </c:pt>
                <c:pt idx="20">
                  <c:v>202.97782900000001</c:v>
                </c:pt>
                <c:pt idx="21">
                  <c:v>202.970439</c:v>
                </c:pt>
                <c:pt idx="22">
                  <c:v>202.96119200000001</c:v>
                </c:pt>
                <c:pt idx="23">
                  <c:v>202.94976500000001</c:v>
                </c:pt>
                <c:pt idx="24">
                  <c:v>202.93579800000001</c:v>
                </c:pt>
                <c:pt idx="25">
                  <c:v>202.91889499999999</c:v>
                </c:pt>
                <c:pt idx="26">
                  <c:v>202.89861500000001</c:v>
                </c:pt>
                <c:pt idx="27">
                  <c:v>202.87447800000001</c:v>
                </c:pt>
                <c:pt idx="28">
                  <c:v>202.84595200000001</c:v>
                </c:pt>
                <c:pt idx="29">
                  <c:v>202.81245999999999</c:v>
                </c:pt>
                <c:pt idx="30">
                  <c:v>202.77342300000001</c:v>
                </c:pt>
                <c:pt idx="31">
                  <c:v>202.728295</c:v>
                </c:pt>
                <c:pt idx="32">
                  <c:v>202.67652200000001</c:v>
                </c:pt>
                <c:pt idx="33">
                  <c:v>202.61754999999999</c:v>
                </c:pt>
                <c:pt idx="34">
                  <c:v>202.55082999999999</c:v>
                </c:pt>
                <c:pt idx="35">
                  <c:v>202.475821</c:v>
                </c:pt>
                <c:pt idx="36">
                  <c:v>202.39200099999999</c:v>
                </c:pt>
                <c:pt idx="37">
                  <c:v>202.29887299999999</c:v>
                </c:pt>
                <c:pt idx="38">
                  <c:v>202.19596799999999</c:v>
                </c:pt>
                <c:pt idx="39">
                  <c:v>202.08285599999999</c:v>
                </c:pt>
                <c:pt idx="40">
                  <c:v>201.95915400000001</c:v>
                </c:pt>
                <c:pt idx="41">
                  <c:v>201.82452900000001</c:v>
                </c:pt>
                <c:pt idx="42">
                  <c:v>201.67871099999999</c:v>
                </c:pt>
                <c:pt idx="43">
                  <c:v>201.52149499999999</c:v>
                </c:pt>
                <c:pt idx="44">
                  <c:v>201.35275300000001</c:v>
                </c:pt>
                <c:pt idx="45">
                  <c:v>201.172439</c:v>
                </c:pt>
                <c:pt idx="46">
                  <c:v>200.98059499999999</c:v>
                </c:pt>
                <c:pt idx="47">
                  <c:v>200.77714399999999</c:v>
                </c:pt>
                <c:pt idx="48">
                  <c:v>200.56183899999999</c:v>
                </c:pt>
                <c:pt idx="49">
                  <c:v>200.33443700000001</c:v>
                </c:pt>
                <c:pt idx="50">
                  <c:v>200.09469999999999</c:v>
                </c:pt>
                <c:pt idx="51">
                  <c:v>199.84239600000001</c:v>
                </c:pt>
                <c:pt idx="52">
                  <c:v>199.57730100000001</c:v>
                </c:pt>
                <c:pt idx="53">
                  <c:v>199.29919599999999</c:v>
                </c:pt>
                <c:pt idx="54">
                  <c:v>199.017843</c:v>
                </c:pt>
                <c:pt idx="55">
                  <c:v>198.68703199999999</c:v>
                </c:pt>
                <c:pt idx="56">
                  <c:v>198.32204400000001</c:v>
                </c:pt>
                <c:pt idx="57">
                  <c:v>197.924485</c:v>
                </c:pt>
                <c:pt idx="58">
                  <c:v>197.49603300000001</c:v>
                </c:pt>
                <c:pt idx="59">
                  <c:v>197.03841499999999</c:v>
                </c:pt>
                <c:pt idx="60">
                  <c:v>196.55339699999999</c:v>
                </c:pt>
                <c:pt idx="61">
                  <c:v>196.04275799999999</c:v>
                </c:pt>
                <c:pt idx="62">
                  <c:v>195.508284</c:v>
                </c:pt>
                <c:pt idx="63">
                  <c:v>194.95175599999999</c:v>
                </c:pt>
                <c:pt idx="64">
                  <c:v>194.37494000000001</c:v>
                </c:pt>
                <c:pt idx="65">
                  <c:v>193.77957799999999</c:v>
                </c:pt>
                <c:pt idx="66">
                  <c:v>193.16738799999999</c:v>
                </c:pt>
                <c:pt idx="67">
                  <c:v>192.54005799999999</c:v>
                </c:pt>
                <c:pt idx="68">
                  <c:v>191.89924500000001</c:v>
                </c:pt>
                <c:pt idx="69">
                  <c:v>191.246577</c:v>
                </c:pt>
                <c:pt idx="70">
                  <c:v>190.583651</c:v>
                </c:pt>
                <c:pt idx="71">
                  <c:v>189.912036</c:v>
                </c:pt>
                <c:pt idx="72">
                  <c:v>189.23327900000001</c:v>
                </c:pt>
                <c:pt idx="73">
                  <c:v>188.548903</c:v>
                </c:pt>
                <c:pt idx="74">
                  <c:v>187.86041499999999</c:v>
                </c:pt>
                <c:pt idx="75">
                  <c:v>187.16931</c:v>
                </c:pt>
                <c:pt idx="76">
                  <c:v>186.47707199999999</c:v>
                </c:pt>
                <c:pt idx="77">
                  <c:v>185.78518500000001</c:v>
                </c:pt>
                <c:pt idx="78">
                  <c:v>185.09513100000001</c:v>
                </c:pt>
                <c:pt idx="79">
                  <c:v>184.408399</c:v>
                </c:pt>
                <c:pt idx="80">
                  <c:v>183.72648899999999</c:v>
                </c:pt>
                <c:pt idx="81">
                  <c:v>183.050916</c:v>
                </c:pt>
                <c:pt idx="82">
                  <c:v>182.38321199999999</c:v>
                </c:pt>
                <c:pt idx="83">
                  <c:v>181.72501700000001</c:v>
                </c:pt>
                <c:pt idx="84">
                  <c:v>181.07863800000001</c:v>
                </c:pt>
                <c:pt idx="85">
                  <c:v>180.44690900000001</c:v>
                </c:pt>
                <c:pt idx="86">
                  <c:v>179.832559</c:v>
                </c:pt>
                <c:pt idx="87">
                  <c:v>179.23818199999999</c:v>
                </c:pt>
                <c:pt idx="88">
                  <c:v>178.666203</c:v>
                </c:pt>
                <c:pt idx="89">
                  <c:v>178.11884699999999</c:v>
                </c:pt>
                <c:pt idx="90">
                  <c:v>177.59810300000001</c:v>
                </c:pt>
                <c:pt idx="91">
                  <c:v>177.10570000000001</c:v>
                </c:pt>
                <c:pt idx="92">
                  <c:v>176.64307199999999</c:v>
                </c:pt>
                <c:pt idx="93">
                  <c:v>176.21133599999999</c:v>
                </c:pt>
                <c:pt idx="94">
                  <c:v>175.81127499999999</c:v>
                </c:pt>
                <c:pt idx="95">
                  <c:v>175.44332199999999</c:v>
                </c:pt>
                <c:pt idx="96">
                  <c:v>175.107551</c:v>
                </c:pt>
                <c:pt idx="97">
                  <c:v>174.80368300000001</c:v>
                </c:pt>
                <c:pt idx="98">
                  <c:v>174.531094</c:v>
                </c:pt>
                <c:pt idx="99">
                  <c:v>174.28882899999999</c:v>
                </c:pt>
                <c:pt idx="100">
                  <c:v>174.07559499999999</c:v>
                </c:pt>
                <c:pt idx="101">
                  <c:v>173.88957400000001</c:v>
                </c:pt>
                <c:pt idx="102">
                  <c:v>173.72860800000001</c:v>
                </c:pt>
                <c:pt idx="103">
                  <c:v>173.59053599999999</c:v>
                </c:pt>
                <c:pt idx="104">
                  <c:v>173.47321500000001</c:v>
                </c:pt>
                <c:pt idx="105">
                  <c:v>173.37454399999999</c:v>
                </c:pt>
                <c:pt idx="106">
                  <c:v>173.292484</c:v>
                </c:pt>
                <c:pt idx="107">
                  <c:v>173.225075</c:v>
                </c:pt>
                <c:pt idx="108">
                  <c:v>173.17045400000001</c:v>
                </c:pt>
                <c:pt idx="109">
                  <c:v>173.12686299999999</c:v>
                </c:pt>
                <c:pt idx="110">
                  <c:v>173.09266400000001</c:v>
                </c:pt>
                <c:pt idx="111">
                  <c:v>173.06634500000001</c:v>
                </c:pt>
                <c:pt idx="112">
                  <c:v>173.04651899999999</c:v>
                </c:pt>
                <c:pt idx="113">
                  <c:v>173.031892</c:v>
                </c:pt>
                <c:pt idx="114">
                  <c:v>173.02131299999999</c:v>
                </c:pt>
                <c:pt idx="115">
                  <c:v>173.013834</c:v>
                </c:pt>
                <c:pt idx="116">
                  <c:v>173.00868199999999</c:v>
                </c:pt>
                <c:pt idx="117">
                  <c:v>173.00523899999999</c:v>
                </c:pt>
                <c:pt idx="118">
                  <c:v>173.003017</c:v>
                </c:pt>
                <c:pt idx="119">
                  <c:v>173.001643</c:v>
                </c:pt>
                <c:pt idx="120">
                  <c:v>173.00083599999999</c:v>
                </c:pt>
                <c:pt idx="121">
                  <c:v>173.00039000000001</c:v>
                </c:pt>
                <c:pt idx="122">
                  <c:v>173.00016299999999</c:v>
                </c:pt>
                <c:pt idx="123">
                  <c:v>173.00005899999999</c:v>
                </c:pt>
                <c:pt idx="124">
                  <c:v>173.00001700000001</c:v>
                </c:pt>
                <c:pt idx="125">
                  <c:v>173.00000399999999</c:v>
                </c:pt>
                <c:pt idx="126">
                  <c:v>173</c:v>
                </c:pt>
                <c:pt idx="127">
                  <c:v>173</c:v>
                </c:pt>
                <c:pt idx="128">
                  <c:v>173</c:v>
                </c:pt>
                <c:pt idx="129">
                  <c:v>173</c:v>
                </c:pt>
              </c:numCache>
            </c:numRef>
          </c:yVal>
          <c:smooth val="0"/>
        </c:ser>
        <c:ser>
          <c:idx val="0"/>
          <c:order val="3"/>
          <c:tx>
            <c:v>Center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Main!$P$2:$P$131</c:f>
              <c:numCache>
                <c:formatCode>General</c:formatCode>
                <c:ptCount val="130"/>
                <c:pt idx="0">
                  <c:v>26</c:v>
                </c:pt>
                <c:pt idx="1">
                  <c:v>26.001520999992088</c:v>
                </c:pt>
                <c:pt idx="2">
                  <c:v>26.007605999968526</c:v>
                </c:pt>
                <c:pt idx="3">
                  <c:v>26.021297999946285</c:v>
                </c:pt>
                <c:pt idx="4">
                  <c:v>26.045638999946274</c:v>
                </c:pt>
                <c:pt idx="5">
                  <c:v>26.08367099980789</c:v>
                </c:pt>
                <c:pt idx="6">
                  <c:v>26.138437998596743</c:v>
                </c:pt>
                <c:pt idx="7">
                  <c:v>26.212981993177575</c:v>
                </c:pt>
                <c:pt idx="8">
                  <c:v>26.310344975340829</c:v>
                </c:pt>
                <c:pt idx="9">
                  <c:v>26.433569926613522</c:v>
                </c:pt>
                <c:pt idx="10">
                  <c:v>26.585699809220358</c:v>
                </c:pt>
                <c:pt idx="11">
                  <c:v>26.76977655182451</c:v>
                </c:pt>
                <c:pt idx="12">
                  <c:v>26.988843028261261</c:v>
                </c:pt>
                <c:pt idx="13">
                  <c:v>27.245941023809259</c:v>
                </c:pt>
                <c:pt idx="14">
                  <c:v>27.544114187763263</c:v>
                </c:pt>
                <c:pt idx="15">
                  <c:v>27.886402968129783</c:v>
                </c:pt>
                <c:pt idx="16">
                  <c:v>28.27584951621726</c:v>
                </c:pt>
                <c:pt idx="17">
                  <c:v>28.715495559022145</c:v>
                </c:pt>
                <c:pt idx="18">
                  <c:v>29.206861280863045</c:v>
                </c:pt>
                <c:pt idx="19">
                  <c:v>29.74994220066359</c:v>
                </c:pt>
                <c:pt idx="20">
                  <c:v>30.344736957916233</c:v>
                </c:pt>
                <c:pt idx="21">
                  <c:v>30.991239079544737</c:v>
                </c:pt>
                <c:pt idx="22">
                  <c:v>31.68944470723865</c:v>
                </c:pt>
                <c:pt idx="23">
                  <c:v>32.439345267438505</c:v>
                </c:pt>
                <c:pt idx="24">
                  <c:v>33.24093107628017</c:v>
                </c:pt>
                <c:pt idx="25">
                  <c:v>34.094190869281917</c:v>
                </c:pt>
                <c:pt idx="26">
                  <c:v>34.999107265344577</c:v>
                </c:pt>
                <c:pt idx="27">
                  <c:v>35.955663145513689</c:v>
                </c:pt>
                <c:pt idx="28">
                  <c:v>36.963832854257042</c:v>
                </c:pt>
                <c:pt idx="29">
                  <c:v>38.023589394444713</c:v>
                </c:pt>
                <c:pt idx="30">
                  <c:v>39.133376640996303</c:v>
                </c:pt>
                <c:pt idx="31">
                  <c:v>40.290112515682004</c:v>
                </c:pt>
                <c:pt idx="32">
                  <c:v>41.490708933403269</c:v>
                </c:pt>
                <c:pt idx="33">
                  <c:v>42.732073338745323</c:v>
                </c:pt>
                <c:pt idx="34">
                  <c:v>44.01110339571914</c:v>
                </c:pt>
                <c:pt idx="35">
                  <c:v>45.324691994737513</c:v>
                </c:pt>
                <c:pt idx="36">
                  <c:v>46.669723906048617</c:v>
                </c:pt>
                <c:pt idx="37">
                  <c:v>48.043077962276378</c:v>
                </c:pt>
                <c:pt idx="38">
                  <c:v>49.441625385980878</c:v>
                </c:pt>
                <c:pt idx="39">
                  <c:v>50.862231216095608</c:v>
                </c:pt>
                <c:pt idx="40">
                  <c:v>52.301755792133058</c:v>
                </c:pt>
                <c:pt idx="41">
                  <c:v>53.75705494620631</c:v>
                </c:pt>
                <c:pt idx="42">
                  <c:v>55.224978976233047</c:v>
                </c:pt>
                <c:pt idx="43">
                  <c:v>56.702377913223245</c:v>
                </c:pt>
                <c:pt idx="44">
                  <c:v>58.186101552965084</c:v>
                </c:pt>
                <c:pt idx="45">
                  <c:v>59.672999946161404</c:v>
                </c:pt>
                <c:pt idx="46">
                  <c:v>61.15992694980816</c:v>
                </c:pt>
                <c:pt idx="47">
                  <c:v>62.645247949272495</c:v>
                </c:pt>
                <c:pt idx="48">
                  <c:v>64.128831482063077</c:v>
                </c:pt>
                <c:pt idx="49">
                  <c:v>65.610541042262113</c:v>
                </c:pt>
                <c:pt idx="50">
                  <c:v>67.090234476020811</c:v>
                </c:pt>
                <c:pt idx="51">
                  <c:v>68.56776397681152</c:v>
                </c:pt>
                <c:pt idx="52">
                  <c:v>70.042976902335667</c:v>
                </c:pt>
                <c:pt idx="53">
                  <c:v>71.515714802404077</c:v>
                </c:pt>
                <c:pt idx="54">
                  <c:v>72.982650607360952</c:v>
                </c:pt>
                <c:pt idx="55">
                  <c:v>74.441685987623217</c:v>
                </c:pt>
                <c:pt idx="56">
                  <c:v>75.892348326144671</c:v>
                </c:pt>
                <c:pt idx="57">
                  <c:v>77.334288148885818</c:v>
                </c:pt>
                <c:pt idx="58">
                  <c:v>78.767278560689789</c:v>
                </c:pt>
                <c:pt idx="59">
                  <c:v>80.191209850398735</c:v>
                </c:pt>
                <c:pt idx="60">
                  <c:v>81.606084473046423</c:v>
                </c:pt>
                <c:pt idx="61">
                  <c:v>83.01200895277141</c:v>
                </c:pt>
                <c:pt idx="62">
                  <c:v>84.409186866333883</c:v>
                </c:pt>
                <c:pt idx="63">
                  <c:v>85.797909860717326</c:v>
                </c:pt>
                <c:pt idx="64">
                  <c:v>87.178547795176343</c:v>
                </c:pt>
                <c:pt idx="65">
                  <c:v>88.55154122543351</c:v>
                </c:pt>
                <c:pt idx="66">
                  <c:v>89.917393178027865</c:v>
                </c:pt>
                <c:pt idx="67">
                  <c:v>91.276660182503662</c:v>
                </c:pt>
                <c:pt idx="68">
                  <c:v>92.629945146759567</c:v>
                </c:pt>
                <c:pt idx="69">
                  <c:v>93.977890392036045</c:v>
                </c:pt>
                <c:pt idx="70">
                  <c:v>95.32117152926314</c:v>
                </c:pt>
                <c:pt idx="71">
                  <c:v>96.660491560315748</c:v>
                </c:pt>
                <c:pt idx="72">
                  <c:v>97.996576554174638</c:v>
                </c:pt>
                <c:pt idx="73">
                  <c:v>99.330168821721955</c:v>
                </c:pt>
                <c:pt idx="74">
                  <c:v>100.66202434884151</c:v>
                </c:pt>
                <c:pt idx="75">
                  <c:v>101.99290697401686</c:v>
                </c:pt>
                <c:pt idx="76">
                  <c:v>103.323586809899</c:v>
                </c:pt>
                <c:pt idx="77">
                  <c:v>104.65483320016335</c:v>
                </c:pt>
                <c:pt idx="78">
                  <c:v>105.98741460519544</c:v>
                </c:pt>
                <c:pt idx="79">
                  <c:v>107.32209084925366</c:v>
                </c:pt>
                <c:pt idx="80">
                  <c:v>108.65961286353614</c:v>
                </c:pt>
                <c:pt idx="81">
                  <c:v>110.00071542345643</c:v>
                </c:pt>
                <c:pt idx="82">
                  <c:v>111.34611383589446</c:v>
                </c:pt>
                <c:pt idx="83">
                  <c:v>112.69633069193456</c:v>
                </c:pt>
                <c:pt idx="84">
                  <c:v>114.05047387740132</c:v>
                </c:pt>
                <c:pt idx="85">
                  <c:v>115.40636480758691</c:v>
                </c:pt>
                <c:pt idx="86">
                  <c:v>116.76172007538756</c:v>
                </c:pt>
                <c:pt idx="87">
                  <c:v>118.11413590408232</c:v>
                </c:pt>
                <c:pt idx="88">
                  <c:v>119.46107245926686</c:v>
                </c:pt>
                <c:pt idx="89">
                  <c:v>120.79984884165349</c:v>
                </c:pt>
                <c:pt idx="90">
                  <c:v>122.12763295702487</c:v>
                </c:pt>
                <c:pt idx="91">
                  <c:v>123.44144407634174</c:v>
                </c:pt>
                <c:pt idx="92">
                  <c:v>124.7381534321309</c:v>
                </c:pt>
                <c:pt idx="93">
                  <c:v>126.01449095312074</c:v>
                </c:pt>
                <c:pt idx="94">
                  <c:v>127.26706193496936</c:v>
                </c:pt>
                <c:pt idx="95">
                  <c:v>128.4923573521142</c:v>
                </c:pt>
                <c:pt idx="96">
                  <c:v>129.68677488763313</c:v>
                </c:pt>
                <c:pt idx="97">
                  <c:v>130.8466443895658</c:v>
                </c:pt>
                <c:pt idx="98">
                  <c:v>131.9682451462094</c:v>
                </c:pt>
                <c:pt idx="99">
                  <c:v>133.04783287092422</c:v>
                </c:pt>
                <c:pt idx="100">
                  <c:v>134.08184172961828</c:v>
                </c:pt>
                <c:pt idx="101">
                  <c:v>135.06823174245179</c:v>
                </c:pt>
                <c:pt idx="102">
                  <c:v>136.00633041921117</c:v>
                </c:pt>
                <c:pt idx="103">
                  <c:v>136.89553887632465</c:v>
                </c:pt>
                <c:pt idx="104">
                  <c:v>137.7353285977062</c:v>
                </c:pt>
                <c:pt idx="105">
                  <c:v>138.52524101405234</c:v>
                </c:pt>
                <c:pt idx="106">
                  <c:v>139.26488482721433</c:v>
                </c:pt>
                <c:pt idx="107">
                  <c:v>139.95393135374056</c:v>
                </c:pt>
                <c:pt idx="108">
                  <c:v>140.5921084369146</c:v>
                </c:pt>
                <c:pt idx="109">
                  <c:v>141.17919748610083</c:v>
                </c:pt>
                <c:pt idx="110">
                  <c:v>141.71502516002829</c:v>
                </c:pt>
                <c:pt idx="111">
                  <c:v>142.19945419211714</c:v>
                </c:pt>
                <c:pt idx="112">
                  <c:v>142.63256909068252</c:v>
                </c:pt>
                <c:pt idx="113">
                  <c:v>143.01600405278128</c:v>
                </c:pt>
                <c:pt idx="114">
                  <c:v>143.3527455490927</c:v>
                </c:pt>
                <c:pt idx="115">
                  <c:v>143.64580253954369</c:v>
                </c:pt>
                <c:pt idx="116">
                  <c:v>143.89819244071302</c:v>
                </c:pt>
                <c:pt idx="117">
                  <c:v>144.11294233540795</c:v>
                </c:pt>
                <c:pt idx="118">
                  <c:v>144.29308813530403</c:v>
                </c:pt>
                <c:pt idx="119">
                  <c:v>144.44166555230532</c:v>
                </c:pt>
                <c:pt idx="120">
                  <c:v>144.56171366904735</c:v>
                </c:pt>
                <c:pt idx="121">
                  <c:v>144.65627497682473</c:v>
                </c:pt>
                <c:pt idx="122">
                  <c:v>144.7283907562491</c:v>
                </c:pt>
                <c:pt idx="123">
                  <c:v>144.78110369825953</c:v>
                </c:pt>
                <c:pt idx="124">
                  <c:v>144.81745568658886</c:v>
                </c:pt>
                <c:pt idx="125">
                  <c:v>144.84048868502663</c:v>
                </c:pt>
                <c:pt idx="126">
                  <c:v>144.85324668491995</c:v>
                </c:pt>
                <c:pt idx="127">
                  <c:v>144.8587716849182</c:v>
                </c:pt>
                <c:pt idx="128">
                  <c:v>144.86010668491818</c:v>
                </c:pt>
                <c:pt idx="129">
                  <c:v>144.86010668491818</c:v>
                </c:pt>
              </c:numCache>
            </c:numRef>
          </c:xVal>
          <c:yVal>
            <c:numRef>
              <c:f>Main!$Q$2:$Q$131</c:f>
              <c:numCache>
                <c:formatCode>General</c:formatCode>
                <c:ptCount val="130"/>
                <c:pt idx="0">
                  <c:v>203</c:v>
                </c:pt>
                <c:pt idx="1">
                  <c:v>203.000000155142</c:v>
                </c:pt>
                <c:pt idx="2">
                  <c:v>203.00000069062202</c:v>
                </c:pt>
                <c:pt idx="3">
                  <c:v>203.00000147106601</c:v>
                </c:pt>
                <c:pt idx="4">
                  <c:v>203.00000149540702</c:v>
                </c:pt>
                <c:pt idx="5">
                  <c:v>202.99999825100437</c:v>
                </c:pt>
                <c:pt idx="6">
                  <c:v>202.99998673311114</c:v>
                </c:pt>
                <c:pt idx="7">
                  <c:v>202.99995830894943</c:v>
                </c:pt>
                <c:pt idx="8">
                  <c:v>202.9998993744301</c:v>
                </c:pt>
                <c:pt idx="9">
                  <c:v>202.99978978956733</c:v>
                </c:pt>
                <c:pt idx="10">
                  <c:v>202.9996007974247</c:v>
                </c:pt>
                <c:pt idx="11">
                  <c:v>202.99929296427948</c:v>
                </c:pt>
                <c:pt idx="12">
                  <c:v>202.99881401690612</c:v>
                </c:pt>
                <c:pt idx="13">
                  <c:v>202.99809534716147</c:v>
                </c:pt>
                <c:pt idx="14">
                  <c:v>202.99704896164096</c:v>
                </c:pt>
                <c:pt idx="15">
                  <c:v>202.99556434074668</c:v>
                </c:pt>
                <c:pt idx="16">
                  <c:v>202.9935036401989</c:v>
                </c:pt>
                <c:pt idx="17">
                  <c:v>202.99069720633972</c:v>
                </c:pt>
                <c:pt idx="18">
                  <c:v>202.98695130194014</c:v>
                </c:pt>
                <c:pt idx="19">
                  <c:v>202.98205404172714</c:v>
                </c:pt>
                <c:pt idx="20">
                  <c:v>202.97576545454339</c:v>
                </c:pt>
                <c:pt idx="21">
                  <c:v>202.9678154651823</c:v>
                </c:pt>
                <c:pt idx="22">
                  <c:v>202.95790215934881</c:v>
                </c:pt>
                <c:pt idx="23">
                  <c:v>202.94568946873829</c:v>
                </c:pt>
                <c:pt idx="24">
                  <c:v>202.93080446824609</c:v>
                </c:pt>
                <c:pt idx="25">
                  <c:v>202.91283445857391</c:v>
                </c:pt>
                <c:pt idx="26">
                  <c:v>202.89132479281704</c:v>
                </c:pt>
                <c:pt idx="27">
                  <c:v>202.86577647148482</c:v>
                </c:pt>
                <c:pt idx="28">
                  <c:v>202.83564106419809</c:v>
                </c:pt>
                <c:pt idx="29">
                  <c:v>202.80031975965736</c:v>
                </c:pt>
                <c:pt idx="30">
                  <c:v>202.75922076094153</c:v>
                </c:pt>
                <c:pt idx="31">
                  <c:v>202.7117873394003</c:v>
                </c:pt>
                <c:pt idx="32">
                  <c:v>202.65745896394259</c:v>
                </c:pt>
                <c:pt idx="33">
                  <c:v>202.59567458929357</c:v>
                </c:pt>
                <c:pt idx="34">
                  <c:v>202.52587871658929</c:v>
                </c:pt>
                <c:pt idx="35">
                  <c:v>202.44753119296578</c:v>
                </c:pt>
                <c:pt idx="36">
                  <c:v>202.36010868754065</c:v>
                </c:pt>
                <c:pt idx="37">
                  <c:v>202.26311365226684</c:v>
                </c:pt>
                <c:pt idx="38">
                  <c:v>202.15608254735571</c:v>
                </c:pt>
                <c:pt idx="39">
                  <c:v>202.03859261851059</c:v>
                </c:pt>
                <c:pt idx="40">
                  <c:v>201.91026717569744</c:v>
                </c:pt>
                <c:pt idx="41">
                  <c:v>201.77078669255485</c:v>
                </c:pt>
                <c:pt idx="42">
                  <c:v>201.61989425950711</c:v>
                </c:pt>
                <c:pt idx="43">
                  <c:v>201.45740163861549</c:v>
                </c:pt>
                <c:pt idx="44">
                  <c:v>201.28320006544175</c:v>
                </c:pt>
                <c:pt idx="45">
                  <c:v>201.09726329728869</c:v>
                </c:pt>
                <c:pt idx="46">
                  <c:v>200.89965741218887</c:v>
                </c:pt>
                <c:pt idx="47">
                  <c:v>200.6903214894468</c:v>
                </c:pt>
                <c:pt idx="48">
                  <c:v>200.4690074563793</c:v>
                </c:pt>
                <c:pt idx="49">
                  <c:v>200.23547634664274</c:v>
                </c:pt>
                <c:pt idx="50">
                  <c:v>199.98949394464745</c:v>
                </c:pt>
                <c:pt idx="51">
                  <c:v>199.73083089298925</c:v>
                </c:pt>
                <c:pt idx="52">
                  <c:v>199.45926722758736</c:v>
                </c:pt>
                <c:pt idx="53">
                  <c:v>199.17458656842325</c:v>
                </c:pt>
                <c:pt idx="54">
                  <c:v>198.86137842016475</c:v>
                </c:pt>
                <c:pt idx="55">
                  <c:v>198.51321788371217</c:v>
                </c:pt>
                <c:pt idx="56">
                  <c:v>198.131670010444</c:v>
                </c:pt>
                <c:pt idx="57">
                  <c:v>197.71837889319946</c:v>
                </c:pt>
                <c:pt idx="58">
                  <c:v>197.27505228709751</c:v>
                </c:pt>
                <c:pt idx="59">
                  <c:v>196.80343837488985</c:v>
                </c:pt>
                <c:pt idx="60">
                  <c:v>196.30531208348617</c:v>
                </c:pt>
                <c:pt idx="61">
                  <c:v>195.78245803376484</c:v>
                </c:pt>
                <c:pt idx="62">
                  <c:v>195.23666148022753</c:v>
                </c:pt>
                <c:pt idx="63">
                  <c:v>194.6696972442561</c:v>
                </c:pt>
                <c:pt idx="64">
                  <c:v>194.08331947017803</c:v>
                </c:pt>
                <c:pt idx="65">
                  <c:v>193.47925900923832</c:v>
                </c:pt>
                <c:pt idx="66">
                  <c:v>192.85921994305443</c:v>
                </c:pt>
                <c:pt idx="67">
                  <c:v>192.22487523349707</c:v>
                </c:pt>
                <c:pt idx="68">
                  <c:v>191.57786688307269</c:v>
                </c:pt>
                <c:pt idx="69">
                  <c:v>190.91980638757357</c:v>
                </c:pt>
                <c:pt idx="70">
                  <c:v>190.25227677297218</c:v>
                </c:pt>
                <c:pt idx="71">
                  <c:v>189.57683480328029</c:v>
                </c:pt>
                <c:pt idx="72">
                  <c:v>188.89501599363578</c:v>
                </c:pt>
                <c:pt idx="73">
                  <c:v>188.20833436148155</c:v>
                </c:pt>
                <c:pt idx="74">
                  <c:v>187.51829026515068</c:v>
                </c:pt>
                <c:pt idx="75">
                  <c:v>186.8263716008509</c:v>
                </c:pt>
                <c:pt idx="76">
                  <c:v>186.1340630176478</c:v>
                </c:pt>
                <c:pt idx="77">
                  <c:v>185.44284449329524</c:v>
                </c:pt>
                <c:pt idx="78">
                  <c:v>184.75420322313877</c:v>
                </c:pt>
                <c:pt idx="79">
                  <c:v>184.06963085768231</c:v>
                </c:pt>
                <c:pt idx="80">
                  <c:v>183.39063537808786</c:v>
                </c:pt>
                <c:pt idx="81">
                  <c:v>182.71873960955284</c:v>
                </c:pt>
                <c:pt idx="82">
                  <c:v>182.05548768772434</c:v>
                </c:pt>
                <c:pt idx="83">
                  <c:v>181.40253020317104</c:v>
                </c:pt>
                <c:pt idx="84">
                  <c:v>180.76217283121773</c:v>
                </c:pt>
                <c:pt idx="85">
                  <c:v>180.13723119250139</c:v>
                </c:pt>
                <c:pt idx="86">
                  <c:v>179.53040331901005</c:v>
                </c:pt>
                <c:pt idx="87">
                  <c:v>178.94424163590813</c:v>
                </c:pt>
                <c:pt idx="88">
                  <c:v>178.3811183067194</c:v>
                </c:pt>
                <c:pt idx="89">
                  <c:v>177.84318991780526</c:v>
                </c:pt>
                <c:pt idx="90">
                  <c:v>177.33237038803722</c:v>
                </c:pt>
                <c:pt idx="91">
                  <c:v>176.85029753855972</c:v>
                </c:pt>
                <c:pt idx="92">
                  <c:v>176.3983050163452</c:v>
                </c:pt>
                <c:pt idx="93">
                  <c:v>175.97740270081641</c:v>
                </c:pt>
                <c:pt idx="94">
                  <c:v>175.58825755332674</c:v>
                </c:pt>
                <c:pt idx="95">
                  <c:v>175.23118124362693</c:v>
                </c:pt>
                <c:pt idx="96">
                  <c:v>174.90612866478952</c:v>
                </c:pt>
                <c:pt idx="97">
                  <c:v>174.61270128606267</c:v>
                </c:pt>
                <c:pt idx="98">
                  <c:v>174.35015771775926</c:v>
                </c:pt>
                <c:pt idx="99">
                  <c:v>174.11743732406532</c:v>
                </c:pt>
                <c:pt idx="100">
                  <c:v>173.91315531270055</c:v>
                </c:pt>
                <c:pt idx="101">
                  <c:v>173.7354367020647</c:v>
                </c:pt>
                <c:pt idx="102">
                  <c:v>173.58210545322311</c:v>
                </c:pt>
                <c:pt idx="103">
                  <c:v>173.45099059850847</c:v>
                </c:pt>
                <c:pt idx="104">
                  <c:v>173.33995033705833</c:v>
                </c:pt>
                <c:pt idx="105">
                  <c:v>173.24689247802854</c:v>
                </c:pt>
                <c:pt idx="106">
                  <c:v>173.16979617816807</c:v>
                </c:pt>
                <c:pt idx="107">
                  <c:v>173.10672591884452</c:v>
                </c:pt>
                <c:pt idx="108">
                  <c:v>173.0558475215087</c:v>
                </c:pt>
                <c:pt idx="109">
                  <c:v>173.01543954197984</c:v>
                </c:pt>
                <c:pt idx="110">
                  <c:v>172.98390172533848</c:v>
                </c:pt>
                <c:pt idx="111">
                  <c:v>172.95976433174525</c:v>
                </c:pt>
                <c:pt idx="112">
                  <c:v>172.94168675710986</c:v>
                </c:pt>
                <c:pt idx="113">
                  <c:v>172.92843176799946</c:v>
                </c:pt>
                <c:pt idx="114">
                  <c:v>172.91891315266145</c:v>
                </c:pt>
                <c:pt idx="115">
                  <c:v>172.91223812181423</c:v>
                </c:pt>
                <c:pt idx="116">
                  <c:v>172.90768317409393</c:v>
                </c:pt>
                <c:pt idx="117">
                  <c:v>172.90467233209955</c:v>
                </c:pt>
                <c:pt idx="118">
                  <c:v>172.90275527294426</c:v>
                </c:pt>
                <c:pt idx="119">
                  <c:v>172.90158827627369</c:v>
                </c:pt>
                <c:pt idx="120">
                  <c:v>172.90091584286301</c:v>
                </c:pt>
                <c:pt idx="121">
                  <c:v>172.9005540204864</c:v>
                </c:pt>
                <c:pt idx="122">
                  <c:v>172.90037565564768</c:v>
                </c:pt>
                <c:pt idx="123">
                  <c:v>172.900297466105</c:v>
                </c:pt>
                <c:pt idx="124">
                  <c:v>172.90026833698954</c:v>
                </c:pt>
                <c:pt idx="125">
                  <c:v>172.90025985377048</c:v>
                </c:pt>
                <c:pt idx="126">
                  <c:v>172.90025820406947</c:v>
                </c:pt>
                <c:pt idx="127">
                  <c:v>172.90025806424731</c:v>
                </c:pt>
                <c:pt idx="128">
                  <c:v>172.90025806383721</c:v>
                </c:pt>
                <c:pt idx="129">
                  <c:v>172.90025806383721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869920"/>
        <c:axId val="1852867744"/>
      </c:scatterChart>
      <c:valAx>
        <c:axId val="1852869920"/>
        <c:scaling>
          <c:orientation val="minMax"/>
          <c:max val="350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2867744"/>
        <c:crosses val="autoZero"/>
        <c:crossBetween val="midCat"/>
        <c:majorUnit val="50"/>
      </c:valAx>
      <c:valAx>
        <c:axId val="1852867744"/>
        <c:scaling>
          <c:orientation val="maxMin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2869920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12</xdr:row>
      <xdr:rowOff>166686</xdr:rowOff>
    </xdr:from>
    <xdr:to>
      <xdr:col>10</xdr:col>
      <xdr:colOff>381000</xdr:colOff>
      <xdr:row>41</xdr:row>
      <xdr:rowOff>76199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0</xdr:row>
          <xdr:rowOff>104775</xdr:rowOff>
        </xdr:from>
        <xdr:to>
          <xdr:col>4</xdr:col>
          <xdr:colOff>76200</xdr:colOff>
          <xdr:row>3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center and fix path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31"/>
  <sheetViews>
    <sheetView tabSelected="1" workbookViewId="0">
      <selection activeCell="B12" sqref="B12"/>
    </sheetView>
  </sheetViews>
  <sheetFormatPr defaultRowHeight="15" x14ac:dyDescent="0.25"/>
  <cols>
    <col min="1" max="1" width="12.85546875" customWidth="1"/>
    <col min="4" max="15" width="9.140625" customWidth="1"/>
  </cols>
  <sheetData>
    <row r="1" spans="1:23" x14ac:dyDescent="0.25">
      <c r="K1" t="s">
        <v>0</v>
      </c>
      <c r="L1" t="s">
        <v>8</v>
      </c>
      <c r="M1" t="s">
        <v>9</v>
      </c>
      <c r="N1" t="s">
        <v>7</v>
      </c>
      <c r="P1" t="s">
        <v>10</v>
      </c>
      <c r="Q1" t="s">
        <v>11</v>
      </c>
      <c r="S1" t="s">
        <v>14</v>
      </c>
      <c r="T1" t="s">
        <v>15</v>
      </c>
      <c r="V1" t="s">
        <v>16</v>
      </c>
      <c r="W1" t="s">
        <v>17</v>
      </c>
    </row>
    <row r="2" spans="1:23" x14ac:dyDescent="0.25">
      <c r="K2">
        <f>Center!A2</f>
        <v>0.02</v>
      </c>
      <c r="L2">
        <f>L3</f>
        <v>26</v>
      </c>
      <c r="M2">
        <f>M3</f>
        <v>203</v>
      </c>
      <c r="N2">
        <f>N3</f>
        <v>1.02E-4</v>
      </c>
      <c r="P2">
        <f>L2</f>
        <v>26</v>
      </c>
      <c r="Q2">
        <f>M2</f>
        <v>203</v>
      </c>
      <c r="S2">
        <f>P2 + $B$10/2 * SIN($N2)</f>
        <v>26.001529999997349</v>
      </c>
      <c r="T2">
        <f>Q2 - $B$10/2 * COS($N2)</f>
        <v>188.00000007802998</v>
      </c>
      <c r="V2">
        <f>P2 - $B$10/2 * SIN($N2)</f>
        <v>25.998470000002651</v>
      </c>
      <c r="W2">
        <f>Q2 + $B$10/2 * COS($N2)</f>
        <v>217.99999992197002</v>
      </c>
    </row>
    <row r="3" spans="1:23" x14ac:dyDescent="0.25">
      <c r="L3">
        <f>Center!B2</f>
        <v>26</v>
      </c>
      <c r="M3">
        <f>Center!C2</f>
        <v>203</v>
      </c>
      <c r="N3">
        <f>Center!H2</f>
        <v>1.02E-4</v>
      </c>
      <c r="P3">
        <f>P2 + (Center!$D2)*COS($N3)</f>
        <v>26.001520999992088</v>
      </c>
      <c r="Q3">
        <f>Q2 + (Center!$D2)*SIN($N3)</f>
        <v>203.000000155142</v>
      </c>
      <c r="S3">
        <f t="shared" ref="S3:S4" si="0">P3 + $B$10/2 * SIN($N3)</f>
        <v>26.003050999989437</v>
      </c>
      <c r="T3">
        <f t="shared" ref="T3:T4" si="1">Q3 - $B$10/2 * COS($N3)</f>
        <v>188.00000023317199</v>
      </c>
      <c r="V3">
        <f t="shared" ref="V3:V4" si="2">P3 - $B$10/2 * SIN($N3)</f>
        <v>25.99999099999474</v>
      </c>
      <c r="W3">
        <f t="shared" ref="W3:W4" si="3">Q3 + $B$10/2 * COS($N3)</f>
        <v>218.00000007711202</v>
      </c>
    </row>
    <row r="4" spans="1:23" x14ac:dyDescent="0.25">
      <c r="L4">
        <f>Center!B3</f>
        <v>26</v>
      </c>
      <c r="M4">
        <f>Center!C3</f>
        <v>203</v>
      </c>
      <c r="N4">
        <f>Center!H3</f>
        <v>8.7999999999999998E-5</v>
      </c>
      <c r="P4">
        <f>P3 + (Center!$D3-Center!$D2)*COS($N4)</f>
        <v>26.007605999968526</v>
      </c>
      <c r="Q4">
        <f>Q3 + (Center!$D3-Center!$D2)*SIN($N4)</f>
        <v>203.00000069062202</v>
      </c>
      <c r="S4">
        <f t="shared" si="0"/>
        <v>26.008925999966824</v>
      </c>
      <c r="T4">
        <f t="shared" si="1"/>
        <v>188.00000074870201</v>
      </c>
      <c r="V4">
        <f t="shared" si="2"/>
        <v>26.006285999970228</v>
      </c>
      <c r="W4">
        <f t="shared" si="3"/>
        <v>218.00000063254203</v>
      </c>
    </row>
    <row r="5" spans="1:23" x14ac:dyDescent="0.25">
      <c r="L5">
        <f>Center!B4</f>
        <v>26</v>
      </c>
      <c r="M5">
        <f>Center!C4</f>
        <v>203</v>
      </c>
      <c r="N5">
        <f>Center!H4</f>
        <v>5.7000000000000003E-5</v>
      </c>
      <c r="P5">
        <f>P4 + (Center!$D4-Center!$D3)*COS($N5)</f>
        <v>26.021297999946285</v>
      </c>
      <c r="Q5">
        <f>Q4 + (Center!$D4-Center!$D3)*SIN($N5)</f>
        <v>203.00000147106601</v>
      </c>
      <c r="S5">
        <f t="shared" ref="S5" si="4">P5 + $B$10/2 * SIN($N5)</f>
        <v>26.022152999945821</v>
      </c>
      <c r="T5">
        <f t="shared" ref="T5" si="5">Q5 - $B$10/2 * COS($N5)</f>
        <v>188.00000149543351</v>
      </c>
      <c r="V5">
        <f t="shared" ref="V5" si="6">P5 - $B$10/2 * SIN($N5)</f>
        <v>26.020442999946749</v>
      </c>
      <c r="W5">
        <f t="shared" ref="W5" si="7">Q5 + $B$10/2 * COS($N5)</f>
        <v>218.00000144669852</v>
      </c>
    </row>
    <row r="6" spans="1:23" x14ac:dyDescent="0.25">
      <c r="L6">
        <f>Center!B5</f>
        <v>26</v>
      </c>
      <c r="M6">
        <f>Center!C5</f>
        <v>203</v>
      </c>
      <c r="N6">
        <f>Center!H5</f>
        <v>9.9999999999999995E-7</v>
      </c>
      <c r="P6">
        <f>P5 + (Center!$D5-Center!$D4)*COS($N6)</f>
        <v>26.045638999946274</v>
      </c>
      <c r="Q6">
        <f>Q5 + (Center!$D5-Center!$D4)*SIN($N6)</f>
        <v>203.00000149540702</v>
      </c>
      <c r="S6">
        <f t="shared" ref="S6:S69" si="8">P6 + $B$10/2 * SIN($N6)</f>
        <v>26.045653999946275</v>
      </c>
      <c r="T6">
        <f t="shared" ref="T6:T69" si="9">Q6 - $B$10/2 * COS($N6)</f>
        <v>188.00000149541452</v>
      </c>
      <c r="V6">
        <f t="shared" ref="V6:V69" si="10">P6 - $B$10/2 * SIN($N6)</f>
        <v>26.045623999946272</v>
      </c>
      <c r="W6">
        <f t="shared" ref="W6:W69" si="11">Q6 + $B$10/2 * COS($N6)</f>
        <v>218.00000149539952</v>
      </c>
    </row>
    <row r="7" spans="1:23" x14ac:dyDescent="0.25">
      <c r="A7" s="1" t="s">
        <v>19</v>
      </c>
      <c r="C7" s="3">
        <f>MAX(Left!E:E)</f>
        <v>82.735650375170167</v>
      </c>
      <c r="L7">
        <f>Center!B6</f>
        <v>26.037507000000002</v>
      </c>
      <c r="M7">
        <f>Center!C6</f>
        <v>202.99999800000001</v>
      </c>
      <c r="N7">
        <f>Center!H6</f>
        <v>6.2831000000000001</v>
      </c>
      <c r="P7">
        <f>P6 + (Center!$D6-Center!$D5)*COS($N7)</f>
        <v>26.08367099980789</v>
      </c>
      <c r="Q7">
        <f>Q6 + (Center!$D6-Center!$D5)*SIN($N7)</f>
        <v>202.99999825100437</v>
      </c>
      <c r="S7">
        <f t="shared" si="8"/>
        <v>26.082391392115646</v>
      </c>
      <c r="T7">
        <f t="shared" si="9"/>
        <v>187.99999830558423</v>
      </c>
      <c r="V7">
        <f t="shared" si="10"/>
        <v>26.084950607500133</v>
      </c>
      <c r="W7">
        <f t="shared" si="11"/>
        <v>217.99999819642451</v>
      </c>
    </row>
    <row r="8" spans="1:23" x14ac:dyDescent="0.25">
      <c r="A8" s="1" t="s">
        <v>20</v>
      </c>
      <c r="C8" s="3">
        <f>MAX(Right!E:E)</f>
        <v>92.916042170829982</v>
      </c>
      <c r="L8">
        <f>Center!B7</f>
        <v>26.092274</v>
      </c>
      <c r="M8">
        <f>Center!C7</f>
        <v>202.99999</v>
      </c>
      <c r="N8">
        <f>Center!H7</f>
        <v>6.2829750000000004</v>
      </c>
      <c r="P8">
        <f>P7 + (Center!$D7-Center!$D6)*COS($N8)</f>
        <v>26.138437998596743</v>
      </c>
      <c r="Q8">
        <f>Q7 + (Center!$D7-Center!$D6)*SIN($N8)</f>
        <v>202.99998673311114</v>
      </c>
      <c r="S8">
        <f t="shared" si="8"/>
        <v>26.135283390926205</v>
      </c>
      <c r="T8">
        <f t="shared" si="9"/>
        <v>187.99998706482947</v>
      </c>
      <c r="V8">
        <f t="shared" si="10"/>
        <v>26.141592606267281</v>
      </c>
      <c r="W8">
        <f t="shared" si="11"/>
        <v>217.99998640139282</v>
      </c>
    </row>
    <row r="9" spans="1:23" x14ac:dyDescent="0.25">
      <c r="L9">
        <f>Center!B8</f>
        <v>26.166817999999999</v>
      </c>
      <c r="M9">
        <f>Center!C8</f>
        <v>202.999968</v>
      </c>
      <c r="N9">
        <f>Center!H8</f>
        <v>6.2828039999999996</v>
      </c>
      <c r="P9">
        <f>P8 + (Center!$D8-Center!$D7)*COS($N9)</f>
        <v>26.212981993177575</v>
      </c>
      <c r="Q9">
        <f>Q8 + (Center!$D8-Center!$D7)*SIN($N9)</f>
        <v>202.99995830894943</v>
      </c>
      <c r="S9">
        <f t="shared" si="8"/>
        <v>26.207262385622371</v>
      </c>
      <c r="T9">
        <f t="shared" si="9"/>
        <v>187.99995939941317</v>
      </c>
      <c r="V9">
        <f t="shared" si="10"/>
        <v>26.218701600732778</v>
      </c>
      <c r="W9">
        <f t="shared" si="11"/>
        <v>217.99995721848569</v>
      </c>
    </row>
    <row r="10" spans="1:23" x14ac:dyDescent="0.25">
      <c r="A10" s="1" t="s">
        <v>13</v>
      </c>
      <c r="B10" s="2">
        <v>30</v>
      </c>
      <c r="L10">
        <f>Center!B9</f>
        <v>26.264181000000001</v>
      </c>
      <c r="M10">
        <f>Center!C9</f>
        <v>202.99992</v>
      </c>
      <c r="N10">
        <f>Center!H9</f>
        <v>6.2825800000000003</v>
      </c>
      <c r="P10">
        <f>P9 + (Center!$D9-Center!$D8)*COS($N10)</f>
        <v>26.310344975340829</v>
      </c>
      <c r="Q10">
        <f>Q9 + (Center!$D9-Center!$D8)*SIN($N10)</f>
        <v>202.9998993744301</v>
      </c>
      <c r="S10">
        <f t="shared" si="8"/>
        <v>26.301265368201491</v>
      </c>
      <c r="T10">
        <f t="shared" si="9"/>
        <v>187.99990212240587</v>
      </c>
      <c r="V10">
        <f t="shared" si="10"/>
        <v>26.319424582480167</v>
      </c>
      <c r="W10">
        <f t="shared" si="11"/>
        <v>217.99989662645433</v>
      </c>
    </row>
    <row r="11" spans="1:23" x14ac:dyDescent="0.25">
      <c r="L11">
        <f>Center!B10</f>
        <v>26.387405999999999</v>
      </c>
      <c r="M11">
        <f>Center!C10</f>
        <v>202.99982800000001</v>
      </c>
      <c r="N11">
        <f>Center!H10</f>
        <v>6.2822959999999997</v>
      </c>
      <c r="P11">
        <f>P10 + (Center!$D10-Center!$D9)*COS($N11)</f>
        <v>26.433569926613522</v>
      </c>
      <c r="Q11">
        <f>Q10 + (Center!$D10-Center!$D9)*SIN($N11)</f>
        <v>202.99978978956733</v>
      </c>
      <c r="S11">
        <f t="shared" si="8"/>
        <v>26.42023032067803</v>
      </c>
      <c r="T11">
        <f t="shared" si="9"/>
        <v>187.99979572107139</v>
      </c>
      <c r="V11">
        <f t="shared" si="10"/>
        <v>26.446909532549014</v>
      </c>
      <c r="W11">
        <f t="shared" si="11"/>
        <v>217.99978385806327</v>
      </c>
    </row>
    <row r="12" spans="1:23" x14ac:dyDescent="0.25">
      <c r="A12" s="1" t="s">
        <v>12</v>
      </c>
      <c r="B12" t="s">
        <v>18</v>
      </c>
      <c r="L12">
        <f>Center!B11</f>
        <v>26.539535000000001</v>
      </c>
      <c r="M12">
        <f>Center!C11</f>
        <v>202.99966599999999</v>
      </c>
      <c r="N12">
        <f>Center!H11</f>
        <v>6.2819430000000001</v>
      </c>
      <c r="P12">
        <f>P11 + (Center!$D11-Center!$D10)*COS($N12)</f>
        <v>26.585699809220358</v>
      </c>
      <c r="Q12">
        <f>Q11 + (Center!$D11-Center!$D10)*SIN($N12)</f>
        <v>202.9996007974247</v>
      </c>
      <c r="S12">
        <f t="shared" si="8"/>
        <v>26.567065206319779</v>
      </c>
      <c r="T12">
        <f t="shared" si="9"/>
        <v>187.99961237237667</v>
      </c>
      <c r="V12">
        <f t="shared" si="10"/>
        <v>26.604334412120938</v>
      </c>
      <c r="W12">
        <f t="shared" si="11"/>
        <v>217.99958922247274</v>
      </c>
    </row>
    <row r="13" spans="1:23" x14ac:dyDescent="0.25">
      <c r="L13">
        <f>Center!B12</f>
        <v>26.723611999999999</v>
      </c>
      <c r="M13">
        <f>Center!C12</f>
        <v>202.99939800000001</v>
      </c>
      <c r="N13">
        <f>Center!H12</f>
        <v>6.2815130000000003</v>
      </c>
      <c r="P13">
        <f>P12 + (Center!$D12-Center!$D11)*COS($N13)</f>
        <v>26.76977655182451</v>
      </c>
      <c r="Q13">
        <f>Q12 + (Center!$D12-Center!$D11)*SIN($N13)</f>
        <v>202.99929296427948</v>
      </c>
      <c r="S13">
        <f t="shared" si="8"/>
        <v>26.744691955822699</v>
      </c>
      <c r="T13">
        <f t="shared" si="9"/>
        <v>187.99931393885936</v>
      </c>
      <c r="V13">
        <f t="shared" si="10"/>
        <v>26.794861147826321</v>
      </c>
      <c r="W13">
        <f t="shared" si="11"/>
        <v>217.99927198969959</v>
      </c>
    </row>
    <row r="14" spans="1:23" x14ac:dyDescent="0.25">
      <c r="L14">
        <f>Center!B13</f>
        <v>26.942678999999998</v>
      </c>
      <c r="M14">
        <f>Center!C13</f>
        <v>202.998975</v>
      </c>
      <c r="N14">
        <f>Center!H13</f>
        <v>6.2809990000000004</v>
      </c>
      <c r="P14">
        <f>P13 + (Center!$D13-Center!$D12)*COS($N14)</f>
        <v>26.988843028261261</v>
      </c>
      <c r="Q14">
        <f>Q13 + (Center!$D13-Center!$D12)*SIN($N14)</f>
        <v>202.99881401690612</v>
      </c>
      <c r="S14">
        <f t="shared" si="8"/>
        <v>26.956048446693501</v>
      </c>
      <c r="T14">
        <f t="shared" si="9"/>
        <v>187.99884986643497</v>
      </c>
      <c r="V14">
        <f t="shared" si="10"/>
        <v>27.021637609829021</v>
      </c>
      <c r="W14">
        <f t="shared" si="11"/>
        <v>217.99877816737728</v>
      </c>
    </row>
    <row r="15" spans="1:23" x14ac:dyDescent="0.25">
      <c r="L15">
        <f>Center!B14</f>
        <v>27.199777000000001</v>
      </c>
      <c r="M15">
        <f>Center!C14</f>
        <v>202.998335</v>
      </c>
      <c r="N15">
        <f>Center!H14</f>
        <v>6.2803899999999997</v>
      </c>
      <c r="P15">
        <f>P14 + (Center!$D14-Center!$D13)*COS($N15)</f>
        <v>27.245941023809259</v>
      </c>
      <c r="Q15">
        <f>Q14 + (Center!$D14-Center!$D13)*SIN($N15)</f>
        <v>202.99809534716147</v>
      </c>
      <c r="S15">
        <f t="shared" si="8"/>
        <v>27.204011470719959</v>
      </c>
      <c r="T15">
        <f t="shared" si="9"/>
        <v>187.99815395019002</v>
      </c>
      <c r="V15">
        <f t="shared" si="10"/>
        <v>27.287870576898559</v>
      </c>
      <c r="W15">
        <f t="shared" si="11"/>
        <v>217.99803674413292</v>
      </c>
    </row>
    <row r="16" spans="1:23" x14ac:dyDescent="0.25">
      <c r="L16">
        <f>Center!B15</f>
        <v>27.497949999999999</v>
      </c>
      <c r="M16">
        <f>Center!C15</f>
        <v>202.99739500000001</v>
      </c>
      <c r="N16">
        <f>Center!H15</f>
        <v>6.2796760000000003</v>
      </c>
      <c r="P16">
        <f>P15 + (Center!$D15-Center!$D14)*COS($N16)</f>
        <v>27.544114187763263</v>
      </c>
      <c r="Q16">
        <f>Q15 + (Center!$D15-Center!$D14)*SIN($N16)</f>
        <v>202.99704896164096</v>
      </c>
      <c r="S16">
        <f t="shared" si="8"/>
        <v>27.491474688114277</v>
      </c>
      <c r="T16">
        <f t="shared" si="9"/>
        <v>187.99714132582278</v>
      </c>
      <c r="V16">
        <f t="shared" si="10"/>
        <v>27.596753687412249</v>
      </c>
      <c r="W16">
        <f t="shared" si="11"/>
        <v>217.99695659745913</v>
      </c>
    </row>
    <row r="17" spans="12:23" x14ac:dyDescent="0.25">
      <c r="L17">
        <f>Center!B16</f>
        <v>27.840240000000001</v>
      </c>
      <c r="M17">
        <f>Center!C16</f>
        <v>202.99605199999999</v>
      </c>
      <c r="N17">
        <f>Center!H16</f>
        <v>6.278848</v>
      </c>
      <c r="P17">
        <f>P16 + (Center!$D16-Center!$D15)*COS($N17)</f>
        <v>27.886402968129783</v>
      </c>
      <c r="Q17">
        <f>Q16 + (Center!$D16-Center!$D15)*SIN($N17)</f>
        <v>202.99556434074668</v>
      </c>
      <c r="S17">
        <f t="shared" si="8"/>
        <v>27.821343564421884</v>
      </c>
      <c r="T17">
        <f t="shared" si="9"/>
        <v>187.99570543227728</v>
      </c>
      <c r="V17">
        <f t="shared" si="10"/>
        <v>27.951462371837682</v>
      </c>
      <c r="W17">
        <f t="shared" si="11"/>
        <v>217.99542324921609</v>
      </c>
    </row>
    <row r="18" spans="12:23" x14ac:dyDescent="0.25">
      <c r="L18">
        <f>Center!B17</f>
        <v>28.229687999999999</v>
      </c>
      <c r="M18">
        <f>Center!C17</f>
        <v>202.99417800000001</v>
      </c>
      <c r="N18">
        <f>Center!H17</f>
        <v>6.2778939999999999</v>
      </c>
      <c r="P18">
        <f>P17 + (Center!$D17-Center!$D16)*COS($N18)</f>
        <v>28.27584951621726</v>
      </c>
      <c r="Q18">
        <f>Q17 + (Center!$D17-Center!$D16)*SIN($N18)</f>
        <v>202.9935036401989</v>
      </c>
      <c r="S18">
        <f t="shared" si="8"/>
        <v>28.196480278887083</v>
      </c>
      <c r="T18">
        <f t="shared" si="9"/>
        <v>187.99371362419649</v>
      </c>
      <c r="V18">
        <f t="shared" si="10"/>
        <v>28.355218753547437</v>
      </c>
      <c r="W18">
        <f t="shared" si="11"/>
        <v>217.9932936562013</v>
      </c>
    </row>
    <row r="19" spans="12:23" x14ac:dyDescent="0.25">
      <c r="L19">
        <f>Center!B18</f>
        <v>28.669335</v>
      </c>
      <c r="M19">
        <f>Center!C18</f>
        <v>202.991612</v>
      </c>
      <c r="N19">
        <f>Center!H18</f>
        <v>6.276802</v>
      </c>
      <c r="P19">
        <f>P18 + (Center!$D18-Center!$D17)*COS($N19)</f>
        <v>28.715495559022145</v>
      </c>
      <c r="Q19">
        <f>Q18 + (Center!$D18-Center!$D17)*SIN($N19)</f>
        <v>202.99069720633972</v>
      </c>
      <c r="S19">
        <f t="shared" si="8"/>
        <v>28.619746601572352</v>
      </c>
      <c r="T19">
        <f t="shared" si="9"/>
        <v>187.99100280488116</v>
      </c>
      <c r="V19">
        <f t="shared" si="10"/>
        <v>28.811244516471938</v>
      </c>
      <c r="W19">
        <f t="shared" si="11"/>
        <v>217.99039160779827</v>
      </c>
    </row>
    <row r="20" spans="12:23" x14ac:dyDescent="0.25">
      <c r="L20">
        <f>Center!B19</f>
        <v>29.160703000000002</v>
      </c>
      <c r="M20">
        <f>Center!C19</f>
        <v>202.98817199999999</v>
      </c>
      <c r="N20">
        <f>Center!H19</f>
        <v>6.2755619999999999</v>
      </c>
      <c r="P20">
        <f>P19 + (Center!$D19-Center!$D18)*COS($N20)</f>
        <v>29.206861280863045</v>
      </c>
      <c r="Q20">
        <f>Q19 + (Center!$D19-Center!$D18)*SIN($N20)</f>
        <v>202.98695130194014</v>
      </c>
      <c r="S20">
        <f t="shared" si="8"/>
        <v>29.092512780733692</v>
      </c>
      <c r="T20">
        <f t="shared" si="9"/>
        <v>187.98738716092197</v>
      </c>
      <c r="V20">
        <f t="shared" si="10"/>
        <v>29.321209780992397</v>
      </c>
      <c r="W20">
        <f t="shared" si="11"/>
        <v>217.98651544295831</v>
      </c>
    </row>
    <row r="21" spans="12:23" x14ac:dyDescent="0.25">
      <c r="L21">
        <f>Center!B20</f>
        <v>29.703786999999998</v>
      </c>
      <c r="M21">
        <f>Center!C20</f>
        <v>202.983654</v>
      </c>
      <c r="N21">
        <f>Center!H20</f>
        <v>6.2741680000000004</v>
      </c>
      <c r="P21">
        <f>P20 + (Center!$D20-Center!$D19)*COS($N21)</f>
        <v>29.74994220066359</v>
      </c>
      <c r="Q21">
        <f>Q20 + (Center!$D20-Center!$D19)*SIN($N21)</f>
        <v>202.98205404172714</v>
      </c>
      <c r="S21">
        <f t="shared" si="8"/>
        <v>29.614684425996689</v>
      </c>
      <c r="T21">
        <f t="shared" si="9"/>
        <v>187.98266387631068</v>
      </c>
      <c r="V21">
        <f t="shared" si="10"/>
        <v>29.88519997533049</v>
      </c>
      <c r="W21">
        <f t="shared" si="11"/>
        <v>217.9814442071436</v>
      </c>
    </row>
    <row r="22" spans="12:23" x14ac:dyDescent="0.25">
      <c r="L22">
        <f>Center!B21</f>
        <v>30.298586</v>
      </c>
      <c r="M22">
        <f>Center!C21</f>
        <v>202.97782900000001</v>
      </c>
      <c r="N22">
        <f>Center!H21</f>
        <v>6.2726129999999998</v>
      </c>
      <c r="P22">
        <f>P21 + (Center!$D21-Center!$D20)*COS($N22)</f>
        <v>30.344736957916233</v>
      </c>
      <c r="Q22">
        <f>Q21 + (Center!$D21-Center!$D20)*SIN($N22)</f>
        <v>202.97576545454339</v>
      </c>
      <c r="S22">
        <f t="shared" si="8"/>
        <v>30.186155304470098</v>
      </c>
      <c r="T22">
        <f t="shared" si="9"/>
        <v>187.97660374932832</v>
      </c>
      <c r="V22">
        <f t="shared" si="10"/>
        <v>30.503318611362367</v>
      </c>
      <c r="W22">
        <f t="shared" si="11"/>
        <v>217.97492715975847</v>
      </c>
    </row>
    <row r="23" spans="12:23" x14ac:dyDescent="0.25">
      <c r="L23">
        <f>Center!B22</f>
        <v>30.945095999999999</v>
      </c>
      <c r="M23">
        <f>Center!C22</f>
        <v>202.970439</v>
      </c>
      <c r="N23">
        <f>Center!H22</f>
        <v>6.2708890000000004</v>
      </c>
      <c r="P23">
        <f>P22 + (Center!$D22-Center!$D21)*COS($N23)</f>
        <v>30.991239079544737</v>
      </c>
      <c r="Q23">
        <f>Q22 + (Center!$D22-Center!$D21)*SIN($N23)</f>
        <v>202.9678154651823</v>
      </c>
      <c r="S23">
        <f t="shared" si="8"/>
        <v>30.806799119794416</v>
      </c>
      <c r="T23">
        <f t="shared" si="9"/>
        <v>187.96894944467104</v>
      </c>
      <c r="V23">
        <f t="shared" si="10"/>
        <v>31.175679039295058</v>
      </c>
      <c r="W23">
        <f t="shared" si="11"/>
        <v>217.96668148569356</v>
      </c>
    </row>
    <row r="24" spans="12:23" x14ac:dyDescent="0.25">
      <c r="L24">
        <f>Center!B23</f>
        <v>31.64331</v>
      </c>
      <c r="M24">
        <f>Center!C23</f>
        <v>202.96119200000001</v>
      </c>
      <c r="N24">
        <f>Center!H23</f>
        <v>6.2689880000000002</v>
      </c>
      <c r="P24">
        <f>P23 + (Center!$D23-Center!$D22)*COS($N24)</f>
        <v>31.68944470723865</v>
      </c>
      <c r="Q24">
        <f>Q23 + (Center!$D23-Center!$D22)*SIN($N24)</f>
        <v>202.95790215934881</v>
      </c>
      <c r="S24">
        <f t="shared" si="8"/>
        <v>31.476492253621174</v>
      </c>
      <c r="T24">
        <f t="shared" si="9"/>
        <v>187.95941386044021</v>
      </c>
      <c r="V24">
        <f t="shared" si="10"/>
        <v>31.902397160856125</v>
      </c>
      <c r="W24">
        <f t="shared" si="11"/>
        <v>217.9563904582574</v>
      </c>
    </row>
    <row r="25" spans="12:23" x14ac:dyDescent="0.25">
      <c r="L25">
        <f>Center!B24</f>
        <v>32.393222999999999</v>
      </c>
      <c r="M25">
        <f>Center!C24</f>
        <v>202.94976500000001</v>
      </c>
      <c r="N25">
        <f>Center!H24</f>
        <v>6.2669009999999998</v>
      </c>
      <c r="P25">
        <f>P24 + (Center!$D24-Center!$D23)*COS($N25)</f>
        <v>32.439345267438505</v>
      </c>
      <c r="Q25">
        <f>Q24 + (Center!$D24-Center!$D23)*SIN($N25)</f>
        <v>202.94568946873829</v>
      </c>
      <c r="S25">
        <f t="shared" si="8"/>
        <v>32.195091455228471</v>
      </c>
      <c r="T25">
        <f t="shared" si="9"/>
        <v>187.94767826474126</v>
      </c>
      <c r="V25">
        <f t="shared" si="10"/>
        <v>32.683599079648538</v>
      </c>
      <c r="W25">
        <f t="shared" si="11"/>
        <v>217.94370067273533</v>
      </c>
    </row>
    <row r="26" spans="12:23" x14ac:dyDescent="0.25">
      <c r="L26">
        <f>Center!B25</f>
        <v>33.194825000000002</v>
      </c>
      <c r="M26">
        <f>Center!C25</f>
        <v>202.93579800000001</v>
      </c>
      <c r="N26">
        <f>Center!H25</f>
        <v>6.2646179999999996</v>
      </c>
      <c r="P26">
        <f>P25 + (Center!$D25-Center!$D24)*COS($N26)</f>
        <v>33.24093107628017</v>
      </c>
      <c r="Q26">
        <f>Q25 + (Center!$D25-Center!$D24)*SIN($N26)</f>
        <v>202.93080446824609</v>
      </c>
      <c r="S26">
        <f t="shared" si="8"/>
        <v>32.962437470771484</v>
      </c>
      <c r="T26">
        <f t="shared" si="9"/>
        <v>187.93338998068555</v>
      </c>
      <c r="V26">
        <f t="shared" si="10"/>
        <v>33.519424681788855</v>
      </c>
      <c r="W26">
        <f t="shared" si="11"/>
        <v>217.92821895580664</v>
      </c>
    </row>
    <row r="27" spans="12:23" x14ac:dyDescent="0.25">
      <c r="L27">
        <f>Center!B26</f>
        <v>34.048105999999997</v>
      </c>
      <c r="M27">
        <f>Center!C26</f>
        <v>202.91889499999999</v>
      </c>
      <c r="N27">
        <f>Center!H26</f>
        <v>6.2621279999999997</v>
      </c>
      <c r="P27">
        <f>P26 + (Center!$D26-Center!$D25)*COS($N27)</f>
        <v>34.094190869281917</v>
      </c>
      <c r="Q27">
        <f>Q26 + (Center!$D26-Center!$D25)*SIN($N27)</f>
        <v>202.91283445857391</v>
      </c>
      <c r="S27">
        <f t="shared" si="8"/>
        <v>33.778354603631819</v>
      </c>
      <c r="T27">
        <f t="shared" si="9"/>
        <v>187.91615991208528</v>
      </c>
      <c r="V27">
        <f t="shared" si="10"/>
        <v>34.410027134932015</v>
      </c>
      <c r="W27">
        <f t="shared" si="11"/>
        <v>217.90950900506255</v>
      </c>
    </row>
    <row r="28" spans="12:23" x14ac:dyDescent="0.25">
      <c r="L28">
        <f>Center!B27</f>
        <v>34.953051000000002</v>
      </c>
      <c r="M28">
        <f>Center!C27</f>
        <v>202.89861500000001</v>
      </c>
      <c r="N28">
        <f>Center!H27</f>
        <v>6.2594200000000004</v>
      </c>
      <c r="P28">
        <f>P27 + (Center!$D27-Center!$D26)*COS($N28)</f>
        <v>34.999107265344577</v>
      </c>
      <c r="Q28">
        <f>Q27 + (Center!$D27-Center!$D26)*SIN($N28)</f>
        <v>202.89132479281704</v>
      </c>
      <c r="S28">
        <f t="shared" si="8"/>
        <v>34.642661212712419</v>
      </c>
      <c r="T28">
        <f t="shared" si="9"/>
        <v>187.89556051714362</v>
      </c>
      <c r="V28">
        <f t="shared" si="10"/>
        <v>35.355553317976735</v>
      </c>
      <c r="W28">
        <f t="shared" si="11"/>
        <v>217.88708906849047</v>
      </c>
    </row>
    <row r="29" spans="12:23" x14ac:dyDescent="0.25">
      <c r="L29">
        <f>Center!B28</f>
        <v>35.909643000000003</v>
      </c>
      <c r="M29">
        <f>Center!C28</f>
        <v>202.87447800000001</v>
      </c>
      <c r="N29">
        <f>Center!H28</f>
        <v>6.2564830000000002</v>
      </c>
      <c r="P29">
        <f>P28 + (Center!$D28-Center!$D27)*COS($N29)</f>
        <v>35.955663145513689</v>
      </c>
      <c r="Q29">
        <f>Q28 + (Center!$D28-Center!$D27)*SIN($N29)</f>
        <v>202.86577647148482</v>
      </c>
      <c r="S29">
        <f t="shared" si="8"/>
        <v>35.555176133867342</v>
      </c>
      <c r="T29">
        <f t="shared" si="9"/>
        <v>187.87112375281532</v>
      </c>
      <c r="V29">
        <f t="shared" si="10"/>
        <v>36.356150157160037</v>
      </c>
      <c r="W29">
        <f t="shared" si="11"/>
        <v>217.86042919015432</v>
      </c>
    </row>
    <row r="30" spans="12:23" x14ac:dyDescent="0.25">
      <c r="L30">
        <f>Center!B29</f>
        <v>36.917859</v>
      </c>
      <c r="M30">
        <f>Center!C29</f>
        <v>202.84595200000001</v>
      </c>
      <c r="N30">
        <f>Center!H29</f>
        <v>6.2533029999999998</v>
      </c>
      <c r="P30">
        <f>P29 + (Center!$D29-Center!$D28)*COS($N30)</f>
        <v>36.963832854257042</v>
      </c>
      <c r="Q30">
        <f>Q29 + (Center!$D29-Center!$D28)*SIN($N30)</f>
        <v>202.83564106419809</v>
      </c>
      <c r="S30">
        <f t="shared" si="8"/>
        <v>36.515664952270917</v>
      </c>
      <c r="T30">
        <f t="shared" si="9"/>
        <v>187.84233770797837</v>
      </c>
      <c r="V30">
        <f t="shared" si="10"/>
        <v>37.412000756243167</v>
      </c>
      <c r="W30">
        <f t="shared" si="11"/>
        <v>217.8289444204178</v>
      </c>
    </row>
    <row r="31" spans="12:23" x14ac:dyDescent="0.25">
      <c r="L31">
        <f>Center!B30</f>
        <v>37.977674999999998</v>
      </c>
      <c r="M31">
        <f>Center!C30</f>
        <v>202.81245999999999</v>
      </c>
      <c r="N31">
        <f>Center!H30</f>
        <v>6.2498680000000002</v>
      </c>
      <c r="P31">
        <f>P30 + (Center!$D30-Center!$D29)*COS($N31)</f>
        <v>38.023589394444713</v>
      </c>
      <c r="Q31">
        <f>Q30 + (Center!$D30-Center!$D29)*SIN($N31)</f>
        <v>202.80031975965736</v>
      </c>
      <c r="S31">
        <f t="shared" si="8"/>
        <v>37.523922240724886</v>
      </c>
      <c r="T31">
        <f t="shared" si="9"/>
        <v>187.80864431174649</v>
      </c>
      <c r="V31">
        <f t="shared" si="10"/>
        <v>38.523256548164539</v>
      </c>
      <c r="W31">
        <f t="shared" si="11"/>
        <v>217.79199520756822</v>
      </c>
    </row>
    <row r="32" spans="12:23" x14ac:dyDescent="0.25">
      <c r="L32">
        <f>Center!B31</f>
        <v>39.087535000000003</v>
      </c>
      <c r="M32">
        <f>Center!C31</f>
        <v>202.77342300000001</v>
      </c>
      <c r="N32">
        <f>Center!H31</f>
        <v>6.2461690000000001</v>
      </c>
      <c r="P32">
        <f>P31 + (Center!$D31-Center!$D30)*COS($N32)</f>
        <v>39.133376640996303</v>
      </c>
      <c r="Q32">
        <f>Q31 + (Center!$D31-Center!$D30)*SIN($N32)</f>
        <v>202.75922076094153</v>
      </c>
      <c r="S32">
        <f t="shared" si="8"/>
        <v>38.578258824623447</v>
      </c>
      <c r="T32">
        <f t="shared" si="9"/>
        <v>187.76949614005721</v>
      </c>
      <c r="V32">
        <f t="shared" si="10"/>
        <v>39.68849445736916</v>
      </c>
      <c r="W32">
        <f t="shared" si="11"/>
        <v>217.74894538182585</v>
      </c>
    </row>
    <row r="33" spans="12:23" x14ac:dyDescent="0.25">
      <c r="L33">
        <f>Center!B32</f>
        <v>40.244363</v>
      </c>
      <c r="M33">
        <f>Center!C32</f>
        <v>202.728295</v>
      </c>
      <c r="N33">
        <f>Center!H32</f>
        <v>6.2422019999999998</v>
      </c>
      <c r="P33">
        <f>P32 + (Center!$D32-Center!$D31)*COS($N33)</f>
        <v>40.290112515682004</v>
      </c>
      <c r="Q33">
        <f>Q32 + (Center!$D32-Center!$D31)*SIN($N33)</f>
        <v>202.7117873394003</v>
      </c>
      <c r="S33">
        <f t="shared" si="8"/>
        <v>39.675534985667156</v>
      </c>
      <c r="T33">
        <f t="shared" si="9"/>
        <v>187.72438281227818</v>
      </c>
      <c r="V33">
        <f t="shared" si="10"/>
        <v>40.904690045696853</v>
      </c>
      <c r="W33">
        <f t="shared" si="11"/>
        <v>217.69919186652243</v>
      </c>
    </row>
    <row r="34" spans="12:23" x14ac:dyDescent="0.25">
      <c r="L34">
        <f>Center!B33</f>
        <v>41.445072000000003</v>
      </c>
      <c r="M34">
        <f>Center!C33</f>
        <v>202.67652200000001</v>
      </c>
      <c r="N34">
        <f>Center!H33</f>
        <v>6.237965</v>
      </c>
      <c r="P34">
        <f>P33 + (Center!$D33-Center!$D32)*COS($N34)</f>
        <v>41.490708933403269</v>
      </c>
      <c r="Q34">
        <f>Q33 + (Center!$D33-Center!$D32)*SIN($N34)</f>
        <v>202.65745896394259</v>
      </c>
      <c r="S34">
        <f t="shared" si="8"/>
        <v>40.8126354768971</v>
      </c>
      <c r="T34">
        <f t="shared" si="9"/>
        <v>187.67279292203222</v>
      </c>
      <c r="V34">
        <f t="shared" si="10"/>
        <v>42.168782389909438</v>
      </c>
      <c r="W34">
        <f t="shared" si="11"/>
        <v>217.64212500585296</v>
      </c>
    </row>
    <row r="35" spans="12:23" x14ac:dyDescent="0.25">
      <c r="L35">
        <f>Center!B34</f>
        <v>42.686571000000001</v>
      </c>
      <c r="M35">
        <f>Center!C34</f>
        <v>202.61754999999999</v>
      </c>
      <c r="N35">
        <f>Center!H34</f>
        <v>6.2334550000000002</v>
      </c>
      <c r="P35">
        <f>P34 + (Center!$D34-Center!$D33)*COS($N35)</f>
        <v>42.732073338745323</v>
      </c>
      <c r="Q35">
        <f>Q34 + (Center!$D34-Center!$D33)*SIN($N35)</f>
        <v>202.59567458929357</v>
      </c>
      <c r="S35">
        <f t="shared" si="8"/>
        <v>41.986426163519361</v>
      </c>
      <c r="T35">
        <f t="shared" si="9"/>
        <v>187.61421904284958</v>
      </c>
      <c r="V35">
        <f t="shared" si="10"/>
        <v>43.477720513971285</v>
      </c>
      <c r="W35">
        <f t="shared" si="11"/>
        <v>217.57713013573755</v>
      </c>
    </row>
    <row r="36" spans="12:23" x14ac:dyDescent="0.25">
      <c r="L36">
        <f>Center!B35</f>
        <v>43.965764</v>
      </c>
      <c r="M36">
        <f>Center!C35</f>
        <v>202.55082999999999</v>
      </c>
      <c r="N36">
        <f>Center!H35</f>
        <v>6.2286700000000002</v>
      </c>
      <c r="P36">
        <f>P35 + (Center!$D35-Center!$D34)*COS($N36)</f>
        <v>44.01110339571914</v>
      </c>
      <c r="Q36">
        <f>Q35 + (Center!$D35-Center!$D34)*SIN($N36)</f>
        <v>202.52587871658929</v>
      </c>
      <c r="S36">
        <f t="shared" si="8"/>
        <v>43.193778765497065</v>
      </c>
      <c r="T36">
        <f t="shared" si="9"/>
        <v>187.54816258732473</v>
      </c>
      <c r="V36">
        <f t="shared" si="10"/>
        <v>44.828428025941214</v>
      </c>
      <c r="W36">
        <f t="shared" si="11"/>
        <v>217.50359484585385</v>
      </c>
    </row>
    <row r="37" spans="12:23" x14ac:dyDescent="0.25">
      <c r="L37">
        <f>Center!B36</f>
        <v>45.279546000000003</v>
      </c>
      <c r="M37">
        <f>Center!C36</f>
        <v>202.475821</v>
      </c>
      <c r="N37">
        <f>Center!H36</f>
        <v>6.2236120000000001</v>
      </c>
      <c r="P37">
        <f>P36 + (Center!$D36-Center!$D35)*COS($N37)</f>
        <v>45.324691994737513</v>
      </c>
      <c r="Q37">
        <f>Q36 + (Center!$D36-Center!$D35)*SIN($N37)</f>
        <v>202.44753119296578</v>
      </c>
      <c r="S37">
        <f t="shared" si="8"/>
        <v>44.431620854288724</v>
      </c>
      <c r="T37">
        <f t="shared" si="9"/>
        <v>187.4741406638272</v>
      </c>
      <c r="V37">
        <f t="shared" si="10"/>
        <v>46.217763135186303</v>
      </c>
      <c r="W37">
        <f t="shared" si="11"/>
        <v>217.42092172210437</v>
      </c>
    </row>
    <row r="38" spans="12:23" x14ac:dyDescent="0.25">
      <c r="L38">
        <f>Center!B37</f>
        <v>46.624806</v>
      </c>
      <c r="M38">
        <f>Center!C37</f>
        <v>202.39200099999999</v>
      </c>
      <c r="N38">
        <f>Center!H37</f>
        <v>6.21828</v>
      </c>
      <c r="P38">
        <f>P37 + (Center!$D37-Center!$D36)*COS($N38)</f>
        <v>46.669723906048617</v>
      </c>
      <c r="Q38">
        <f>Q37 + (Center!$D37-Center!$D36)*SIN($N38)</f>
        <v>202.36010868754065</v>
      </c>
      <c r="S38">
        <f t="shared" si="8"/>
        <v>45.696827720676723</v>
      </c>
      <c r="T38">
        <f t="shared" si="9"/>
        <v>187.39169283907864</v>
      </c>
      <c r="V38">
        <f t="shared" si="10"/>
        <v>47.642620091420511</v>
      </c>
      <c r="W38">
        <f t="shared" si="11"/>
        <v>217.32852453600265</v>
      </c>
    </row>
    <row r="39" spans="12:23" x14ac:dyDescent="0.25">
      <c r="L39">
        <f>Center!B38</f>
        <v>47.998426000000002</v>
      </c>
      <c r="M39">
        <f>Center!C38</f>
        <v>202.29887299999999</v>
      </c>
      <c r="N39">
        <f>Center!H38</f>
        <v>6.2126760000000001</v>
      </c>
      <c r="P39">
        <f>P38 + (Center!$D38-Center!$D37)*COS($N39)</f>
        <v>48.043077962276378</v>
      </c>
      <c r="Q39">
        <f>Q38 + (Center!$D38-Center!$D37)*SIN($N39)</f>
        <v>202.26311365226684</v>
      </c>
      <c r="S39">
        <f t="shared" si="8"/>
        <v>46.986314490316921</v>
      </c>
      <c r="T39">
        <f t="shared" si="9"/>
        <v>187.30038492504826</v>
      </c>
      <c r="V39">
        <f t="shared" si="10"/>
        <v>49.099841434235834</v>
      </c>
      <c r="W39">
        <f t="shared" si="11"/>
        <v>217.22584237948541</v>
      </c>
    </row>
    <row r="40" spans="12:23" x14ac:dyDescent="0.25">
      <c r="L40">
        <f>Center!B39</f>
        <v>49.397281</v>
      </c>
      <c r="M40">
        <f>Center!C39</f>
        <v>202.19596799999999</v>
      </c>
      <c r="N40">
        <f>Center!H39</f>
        <v>6.206804</v>
      </c>
      <c r="P40">
        <f>P39 + (Center!$D39-Center!$D38)*COS($N40)</f>
        <v>49.441625385980878</v>
      </c>
      <c r="Q40">
        <f>Q39 + (Center!$D39-Center!$D38)*SIN($N40)</f>
        <v>202.15608254735571</v>
      </c>
      <c r="S40">
        <f t="shared" si="8"/>
        <v>48.297019494601457</v>
      </c>
      <c r="T40">
        <f t="shared" si="9"/>
        <v>187.19981705915916</v>
      </c>
      <c r="V40">
        <f t="shared" si="10"/>
        <v>50.586231277360298</v>
      </c>
      <c r="W40">
        <f t="shared" si="11"/>
        <v>217.11234803555226</v>
      </c>
    </row>
    <row r="41" spans="12:23" x14ac:dyDescent="0.25">
      <c r="L41">
        <f>Center!B40</f>
        <v>50.818240000000003</v>
      </c>
      <c r="M41">
        <f>Center!C40</f>
        <v>202.08285599999999</v>
      </c>
      <c r="N41">
        <f>Center!H40</f>
        <v>6.2006690000000004</v>
      </c>
      <c r="P41">
        <f>P40 + (Center!$D40-Center!$D39)*COS($N41)</f>
        <v>50.862231216095608</v>
      </c>
      <c r="Q41">
        <f>Q40 + (Center!$D40-Center!$D39)*SIN($N41)</f>
        <v>202.03859261851059</v>
      </c>
      <c r="S41">
        <f t="shared" si="8"/>
        <v>49.625890751937646</v>
      </c>
      <c r="T41">
        <f t="shared" si="9"/>
        <v>187.08963070616747</v>
      </c>
      <c r="V41">
        <f t="shared" si="10"/>
        <v>52.098571680253571</v>
      </c>
      <c r="W41">
        <f t="shared" si="11"/>
        <v>216.98755453085371</v>
      </c>
    </row>
    <row r="42" spans="12:23" x14ac:dyDescent="0.25">
      <c r="L42">
        <f>Center!B41</f>
        <v>52.258167</v>
      </c>
      <c r="M42">
        <f>Center!C41</f>
        <v>201.95915400000001</v>
      </c>
      <c r="N42">
        <f>Center!H41</f>
        <v>6.1942760000000003</v>
      </c>
      <c r="P42">
        <f>P41 + (Center!$D41-Center!$D40)*COS($N42)</f>
        <v>52.301755792133058</v>
      </c>
      <c r="Q42">
        <f>Q41 + (Center!$D41-Center!$D40)*SIN($N42)</f>
        <v>201.91026717569744</v>
      </c>
      <c r="S42">
        <f t="shared" si="8"/>
        <v>50.969872530266422</v>
      </c>
      <c r="T42">
        <f t="shared" si="9"/>
        <v>186.96951461845458</v>
      </c>
      <c r="V42">
        <f t="shared" si="10"/>
        <v>53.633639053999694</v>
      </c>
      <c r="W42">
        <f t="shared" si="11"/>
        <v>216.8510197329403</v>
      </c>
    </row>
    <row r="43" spans="12:23" x14ac:dyDescent="0.25">
      <c r="L43">
        <f>Center!B42</f>
        <v>53.713920000000002</v>
      </c>
      <c r="M43">
        <f>Center!C42</f>
        <v>201.82452900000001</v>
      </c>
      <c r="N43">
        <f>Center!H42</f>
        <v>6.1876340000000001</v>
      </c>
      <c r="P43">
        <f>P42 + (Center!$D42-Center!$D41)*COS($N43)</f>
        <v>53.75705494620631</v>
      </c>
      <c r="Q43">
        <f>Q42 + (Center!$D42-Center!$D41)*SIN($N43)</f>
        <v>201.77078669255485</v>
      </c>
      <c r="S43">
        <f t="shared" si="8"/>
        <v>52.325965314190512</v>
      </c>
      <c r="T43">
        <f t="shared" si="9"/>
        <v>186.83921000202625</v>
      </c>
      <c r="V43">
        <f t="shared" si="10"/>
        <v>55.188144578222108</v>
      </c>
      <c r="W43">
        <f t="shared" si="11"/>
        <v>216.70236338308345</v>
      </c>
    </row>
    <row r="44" spans="12:23" x14ac:dyDescent="0.25">
      <c r="L44">
        <f>Center!B43</f>
        <v>55.182353999999997</v>
      </c>
      <c r="M44">
        <f>Center!C43</f>
        <v>201.67871099999999</v>
      </c>
      <c r="N44">
        <f>Center!H43</f>
        <v>6.180752</v>
      </c>
      <c r="P44">
        <f>P43 + (Center!$D43-Center!$D42)*COS($N44)</f>
        <v>55.224978976233047</v>
      </c>
      <c r="Q44">
        <f>Q43 + (Center!$D43-Center!$D42)*SIN($N44)</f>
        <v>201.61989425950711</v>
      </c>
      <c r="S44">
        <f t="shared" si="8"/>
        <v>53.691164934021415</v>
      </c>
      <c r="T44">
        <f t="shared" si="9"/>
        <v>186.69851984278816</v>
      </c>
      <c r="V44">
        <f t="shared" si="10"/>
        <v>56.758793018444678</v>
      </c>
      <c r="W44">
        <f t="shared" si="11"/>
        <v>216.54126867622605</v>
      </c>
    </row>
    <row r="45" spans="12:23" x14ac:dyDescent="0.25">
      <c r="L45">
        <f>Center!B44</f>
        <v>56.660321000000003</v>
      </c>
      <c r="M45">
        <f>Center!C44</f>
        <v>201.52149499999999</v>
      </c>
      <c r="N45">
        <f>Center!H44</f>
        <v>6.1736399999999998</v>
      </c>
      <c r="P45">
        <f>P44 + (Center!$D44-Center!$D43)*COS($N45)</f>
        <v>56.702377913223245</v>
      </c>
      <c r="Q45">
        <f>Q44 + (Center!$D44-Center!$D43)*SIN($N45)</f>
        <v>201.45740163861549</v>
      </c>
      <c r="S45">
        <f t="shared" si="8"/>
        <v>55.062482741176552</v>
      </c>
      <c r="T45">
        <f t="shared" si="9"/>
        <v>186.54731297943249</v>
      </c>
      <c r="V45">
        <f t="shared" si="10"/>
        <v>58.342273085269937</v>
      </c>
      <c r="W45">
        <f t="shared" si="11"/>
        <v>216.3674902977985</v>
      </c>
    </row>
    <row r="46" spans="12:23" x14ac:dyDescent="0.25">
      <c r="L46">
        <f>Center!B45</f>
        <v>58.144672</v>
      </c>
      <c r="M46">
        <f>Center!C45</f>
        <v>201.35275300000001</v>
      </c>
      <c r="N46">
        <f>Center!H45</f>
        <v>6.1663119999999996</v>
      </c>
      <c r="P46">
        <f>P45 + (Center!$D45-Center!$D44)*COS($N46)</f>
        <v>58.186101552965084</v>
      </c>
      <c r="Q46">
        <f>Q45 + (Center!$D45-Center!$D44)*SIN($N46)</f>
        <v>201.28320006544175</v>
      </c>
      <c r="S46">
        <f t="shared" si="8"/>
        <v>56.436990259748043</v>
      </c>
      <c r="T46">
        <f t="shared" si="9"/>
        <v>186.38552878151484</v>
      </c>
      <c r="V46">
        <f t="shared" si="10"/>
        <v>59.935212846182125</v>
      </c>
      <c r="W46">
        <f t="shared" si="11"/>
        <v>216.18087134936866</v>
      </c>
    </row>
    <row r="47" spans="12:23" x14ac:dyDescent="0.25">
      <c r="L47">
        <f>Center!B46</f>
        <v>59.632258999999998</v>
      </c>
      <c r="M47">
        <f>Center!C46</f>
        <v>201.172439</v>
      </c>
      <c r="N47">
        <f>Center!H46</f>
        <v>6.1587810000000003</v>
      </c>
      <c r="P47">
        <f>P46 + (Center!$D46-Center!$D45)*COS($N47)</f>
        <v>59.672999946161404</v>
      </c>
      <c r="Q47">
        <f>Q46 + (Center!$D46-Center!$D45)*SIN($N47)</f>
        <v>201.09726329728869</v>
      </c>
      <c r="S47">
        <f t="shared" si="8"/>
        <v>57.811744952066803</v>
      </c>
      <c r="T47">
        <f t="shared" si="9"/>
        <v>186.21318691187068</v>
      </c>
      <c r="V47">
        <f t="shared" si="10"/>
        <v>61.534254940256005</v>
      </c>
      <c r="W47">
        <f t="shared" si="11"/>
        <v>215.9813396827067</v>
      </c>
    </row>
    <row r="48" spans="12:23" x14ac:dyDescent="0.25">
      <c r="L48">
        <f>Center!B47</f>
        <v>61.119936000000003</v>
      </c>
      <c r="M48">
        <f>Center!C47</f>
        <v>200.98059499999999</v>
      </c>
      <c r="N48">
        <f>Center!H47</f>
        <v>6.1510639999999999</v>
      </c>
      <c r="P48">
        <f>P47 + (Center!$D47-Center!$D46)*COS($N48)</f>
        <v>61.15992694980816</v>
      </c>
      <c r="Q48">
        <f>Q47 + (Center!$D47-Center!$D46)*SIN($N48)</f>
        <v>200.89965741218887</v>
      </c>
      <c r="S48">
        <f t="shared" si="8"/>
        <v>59.183868098810017</v>
      </c>
      <c r="T48">
        <f t="shared" si="9"/>
        <v>186.03038737572132</v>
      </c>
      <c r="V48">
        <f t="shared" si="10"/>
        <v>63.135985800806303</v>
      </c>
      <c r="W48">
        <f t="shared" si="11"/>
        <v>215.76892744865643</v>
      </c>
    </row>
    <row r="49" spans="12:23" x14ac:dyDescent="0.25">
      <c r="L49">
        <f>Center!B48</f>
        <v>62.606071</v>
      </c>
      <c r="M49">
        <f>Center!C48</f>
        <v>200.77714399999999</v>
      </c>
      <c r="N49">
        <f>Center!H48</f>
        <v>6.1431709999999997</v>
      </c>
      <c r="P49">
        <f>P48 + (Center!$D48-Center!$D47)*COS($N49)</f>
        <v>62.645247949272495</v>
      </c>
      <c r="Q49">
        <f>Q48 + (Center!$D48-Center!$D47)*SIN($N49)</f>
        <v>200.6903214894468</v>
      </c>
      <c r="S49">
        <f t="shared" si="8"/>
        <v>60.551888721851874</v>
      </c>
      <c r="T49">
        <f t="shared" si="9"/>
        <v>185.83711149480345</v>
      </c>
      <c r="V49">
        <f t="shared" si="10"/>
        <v>64.738607176693122</v>
      </c>
      <c r="W49">
        <f t="shared" si="11"/>
        <v>215.54353148409015</v>
      </c>
    </row>
    <row r="50" spans="12:23" x14ac:dyDescent="0.25">
      <c r="L50">
        <f>Center!B49</f>
        <v>64.090535000000003</v>
      </c>
      <c r="M50">
        <f>Center!C49</f>
        <v>200.56183899999999</v>
      </c>
      <c r="N50">
        <f>Center!H49</f>
        <v>6.1351019999999998</v>
      </c>
      <c r="P50">
        <f>P49 + (Center!$D49-Center!$D48)*COS($N50)</f>
        <v>64.128831482063077</v>
      </c>
      <c r="Q50">
        <f>Q49 + (Center!$D49-Center!$D48)*SIN($N50)</f>
        <v>200.4690074563793</v>
      </c>
      <c r="S50">
        <f t="shared" si="8"/>
        <v>61.915691151387989</v>
      </c>
      <c r="T50">
        <f t="shared" si="9"/>
        <v>185.63317212847346</v>
      </c>
      <c r="V50">
        <f t="shared" si="10"/>
        <v>66.341971812738166</v>
      </c>
      <c r="W50">
        <f t="shared" si="11"/>
        <v>215.30484278428514</v>
      </c>
    </row>
    <row r="51" spans="12:23" x14ac:dyDescent="0.25">
      <c r="L51">
        <f>Center!B50</f>
        <v>65.573193000000003</v>
      </c>
      <c r="M51">
        <f>Center!C50</f>
        <v>200.33443700000001</v>
      </c>
      <c r="N51">
        <f>Center!H50</f>
        <v>6.126862</v>
      </c>
      <c r="P51">
        <f>P50 + (Center!$D50-Center!$D49)*COS($N51)</f>
        <v>65.610541042262113</v>
      </c>
      <c r="Q51">
        <f>Q50 + (Center!$D50-Center!$D49)*SIN($N51)</f>
        <v>200.23547634664274</v>
      </c>
      <c r="S51">
        <f t="shared" si="8"/>
        <v>63.275229944896587</v>
      </c>
      <c r="T51">
        <f t="shared" si="9"/>
        <v>185.41838074465241</v>
      </c>
      <c r="V51">
        <f t="shared" si="10"/>
        <v>67.945852139627647</v>
      </c>
      <c r="W51">
        <f t="shared" si="11"/>
        <v>215.05257194863307</v>
      </c>
    </row>
    <row r="52" spans="12:23" x14ac:dyDescent="0.25">
      <c r="L52">
        <f>Center!B51</f>
        <v>67.053905999999998</v>
      </c>
      <c r="M52">
        <f>Center!C51</f>
        <v>200.09469999999999</v>
      </c>
      <c r="N52">
        <f>Center!H51</f>
        <v>6.1184529999999997</v>
      </c>
      <c r="P52">
        <f>P51 + (Center!$D51-Center!$D50)*COS($N52)</f>
        <v>67.090234476020811</v>
      </c>
      <c r="Q52">
        <f>Q51 + (Center!$D51-Center!$D50)*SIN($N52)</f>
        <v>199.98949394464745</v>
      </c>
      <c r="S52">
        <f t="shared" si="8"/>
        <v>64.630410456067779</v>
      </c>
      <c r="T52">
        <f t="shared" si="9"/>
        <v>185.19255960706042</v>
      </c>
      <c r="V52">
        <f t="shared" si="10"/>
        <v>69.550058495973843</v>
      </c>
      <c r="W52">
        <f t="shared" si="11"/>
        <v>214.78642828223448</v>
      </c>
    </row>
    <row r="53" spans="12:23" x14ac:dyDescent="0.25">
      <c r="L53">
        <f>Center!B52</f>
        <v>68.532529999999994</v>
      </c>
      <c r="M53">
        <f>Center!C52</f>
        <v>199.84239600000001</v>
      </c>
      <c r="N53">
        <f>Center!H52</f>
        <v>6.109877</v>
      </c>
      <c r="P53">
        <f>P52 + (Center!$D52-Center!$D51)*COS($N53)</f>
        <v>68.56776397681152</v>
      </c>
      <c r="Q53">
        <f>Q52 + (Center!$D52-Center!$D51)*SIN($N53)</f>
        <v>199.73083089298925</v>
      </c>
      <c r="S53">
        <f t="shared" si="8"/>
        <v>65.981133460229401</v>
      </c>
      <c r="T53">
        <f t="shared" si="9"/>
        <v>184.9555358850821</v>
      </c>
      <c r="V53">
        <f t="shared" si="10"/>
        <v>71.154394493393639</v>
      </c>
      <c r="W53">
        <f t="shared" si="11"/>
        <v>214.50612590089639</v>
      </c>
    </row>
    <row r="54" spans="12:23" x14ac:dyDescent="0.25">
      <c r="L54">
        <f>Center!B53</f>
        <v>70.008915000000002</v>
      </c>
      <c r="M54">
        <f>Center!C53</f>
        <v>199.57730100000001</v>
      </c>
      <c r="N54">
        <f>Center!H53</f>
        <v>6.1011389999999999</v>
      </c>
      <c r="P54">
        <f>P53 + (Center!$D53-Center!$D52)*COS($N54)</f>
        <v>70.042976902335667</v>
      </c>
      <c r="Q54">
        <f>Q53 + (Center!$D53-Center!$D52)*SIN($N54)</f>
        <v>199.45926722758736</v>
      </c>
      <c r="S54">
        <f t="shared" si="8"/>
        <v>67.32734024831683</v>
      </c>
      <c r="T54">
        <f t="shared" si="9"/>
        <v>184.70713797234595</v>
      </c>
      <c r="V54">
        <f t="shared" si="10"/>
        <v>72.758613556354504</v>
      </c>
      <c r="W54">
        <f t="shared" si="11"/>
        <v>214.21139648282877</v>
      </c>
    </row>
    <row r="55" spans="12:23" x14ac:dyDescent="0.25">
      <c r="L55">
        <f>Center!B54</f>
        <v>71.482902999999993</v>
      </c>
      <c r="M55">
        <f>Center!C54</f>
        <v>199.29919599999999</v>
      </c>
      <c r="N55">
        <f>Center!H54</f>
        <v>6.0922400000000003</v>
      </c>
      <c r="P55">
        <f>P54 + (Center!$D54-Center!$D53)*COS($N55)</f>
        <v>71.515714802404077</v>
      </c>
      <c r="Q55">
        <f>Q54 + (Center!$D54-Center!$D53)*SIN($N55)</f>
        <v>199.17458656842325</v>
      </c>
      <c r="S55">
        <f t="shared" si="8"/>
        <v>68.668908210763036</v>
      </c>
      <c r="T55">
        <f t="shared" si="9"/>
        <v>184.44720756773921</v>
      </c>
      <c r="V55">
        <f t="shared" si="10"/>
        <v>74.362521394045118</v>
      </c>
      <c r="W55">
        <f t="shared" si="11"/>
        <v>213.90196556910729</v>
      </c>
    </row>
    <row r="56" spans="12:23" x14ac:dyDescent="0.25">
      <c r="L56">
        <f>Center!B55</f>
        <v>72.876383000000004</v>
      </c>
      <c r="M56">
        <f>Center!C55</f>
        <v>199.017843</v>
      </c>
      <c r="N56">
        <f>Center!H55</f>
        <v>6.072832</v>
      </c>
      <c r="P56">
        <f>P55 + (Center!$D55-Center!$D54)*COS($N56)</f>
        <v>72.982650607360952</v>
      </c>
      <c r="Q56">
        <f>Q55 + (Center!$D55-Center!$D54)*SIN($N56)</f>
        <v>198.86137842016475</v>
      </c>
      <c r="S56">
        <f t="shared" si="8"/>
        <v>69.850569124775902</v>
      </c>
      <c r="T56">
        <f t="shared" si="9"/>
        <v>184.192020370596</v>
      </c>
      <c r="V56">
        <f t="shared" si="10"/>
        <v>76.114732089946003</v>
      </c>
      <c r="W56">
        <f t="shared" si="11"/>
        <v>213.53073646973351</v>
      </c>
    </row>
    <row r="57" spans="12:23" x14ac:dyDescent="0.25">
      <c r="L57">
        <f>Center!B56</f>
        <v>74.339412999999993</v>
      </c>
      <c r="M57">
        <f>Center!C56</f>
        <v>198.68703199999999</v>
      </c>
      <c r="N57">
        <f>Center!H56</f>
        <v>6.0489420000000003</v>
      </c>
      <c r="P57">
        <f>P56 + (Center!$D56-Center!$D55)*COS($N57)</f>
        <v>74.441685987623217</v>
      </c>
      <c r="Q57">
        <f>Q56 + (Center!$D56-Center!$D55)*SIN($N57)</f>
        <v>198.51321788371217</v>
      </c>
      <c r="S57">
        <f t="shared" si="8"/>
        <v>70.960080623097355</v>
      </c>
      <c r="T57">
        <f t="shared" si="9"/>
        <v>183.92286408108953</v>
      </c>
      <c r="V57">
        <f t="shared" si="10"/>
        <v>77.923291352149079</v>
      </c>
      <c r="W57">
        <f t="shared" si="11"/>
        <v>213.10357168633482</v>
      </c>
    </row>
    <row r="58" spans="12:23" x14ac:dyDescent="0.25">
      <c r="L58">
        <f>Center!B57</f>
        <v>75.794295000000005</v>
      </c>
      <c r="M58">
        <f>Center!C57</f>
        <v>198.32204400000001</v>
      </c>
      <c r="N58">
        <f>Center!H57</f>
        <v>6.0259939999999999</v>
      </c>
      <c r="P58">
        <f>P57 + (Center!$D57-Center!$D56)*COS($N58)</f>
        <v>75.892348326144671</v>
      </c>
      <c r="Q58">
        <f>Q57 + (Center!$D57-Center!$D56)*SIN($N58)</f>
        <v>198.131670010444</v>
      </c>
      <c r="S58">
        <f t="shared" si="8"/>
        <v>72.076869593462845</v>
      </c>
      <c r="T58">
        <f t="shared" si="9"/>
        <v>183.62504662522949</v>
      </c>
      <c r="V58">
        <f t="shared" si="10"/>
        <v>79.707827058826496</v>
      </c>
      <c r="W58">
        <f t="shared" si="11"/>
        <v>212.63829339565851</v>
      </c>
    </row>
    <row r="59" spans="12:23" x14ac:dyDescent="0.25">
      <c r="L59">
        <f>Center!B58</f>
        <v>77.240620000000007</v>
      </c>
      <c r="M59">
        <f>Center!C58</f>
        <v>197.924485</v>
      </c>
      <c r="N59">
        <f>Center!H58</f>
        <v>6.0040469999999999</v>
      </c>
      <c r="P59">
        <f>P58 + (Center!$D58-Center!$D57)*COS($N59)</f>
        <v>77.334288148885818</v>
      </c>
      <c r="Q59">
        <f>Q58 + (Center!$D58-Center!$D57)*SIN($N59)</f>
        <v>197.71837889319946</v>
      </c>
      <c r="S59">
        <f t="shared" si="8"/>
        <v>73.201376976440542</v>
      </c>
      <c r="T59">
        <f t="shared" si="9"/>
        <v>183.29898066578798</v>
      </c>
      <c r="V59">
        <f t="shared" si="10"/>
        <v>81.467199321331094</v>
      </c>
      <c r="W59">
        <f t="shared" si="11"/>
        <v>212.13777712061093</v>
      </c>
    </row>
    <row r="60" spans="12:23" x14ac:dyDescent="0.25">
      <c r="L60">
        <f>Center!B59</f>
        <v>78.678099000000003</v>
      </c>
      <c r="M60">
        <f>Center!C59</f>
        <v>197.49603300000001</v>
      </c>
      <c r="N60">
        <f>Center!H59</f>
        <v>5.9831529999999997</v>
      </c>
      <c r="P60">
        <f>P59 + (Center!$D59-Center!$D58)*COS($N60)</f>
        <v>78.767278560689789</v>
      </c>
      <c r="Q60">
        <f>Q59 + (Center!$D59-Center!$D58)*SIN($N60)</f>
        <v>197.27505228709751</v>
      </c>
      <c r="S60">
        <f t="shared" si="8"/>
        <v>74.334012499670351</v>
      </c>
      <c r="T60">
        <f t="shared" si="9"/>
        <v>182.94514816905775</v>
      </c>
      <c r="V60">
        <f t="shared" si="10"/>
        <v>83.200544621709227</v>
      </c>
      <c r="W60">
        <f t="shared" si="11"/>
        <v>211.60495640513727</v>
      </c>
    </row>
    <row r="61" spans="12:23" x14ac:dyDescent="0.25">
      <c r="L61">
        <f>Center!B60</f>
        <v>80.106564000000006</v>
      </c>
      <c r="M61">
        <f>Center!C60</f>
        <v>197.03841499999999</v>
      </c>
      <c r="N61">
        <f>Center!H60</f>
        <v>5.9633510000000003</v>
      </c>
      <c r="P61">
        <f>P60 + (Center!$D60-Center!$D59)*COS($N61)</f>
        <v>80.191209850398735</v>
      </c>
      <c r="Q61">
        <f>Q60 + (Center!$D60-Center!$D59)*SIN($N61)</f>
        <v>196.80343837488985</v>
      </c>
      <c r="S61">
        <f t="shared" si="8"/>
        <v>75.475070728322137</v>
      </c>
      <c r="T61">
        <f t="shared" si="9"/>
        <v>182.56412547780039</v>
      </c>
      <c r="V61">
        <f t="shared" si="10"/>
        <v>84.907348972475333</v>
      </c>
      <c r="W61">
        <f t="shared" si="11"/>
        <v>211.04275127197931</v>
      </c>
    </row>
    <row r="62" spans="12:23" x14ac:dyDescent="0.25">
      <c r="L62">
        <f>Center!B61</f>
        <v>81.525962000000007</v>
      </c>
      <c r="M62">
        <f>Center!C61</f>
        <v>196.55339699999999</v>
      </c>
      <c r="N62">
        <f>Center!H61</f>
        <v>5.9446729999999999</v>
      </c>
      <c r="P62">
        <f>P61 + (Center!$D61-Center!$D60)*COS($N62)</f>
        <v>81.606084473046423</v>
      </c>
      <c r="Q62">
        <f>Q61 + (Center!$D61-Center!$D60)*SIN($N62)</f>
        <v>196.30531208348617</v>
      </c>
      <c r="S62">
        <f t="shared" si="8"/>
        <v>76.624821559009746</v>
      </c>
      <c r="T62">
        <f t="shared" si="9"/>
        <v>182.15656585700933</v>
      </c>
      <c r="V62">
        <f t="shared" si="10"/>
        <v>86.587347387083099</v>
      </c>
      <c r="W62">
        <f t="shared" si="11"/>
        <v>210.45405830996302</v>
      </c>
    </row>
    <row r="63" spans="12:23" x14ac:dyDescent="0.25">
      <c r="L63">
        <f>Center!B62</f>
        <v>82.936347999999995</v>
      </c>
      <c r="M63">
        <f>Center!C62</f>
        <v>196.04275799999999</v>
      </c>
      <c r="N63">
        <f>Center!H62</f>
        <v>5.9271409999999998</v>
      </c>
      <c r="P63">
        <f>P62 + (Center!$D62-Center!$D61)*COS($N63)</f>
        <v>83.01200895277141</v>
      </c>
      <c r="Q63">
        <f>Q62 + (Center!$D62-Center!$D61)*SIN($N63)</f>
        <v>195.78245803376484</v>
      </c>
      <c r="S63">
        <f t="shared" si="8"/>
        <v>77.783468455557966</v>
      </c>
      <c r="T63">
        <f t="shared" si="9"/>
        <v>181.72321323651491</v>
      </c>
      <c r="V63">
        <f t="shared" si="10"/>
        <v>88.240549449984854</v>
      </c>
      <c r="W63">
        <f t="shared" si="11"/>
        <v>209.84170283101477</v>
      </c>
    </row>
    <row r="64" spans="12:23" x14ac:dyDescent="0.25">
      <c r="L64">
        <f>Center!B63</f>
        <v>84.337879000000001</v>
      </c>
      <c r="M64">
        <f>Center!C63</f>
        <v>195.508284</v>
      </c>
      <c r="N64">
        <f>Center!H63</f>
        <v>5.9107719999999997</v>
      </c>
      <c r="P64">
        <f>P63 + (Center!$D63-Center!$D62)*COS($N64)</f>
        <v>84.409186866333883</v>
      </c>
      <c r="Q64">
        <f>Q63 + (Center!$D63-Center!$D62)*SIN($N64)</f>
        <v>195.23666148022753</v>
      </c>
      <c r="S64">
        <f t="shared" si="8"/>
        <v>78.951221330960678</v>
      </c>
      <c r="T64">
        <f t="shared" si="9"/>
        <v>181.2648823446028</v>
      </c>
      <c r="V64">
        <f t="shared" si="10"/>
        <v>89.867152401707088</v>
      </c>
      <c r="W64">
        <f t="shared" si="11"/>
        <v>209.20844061585225</v>
      </c>
    </row>
    <row r="65" spans="12:23" x14ac:dyDescent="0.25">
      <c r="L65">
        <f>Center!B64</f>
        <v>85.730801</v>
      </c>
      <c r="M65">
        <f>Center!C64</f>
        <v>194.95175599999999</v>
      </c>
      <c r="N65">
        <f>Center!H64</f>
        <v>5.8955760000000001</v>
      </c>
      <c r="P65">
        <f>P64 + (Center!$D64-Center!$D63)*COS($N65)</f>
        <v>85.797909860717326</v>
      </c>
      <c r="Q65">
        <f>Q64 + (Center!$D64-Center!$D63)*SIN($N65)</f>
        <v>194.6696972442561</v>
      </c>
      <c r="S65">
        <f t="shared" si="8"/>
        <v>80.128267501002966</v>
      </c>
      <c r="T65">
        <f t="shared" si="9"/>
        <v>180.78246730042164</v>
      </c>
      <c r="V65">
        <f t="shared" si="10"/>
        <v>91.467552220431685</v>
      </c>
      <c r="W65">
        <f t="shared" si="11"/>
        <v>208.55692718809055</v>
      </c>
    </row>
    <row r="66" spans="12:23" x14ac:dyDescent="0.25">
      <c r="L66">
        <f>Center!B65</f>
        <v>87.115447000000003</v>
      </c>
      <c r="M66">
        <f>Center!C65</f>
        <v>194.37494000000001</v>
      </c>
      <c r="N66">
        <f>Center!H65</f>
        <v>5.8815559999999998</v>
      </c>
      <c r="P66">
        <f>P65 + (Center!$D65-Center!$D64)*COS($N66)</f>
        <v>87.178547795176343</v>
      </c>
      <c r="Q66">
        <f>Q65 + (Center!$D65-Center!$D64)*SIN($N66)</f>
        <v>194.08331947017803</v>
      </c>
      <c r="S66">
        <f t="shared" si="8"/>
        <v>81.314770054395694</v>
      </c>
      <c r="T66">
        <f t="shared" si="9"/>
        <v>180.27694012558788</v>
      </c>
      <c r="V66">
        <f t="shared" si="10"/>
        <v>93.042325535956991</v>
      </c>
      <c r="W66">
        <f t="shared" si="11"/>
        <v>207.88969881476817</v>
      </c>
    </row>
    <row r="67" spans="12:23" x14ac:dyDescent="0.25">
      <c r="L67">
        <f>Center!B66</f>
        <v>88.492223999999993</v>
      </c>
      <c r="M67">
        <f>Center!C66</f>
        <v>193.77957799999999</v>
      </c>
      <c r="N67">
        <f>Center!H66</f>
        <v>5.8687129999999996</v>
      </c>
      <c r="P67">
        <f>P66 + (Center!$D66-Center!$D65)*COS($N67)</f>
        <v>88.55154122543351</v>
      </c>
      <c r="Q67">
        <f>Q66 + (Center!$D66-Center!$D65)*SIN($N67)</f>
        <v>193.47925900923832</v>
      </c>
      <c r="S67">
        <f t="shared" si="8"/>
        <v>82.510936616036588</v>
      </c>
      <c r="T67">
        <f t="shared" si="9"/>
        <v>179.7493247066667</v>
      </c>
      <c r="V67">
        <f t="shared" si="10"/>
        <v>94.592145834830433</v>
      </c>
      <c r="W67">
        <f t="shared" si="11"/>
        <v>207.20919331180994</v>
      </c>
    </row>
    <row r="68" spans="12:23" x14ac:dyDescent="0.25">
      <c r="L68">
        <f>Center!B67</f>
        <v>89.861602000000005</v>
      </c>
      <c r="M68">
        <f>Center!C67</f>
        <v>193.16738799999999</v>
      </c>
      <c r="N68">
        <f>Center!H67</f>
        <v>5.8570450000000003</v>
      </c>
      <c r="P68">
        <f>P67 + (Center!$D67-Center!$D66)*COS($N68)</f>
        <v>89.917393178027865</v>
      </c>
      <c r="Q68">
        <f>Q67 + (Center!$D67-Center!$D66)*SIN($N68)</f>
        <v>192.85921994305443</v>
      </c>
      <c r="S68">
        <f t="shared" si="8"/>
        <v>83.717002516188899</v>
      </c>
      <c r="T68">
        <f t="shared" si="9"/>
        <v>179.20070041711091</v>
      </c>
      <c r="V68">
        <f t="shared" si="10"/>
        <v>96.117783839866831</v>
      </c>
      <c r="W68">
        <f t="shared" si="11"/>
        <v>206.51773946899795</v>
      </c>
    </row>
    <row r="69" spans="12:23" x14ac:dyDescent="0.25">
      <c r="L69">
        <f>Center!B68</f>
        <v>91.224113000000003</v>
      </c>
      <c r="M69">
        <f>Center!C68</f>
        <v>192.54005799999999</v>
      </c>
      <c r="N69">
        <f>Center!H68</f>
        <v>5.846546</v>
      </c>
      <c r="P69">
        <f>P68 + (Center!$D68-Center!$D67)*COS($N69)</f>
        <v>91.276660182503662</v>
      </c>
      <c r="Q69">
        <f>Q68 + (Center!$D68-Center!$D67)*SIN($N69)</f>
        <v>192.22487523349707</v>
      </c>
      <c r="S69">
        <f t="shared" si="8"/>
        <v>84.933213086930223</v>
      </c>
      <c r="T69">
        <f t="shared" si="9"/>
        <v>178.63220518873908</v>
      </c>
      <c r="V69">
        <f t="shared" si="10"/>
        <v>97.6201072780771</v>
      </c>
      <c r="W69">
        <f t="shared" si="11"/>
        <v>205.81754527825507</v>
      </c>
    </row>
    <row r="70" spans="12:23" x14ac:dyDescent="0.25">
      <c r="L70">
        <f>Center!B69</f>
        <v>92.580337</v>
      </c>
      <c r="M70">
        <f>Center!C69</f>
        <v>191.89924500000001</v>
      </c>
      <c r="N70">
        <f>Center!H69</f>
        <v>5.8372089999999996</v>
      </c>
      <c r="P70">
        <f>P69 + (Center!$D69-Center!$D68)*COS($N70)</f>
        <v>92.629945146759567</v>
      </c>
      <c r="Q70">
        <f>Q69 + (Center!$D69-Center!$D68)*SIN($N70)</f>
        <v>191.57786688307269</v>
      </c>
      <c r="S70">
        <f t="shared" ref="S70:S131" si="12">P70 + $B$10/2 * SIN($N70)</f>
        <v>86.159861642515594</v>
      </c>
      <c r="T70">
        <f t="shared" ref="T70:T131" si="13">Q70 - $B$10/2 * COS($N70)</f>
        <v>178.04501724051366</v>
      </c>
      <c r="V70">
        <f t="shared" ref="V70:V131" si="14">P70 - $B$10/2 * SIN($N70)</f>
        <v>99.100028651003541</v>
      </c>
      <c r="W70">
        <f t="shared" ref="W70:W131" si="15">Q70 + $B$10/2 * COS($N70)</f>
        <v>205.11071652563172</v>
      </c>
    </row>
    <row r="71" spans="12:23" x14ac:dyDescent="0.25">
      <c r="L71">
        <f>Center!B70</f>
        <v>93.930897000000002</v>
      </c>
      <c r="M71">
        <f>Center!C70</f>
        <v>191.246577</v>
      </c>
      <c r="N71">
        <f>Center!H70</f>
        <v>5.8290259999999998</v>
      </c>
      <c r="P71">
        <f>P70 + (Center!$D70-Center!$D69)*COS($N71)</f>
        <v>93.977890392036045</v>
      </c>
      <c r="Q71">
        <f>Q70 + (Center!$D70-Center!$D69)*SIN($N71)</f>
        <v>190.91980638757357</v>
      </c>
      <c r="S71">
        <f t="shared" si="12"/>
        <v>87.397285437044957</v>
      </c>
      <c r="T71">
        <f t="shared" si="13"/>
        <v>177.44035393480877</v>
      </c>
      <c r="V71">
        <f t="shared" si="14"/>
        <v>100.55849534702713</v>
      </c>
      <c r="W71">
        <f t="shared" si="15"/>
        <v>204.39925884033838</v>
      </c>
    </row>
    <row r="72" spans="12:23" x14ac:dyDescent="0.25">
      <c r="L72">
        <f>Center!B71</f>
        <v>95.276452000000006</v>
      </c>
      <c r="M72">
        <f>Center!C71</f>
        <v>190.583651</v>
      </c>
      <c r="N72">
        <f>Center!H71</f>
        <v>5.8219890000000003</v>
      </c>
      <c r="P72">
        <f>P71 + (Center!$D71-Center!$D70)*COS($N72)</f>
        <v>95.32117152926314</v>
      </c>
      <c r="Q72">
        <f>Q71 + (Center!$D71-Center!$D70)*SIN($N72)</f>
        <v>190.25227677297218</v>
      </c>
      <c r="S72">
        <f t="shared" si="12"/>
        <v>88.645875383249347</v>
      </c>
      <c r="T72">
        <f t="shared" si="13"/>
        <v>176.81946540070118</v>
      </c>
      <c r="V72">
        <f t="shared" si="14"/>
        <v>101.99646767527693</v>
      </c>
      <c r="W72">
        <f t="shared" si="15"/>
        <v>203.68508814524318</v>
      </c>
    </row>
    <row r="73" spans="12:23" x14ac:dyDescent="0.25">
      <c r="L73">
        <f>Center!B72</f>
        <v>96.617693000000003</v>
      </c>
      <c r="M73">
        <f>Center!C72</f>
        <v>189.912036</v>
      </c>
      <c r="N73">
        <f>Center!H72</f>
        <v>5.81609</v>
      </c>
      <c r="P73">
        <f>P72 + (Center!$D72-Center!$D71)*COS($N73)</f>
        <v>96.660491560315748</v>
      </c>
      <c r="Q73">
        <f>Q72 + (Center!$D72-Center!$D71)*SIN($N73)</f>
        <v>189.57683480328029</v>
      </c>
      <c r="S73">
        <f t="shared" si="12"/>
        <v>89.906071863396974</v>
      </c>
      <c r="T73">
        <f t="shared" si="13"/>
        <v>176.18363449275421</v>
      </c>
      <c r="V73">
        <f t="shared" si="14"/>
        <v>103.41491125723452</v>
      </c>
      <c r="W73">
        <f t="shared" si="15"/>
        <v>202.97003511380638</v>
      </c>
    </row>
    <row r="74" spans="12:23" x14ac:dyDescent="0.25">
      <c r="L74">
        <f>Center!B73</f>
        <v>97.955335000000005</v>
      </c>
      <c r="M74">
        <f>Center!C73</f>
        <v>189.23327900000001</v>
      </c>
      <c r="N74">
        <f>Center!H73</f>
        <v>5.8113229999999998</v>
      </c>
      <c r="P74">
        <f>P73 + (Center!$D73-Center!$D72)*COS($N74)</f>
        <v>97.996576554174638</v>
      </c>
      <c r="Q74">
        <f>Q73 + (Center!$D73-Center!$D72)*SIN($N74)</f>
        <v>188.89501599363578</v>
      </c>
      <c r="S74">
        <f t="shared" si="12"/>
        <v>91.178388457729412</v>
      </c>
      <c r="T74">
        <f t="shared" si="13"/>
        <v>175.53416605504682</v>
      </c>
      <c r="V74">
        <f t="shared" si="14"/>
        <v>104.81476465061986</v>
      </c>
      <c r="W74">
        <f t="shared" si="15"/>
        <v>202.25586593222474</v>
      </c>
    </row>
    <row r="75" spans="12:23" x14ac:dyDescent="0.25">
      <c r="L75">
        <f>Center!B74</f>
        <v>99.290110999999996</v>
      </c>
      <c r="M75">
        <f>Center!C74</f>
        <v>188.548903</v>
      </c>
      <c r="N75">
        <f>Center!H74</f>
        <v>5.8076800000000004</v>
      </c>
      <c r="P75">
        <f>P74 + (Center!$D74-Center!$D73)*COS($N75)</f>
        <v>99.330168821721955</v>
      </c>
      <c r="Q75">
        <f>Q74 + (Center!$D74-Center!$D73)*SIN($N75)</f>
        <v>188.20833436148155</v>
      </c>
      <c r="S75">
        <f t="shared" si="12"/>
        <v>92.463352500179639</v>
      </c>
      <c r="T75">
        <f t="shared" si="13"/>
        <v>174.87241168600835</v>
      </c>
      <c r="V75">
        <f t="shared" si="14"/>
        <v>106.19698514326427</v>
      </c>
      <c r="W75">
        <f t="shared" si="15"/>
        <v>201.54425703695475</v>
      </c>
    </row>
    <row r="76" spans="12:23" x14ac:dyDescent="0.25">
      <c r="L76">
        <f>Center!B75</f>
        <v>100.622771</v>
      </c>
      <c r="M76">
        <f>Center!C75</f>
        <v>187.86041499999999</v>
      </c>
      <c r="N76">
        <f>Center!H75</f>
        <v>5.8051570000000003</v>
      </c>
      <c r="P76">
        <f>P75 + (Center!$D75-Center!$D74)*COS($N76)</f>
        <v>100.66202434884151</v>
      </c>
      <c r="Q76">
        <f>Q75 + (Center!$D75-Center!$D74)*SIN($N76)</f>
        <v>187.51829026515068</v>
      </c>
      <c r="S76">
        <f t="shared" si="12"/>
        <v>93.761583385532916</v>
      </c>
      <c r="T76">
        <f t="shared" si="13"/>
        <v>174.19973499395505</v>
      </c>
      <c r="V76">
        <f t="shared" si="14"/>
        <v>107.56246531215011</v>
      </c>
      <c r="W76">
        <f t="shared" si="15"/>
        <v>200.83684553634632</v>
      </c>
    </row>
    <row r="77" spans="12:23" x14ac:dyDescent="0.25">
      <c r="L77">
        <f>Center!B76</f>
        <v>101.954077</v>
      </c>
      <c r="M77">
        <f>Center!C76</f>
        <v>187.16931</v>
      </c>
      <c r="N77">
        <f>Center!H76</f>
        <v>5.8037489999999998</v>
      </c>
      <c r="P77">
        <f>P76 + (Center!$D76-Center!$D75)*COS($N77)</f>
        <v>101.99290697401686</v>
      </c>
      <c r="Q77">
        <f>Q76 + (Center!$D76-Center!$D75)*SIN($N77)</f>
        <v>186.8263716008509</v>
      </c>
      <c r="S77">
        <f t="shared" si="12"/>
        <v>95.073720331019217</v>
      </c>
      <c r="T77">
        <f t="shared" si="13"/>
        <v>173.51754534909742</v>
      </c>
      <c r="V77">
        <f t="shared" si="14"/>
        <v>108.91209361701451</v>
      </c>
      <c r="W77">
        <f t="shared" si="15"/>
        <v>200.13519785260439</v>
      </c>
    </row>
    <row r="78" spans="12:23" x14ac:dyDescent="0.25">
      <c r="L78">
        <f>Center!B77</f>
        <v>103.28479400000001</v>
      </c>
      <c r="M78">
        <f>Center!C77</f>
        <v>186.47707199999999</v>
      </c>
      <c r="N78">
        <f>Center!H77</f>
        <v>5.8034559999999997</v>
      </c>
      <c r="P78">
        <f>P77 + (Center!$D77-Center!$D76)*COS($N78)</f>
        <v>103.323586809899</v>
      </c>
      <c r="Q78">
        <f>Q77 + (Center!$D77-Center!$D76)*SIN($N78)</f>
        <v>186.1340630176478</v>
      </c>
      <c r="S78">
        <f t="shared" si="12"/>
        <v>96.400500977868006</v>
      </c>
      <c r="T78">
        <f t="shared" si="13"/>
        <v>172.82726465882641</v>
      </c>
      <c r="V78">
        <f t="shared" si="14"/>
        <v>110.24667264192999</v>
      </c>
      <c r="W78">
        <f t="shared" si="15"/>
        <v>199.4408613764692</v>
      </c>
    </row>
    <row r="79" spans="12:23" x14ac:dyDescent="0.25">
      <c r="L79">
        <f>Center!B78</f>
        <v>104.61569299999999</v>
      </c>
      <c r="M79">
        <f>Center!C78</f>
        <v>185.78518500000001</v>
      </c>
      <c r="N79">
        <f>Center!H78</f>
        <v>5.8042749999999996</v>
      </c>
      <c r="P79">
        <f>P78 + (Center!$D78-Center!$D77)*COS($N79)</f>
        <v>104.65483320016335</v>
      </c>
      <c r="Q79">
        <f>Q78 + (Center!$D78-Center!$D77)*SIN($N79)</f>
        <v>185.44284449329524</v>
      </c>
      <c r="S79">
        <f t="shared" si="12"/>
        <v>97.74264795663774</v>
      </c>
      <c r="T79">
        <f t="shared" si="13"/>
        <v>172.13038059065173</v>
      </c>
      <c r="V79">
        <f t="shared" si="14"/>
        <v>111.56701844368897</v>
      </c>
      <c r="W79">
        <f t="shared" si="15"/>
        <v>198.75530839593875</v>
      </c>
    </row>
    <row r="80" spans="12:23" x14ac:dyDescent="0.25">
      <c r="L80">
        <f>Center!B79</f>
        <v>105.947543</v>
      </c>
      <c r="M80">
        <f>Center!C79</f>
        <v>185.09513100000001</v>
      </c>
      <c r="N80">
        <f>Center!H79</f>
        <v>5.8062100000000001</v>
      </c>
      <c r="P80">
        <f>P79 + (Center!$D79-Center!$D78)*COS($N80)</f>
        <v>105.98741460519544</v>
      </c>
      <c r="Q80">
        <f>Q79 + (Center!$D79-Center!$D78)*SIN($N80)</f>
        <v>184.75420322313877</v>
      </c>
      <c r="S80">
        <f t="shared" si="12"/>
        <v>99.101001903630831</v>
      </c>
      <c r="T80">
        <f t="shared" si="13"/>
        <v>171.42838917281787</v>
      </c>
      <c r="V80">
        <f t="shared" si="14"/>
        <v>112.87382730676005</v>
      </c>
      <c r="W80">
        <f t="shared" si="15"/>
        <v>198.08001727345967</v>
      </c>
    </row>
    <row r="81" spans="12:23" x14ac:dyDescent="0.25">
      <c r="L81">
        <f>Center!B80</f>
        <v>107.281109</v>
      </c>
      <c r="M81">
        <f>Center!C80</f>
        <v>184.408399</v>
      </c>
      <c r="N81">
        <f>Center!H80</f>
        <v>5.8092610000000002</v>
      </c>
      <c r="P81">
        <f>P80 + (Center!$D80-Center!$D79)*COS($N81)</f>
        <v>107.32209084925366</v>
      </c>
      <c r="Q81">
        <f>Q80 + (Center!$D80-Center!$D79)*SIN($N81)</f>
        <v>184.06963085768231</v>
      </c>
      <c r="S81">
        <f t="shared" si="12"/>
        <v>100.4763671946891</v>
      </c>
      <c r="T81">
        <f t="shared" si="13"/>
        <v>170.72286841710013</v>
      </c>
      <c r="V81">
        <f t="shared" si="14"/>
        <v>114.16781450381821</v>
      </c>
      <c r="W81">
        <f t="shared" si="15"/>
        <v>197.4163932982645</v>
      </c>
    </row>
    <row r="82" spans="12:23" x14ac:dyDescent="0.25">
      <c r="L82">
        <f>Center!B81</f>
        <v>108.61714600000001</v>
      </c>
      <c r="M82">
        <f>Center!C81</f>
        <v>183.72648899999999</v>
      </c>
      <c r="N82">
        <f>Center!H81</f>
        <v>5.8134350000000001</v>
      </c>
      <c r="P82">
        <f>P81 + (Center!$D81-Center!$D80)*COS($N82)</f>
        <v>108.65961286353614</v>
      </c>
      <c r="Q82">
        <f>Q81 + (Center!$D81-Center!$D80)*SIN($N82)</f>
        <v>183.39063537808786</v>
      </c>
      <c r="S82">
        <f t="shared" si="12"/>
        <v>101.86965806759156</v>
      </c>
      <c r="T82">
        <f t="shared" si="13"/>
        <v>170.01541523526296</v>
      </c>
      <c r="V82">
        <f t="shared" si="14"/>
        <v>115.44956765948072</v>
      </c>
      <c r="W82">
        <f t="shared" si="15"/>
        <v>196.76585552091277</v>
      </c>
    </row>
    <row r="83" spans="12:23" x14ac:dyDescent="0.25">
      <c r="L83">
        <f>Center!B82</f>
        <v>109.95639799999999</v>
      </c>
      <c r="M83">
        <f>Center!C82</f>
        <v>183.050916</v>
      </c>
      <c r="N83">
        <f>Center!H82</f>
        <v>5.8187360000000004</v>
      </c>
      <c r="P83">
        <f>P82 + (Center!$D82-Center!$D81)*COS($N83)</f>
        <v>110.00071542345643</v>
      </c>
      <c r="Q83">
        <f>Q82 + (Center!$D82-Center!$D81)*SIN($N83)</f>
        <v>182.71873960955284</v>
      </c>
      <c r="S83">
        <f t="shared" si="12"/>
        <v>103.28175773810629</v>
      </c>
      <c r="T83">
        <f t="shared" si="13"/>
        <v>169.30771401035</v>
      </c>
      <c r="V83">
        <f t="shared" si="14"/>
        <v>116.71967310880656</v>
      </c>
      <c r="W83">
        <f t="shared" si="15"/>
        <v>196.12976520875569</v>
      </c>
    </row>
    <row r="84" spans="12:23" x14ac:dyDescent="0.25">
      <c r="L84">
        <f>Center!B83</f>
        <v>111.29958999999999</v>
      </c>
      <c r="M84">
        <f>Center!C83</f>
        <v>182.38321199999999</v>
      </c>
      <c r="N84">
        <f>Center!H83</f>
        <v>5.8251710000000001</v>
      </c>
      <c r="P84">
        <f>P83 + (Center!$D83-Center!$D82)*COS($N84)</f>
        <v>111.34611383589446</v>
      </c>
      <c r="Q84">
        <f>Q83 + (Center!$D83-Center!$D82)*SIN($N84)</f>
        <v>182.05548768772434</v>
      </c>
      <c r="S84">
        <f t="shared" si="12"/>
        <v>104.71359461760932</v>
      </c>
      <c r="T84">
        <f t="shared" si="13"/>
        <v>168.60150356334401</v>
      </c>
      <c r="V84">
        <f t="shared" si="14"/>
        <v>117.9786330541796</v>
      </c>
      <c r="W84">
        <f t="shared" si="15"/>
        <v>195.50947181210466</v>
      </c>
    </row>
    <row r="85" spans="12:23" x14ac:dyDescent="0.25">
      <c r="L85">
        <f>Center!B84</f>
        <v>112.647257</v>
      </c>
      <c r="M85">
        <f>Center!C84</f>
        <v>181.72501700000001</v>
      </c>
      <c r="N85">
        <f>Center!H84</f>
        <v>5.8327479999999996</v>
      </c>
      <c r="P85">
        <f>P84 + (Center!$D84-Center!$D83)*COS($N85)</f>
        <v>112.69633069193456</v>
      </c>
      <c r="Q85">
        <f>Q84 + (Center!$D84-Center!$D83)*SIN($N85)</f>
        <v>181.40253020317104</v>
      </c>
      <c r="S85">
        <f t="shared" si="12"/>
        <v>106.16594172457704</v>
      </c>
      <c r="T85">
        <f t="shared" si="13"/>
        <v>167.89867816254889</v>
      </c>
      <c r="V85">
        <f t="shared" si="14"/>
        <v>119.22671965929209</v>
      </c>
      <c r="W85">
        <f t="shared" si="15"/>
        <v>194.90638224379319</v>
      </c>
    </row>
    <row r="86" spans="12:23" x14ac:dyDescent="0.25">
      <c r="L86">
        <f>Center!B85</f>
        <v>113.998531</v>
      </c>
      <c r="M86">
        <f>Center!C85</f>
        <v>181.07863800000001</v>
      </c>
      <c r="N86">
        <f>Center!H85</f>
        <v>5.8414619999999999</v>
      </c>
      <c r="P86">
        <f>P85 + (Center!$D85-Center!$D84)*COS($N86)</f>
        <v>114.05047387740132</v>
      </c>
      <c r="Q86">
        <f>Q85 + (Center!$D85-Center!$D84)*SIN($N86)</f>
        <v>180.76217283121773</v>
      </c>
      <c r="S86">
        <f t="shared" si="12"/>
        <v>107.63800392455357</v>
      </c>
      <c r="T86">
        <f t="shared" si="13"/>
        <v>167.20192839743908</v>
      </c>
      <c r="V86">
        <f t="shared" si="14"/>
        <v>120.46294383024906</v>
      </c>
      <c r="W86">
        <f t="shared" si="15"/>
        <v>194.32241726499637</v>
      </c>
    </row>
    <row r="87" spans="12:23" x14ac:dyDescent="0.25">
      <c r="L87">
        <f>Center!B86</f>
        <v>115.351266</v>
      </c>
      <c r="M87">
        <f>Center!C86</f>
        <v>180.44690900000001</v>
      </c>
      <c r="N87">
        <f>Center!H86</f>
        <v>5.8512969999999997</v>
      </c>
      <c r="P87">
        <f>P86 + (Center!$D86-Center!$D85)*COS($N87)</f>
        <v>115.40636480758691</v>
      </c>
      <c r="Q87">
        <f>Q86 + (Center!$D86-Center!$D85)*SIN($N87)</f>
        <v>180.13723119250139</v>
      </c>
      <c r="S87">
        <f t="shared" si="12"/>
        <v>109.12756783646346</v>
      </c>
      <c r="T87">
        <f t="shared" si="13"/>
        <v>166.51457695056268</v>
      </c>
      <c r="V87">
        <f t="shared" si="14"/>
        <v>121.68516177871037</v>
      </c>
      <c r="W87">
        <f t="shared" si="15"/>
        <v>193.75988543444009</v>
      </c>
    </row>
    <row r="88" spans="12:23" x14ac:dyDescent="0.25">
      <c r="L88">
        <f>Center!B87</f>
        <v>116.703221</v>
      </c>
      <c r="M88">
        <f>Center!C87</f>
        <v>179.832559</v>
      </c>
      <c r="N88">
        <f>Center!H87</f>
        <v>5.8622240000000003</v>
      </c>
      <c r="P88">
        <f>P87 + (Center!$D87-Center!$D86)*COS($N88)</f>
        <v>116.76172007538756</v>
      </c>
      <c r="Q88">
        <f>Q87 + (Center!$D87-Center!$D86)*SIN($N88)</f>
        <v>179.53040331901005</v>
      </c>
      <c r="S88">
        <f t="shared" si="12"/>
        <v>110.63214972333373</v>
      </c>
      <c r="T88">
        <f t="shared" si="13"/>
        <v>165.83995528765539</v>
      </c>
      <c r="V88">
        <f t="shared" si="14"/>
        <v>122.89129042744139</v>
      </c>
      <c r="W88">
        <f t="shared" si="15"/>
        <v>193.22085135036471</v>
      </c>
    </row>
    <row r="89" spans="12:23" x14ac:dyDescent="0.25">
      <c r="L89">
        <f>Center!B88</f>
        <v>118.052036</v>
      </c>
      <c r="M89">
        <f>Center!C88</f>
        <v>179.23818199999999</v>
      </c>
      <c r="N89">
        <f>Center!H88</f>
        <v>5.874206</v>
      </c>
      <c r="P89">
        <f>P88 + (Center!$D88-Center!$D87)*COS($N89)</f>
        <v>118.11413590408232</v>
      </c>
      <c r="Q89">
        <f>Q88 + (Center!$D88-Center!$D87)*SIN($N89)</f>
        <v>178.94424163590813</v>
      </c>
      <c r="S89">
        <f t="shared" si="12"/>
        <v>112.14904057604245</v>
      </c>
      <c r="T89">
        <f t="shared" si="13"/>
        <v>165.18133359554844</v>
      </c>
      <c r="V89">
        <f t="shared" si="14"/>
        <v>124.07923123212218</v>
      </c>
      <c r="W89">
        <f t="shared" si="15"/>
        <v>192.70714967626782</v>
      </c>
    </row>
    <row r="90" spans="12:23" x14ac:dyDescent="0.25">
      <c r="L90">
        <f>Center!B89</f>
        <v>119.395225</v>
      </c>
      <c r="M90">
        <f>Center!C89</f>
        <v>178.666203</v>
      </c>
      <c r="N90">
        <f>Center!H89</f>
        <v>5.8871929999999999</v>
      </c>
      <c r="P90">
        <f>P89 + (Center!$D89-Center!$D88)*COS($N90)</f>
        <v>119.46107245926686</v>
      </c>
      <c r="Q90">
        <f>Q89 + (Center!$D89-Center!$D88)*SIN($N90)</f>
        <v>178.3811183067194</v>
      </c>
      <c r="S90">
        <f t="shared" si="12"/>
        <v>113.67521402946264</v>
      </c>
      <c r="T90">
        <f t="shared" si="13"/>
        <v>164.54190437563707</v>
      </c>
      <c r="V90">
        <f t="shared" si="14"/>
        <v>125.24693088907108</v>
      </c>
      <c r="W90">
        <f t="shared" si="15"/>
        <v>192.22033223780173</v>
      </c>
    </row>
    <row r="91" spans="12:23" x14ac:dyDescent="0.25">
      <c r="L91">
        <f>Center!B90</f>
        <v>120.730161</v>
      </c>
      <c r="M91">
        <f>Center!C90</f>
        <v>178.11884699999999</v>
      </c>
      <c r="N91">
        <f>Center!H90</f>
        <v>5.9011230000000001</v>
      </c>
      <c r="P91">
        <f>P90 + (Center!$D90-Center!$D89)*COS($N91)</f>
        <v>120.79984884165349</v>
      </c>
      <c r="Q91">
        <f>Q90 + (Center!$D90-Center!$D89)*SIN($N91)</f>
        <v>177.84318991780526</v>
      </c>
      <c r="S91">
        <f t="shared" si="12"/>
        <v>115.20732577638189</v>
      </c>
      <c r="T91">
        <f t="shared" si="13"/>
        <v>163.92472427807309</v>
      </c>
      <c r="V91">
        <f t="shared" si="14"/>
        <v>126.39237190692508</v>
      </c>
      <c r="W91">
        <f t="shared" si="15"/>
        <v>191.76165555753744</v>
      </c>
    </row>
    <row r="92" spans="12:23" x14ac:dyDescent="0.25">
      <c r="L92">
        <f>Center!B91</f>
        <v>122.05407099999999</v>
      </c>
      <c r="M92">
        <f>Center!C91</f>
        <v>177.59810300000001</v>
      </c>
      <c r="N92">
        <f>Center!H91</f>
        <v>5.9159240000000004</v>
      </c>
      <c r="P92">
        <f>P91 + (Center!$D91-Center!$D90)*COS($N92)</f>
        <v>122.12763295702487</v>
      </c>
      <c r="Q92">
        <f>Q91 + (Center!$D91-Center!$D90)*SIN($N92)</f>
        <v>177.33237038803722</v>
      </c>
      <c r="S92">
        <f t="shared" si="12"/>
        <v>116.74172214483173</v>
      </c>
      <c r="T92">
        <f t="shared" si="13"/>
        <v>163.33265736515347</v>
      </c>
      <c r="V92">
        <f t="shared" si="14"/>
        <v>127.51354376921802</v>
      </c>
      <c r="W92">
        <f t="shared" si="15"/>
        <v>191.33208341092097</v>
      </c>
    </row>
    <row r="93" spans="12:23" x14ac:dyDescent="0.25">
      <c r="L93">
        <f>Center!B92</f>
        <v>123.36403</v>
      </c>
      <c r="M93">
        <f>Center!C92</f>
        <v>177.10570000000001</v>
      </c>
      <c r="N93">
        <f>Center!H92</f>
        <v>5.9315110000000004</v>
      </c>
      <c r="P93">
        <f>P92 + (Center!$D92-Center!$D91)*COS($N93)</f>
        <v>123.44144407634174</v>
      </c>
      <c r="Q93">
        <f>Q92 + (Center!$D92-Center!$D91)*SIN($N93)</f>
        <v>176.85029753855972</v>
      </c>
      <c r="S93">
        <f t="shared" si="12"/>
        <v>118.27439220772179</v>
      </c>
      <c r="T93">
        <f t="shared" si="13"/>
        <v>162.76833833584254</v>
      </c>
      <c r="V93">
        <f t="shared" si="14"/>
        <v>128.6084959449617</v>
      </c>
      <c r="W93">
        <f t="shared" si="15"/>
        <v>190.93225674127689</v>
      </c>
    </row>
    <row r="94" spans="12:23" x14ac:dyDescent="0.25">
      <c r="L94">
        <f>Center!B93</f>
        <v>124.65696699999999</v>
      </c>
      <c r="M94">
        <f>Center!C93</f>
        <v>176.64307199999999</v>
      </c>
      <c r="N94">
        <f>Center!H93</f>
        <v>5.9477859999999998</v>
      </c>
      <c r="P94">
        <f>P93 + (Center!$D93-Center!$D92)*COS($N94)</f>
        <v>124.7381534321309</v>
      </c>
      <c r="Q94">
        <f>Q93 + (Center!$D93-Center!$D92)*SIN($N94)</f>
        <v>176.3983050163452</v>
      </c>
      <c r="S94">
        <f t="shared" si="12"/>
        <v>119.80095963007351</v>
      </c>
      <c r="T94">
        <f t="shared" si="13"/>
        <v>162.23412069952252</v>
      </c>
      <c r="V94">
        <f t="shared" si="14"/>
        <v>129.67534723418828</v>
      </c>
      <c r="W94">
        <f t="shared" si="15"/>
        <v>190.56248933316789</v>
      </c>
    </row>
    <row r="95" spans="12:23" x14ac:dyDescent="0.25">
      <c r="L95">
        <f>Center!B94</f>
        <v>125.929664</v>
      </c>
      <c r="M95">
        <f>Center!C94</f>
        <v>176.21133599999999</v>
      </c>
      <c r="N95">
        <f>Center!H94</f>
        <v>5.9646420000000004</v>
      </c>
      <c r="P95">
        <f>P94 + (Center!$D94-Center!$D93)*COS($N95)</f>
        <v>126.01449095312074</v>
      </c>
      <c r="Q95">
        <f>Q94 + (Center!$D94-Center!$D93)*SIN($N95)</f>
        <v>175.97740270081641</v>
      </c>
      <c r="S95">
        <f t="shared" si="12"/>
        <v>121.31673870903707</v>
      </c>
      <c r="T95">
        <f t="shared" si="13"/>
        <v>161.73201313600609</v>
      </c>
      <c r="V95">
        <f t="shared" si="14"/>
        <v>130.71224319720443</v>
      </c>
      <c r="W95">
        <f t="shared" si="15"/>
        <v>190.22279226562674</v>
      </c>
    </row>
    <row r="96" spans="12:23" x14ac:dyDescent="0.25">
      <c r="L96">
        <f>Center!B95</f>
        <v>127.178774</v>
      </c>
      <c r="M96">
        <f>Center!C95</f>
        <v>175.81127499999999</v>
      </c>
      <c r="N96">
        <f>Center!H95</f>
        <v>5.9819620000000002</v>
      </c>
      <c r="P96">
        <f>P95 + (Center!$D95-Center!$D94)*COS($N96)</f>
        <v>127.26706193496936</v>
      </c>
      <c r="Q96">
        <f>Q95 + (Center!$D95-Center!$D94)*SIN($N96)</f>
        <v>175.58825755332674</v>
      </c>
      <c r="S96">
        <f t="shared" si="12"/>
        <v>122.81673210643166</v>
      </c>
      <c r="T96">
        <f t="shared" si="13"/>
        <v>161.26364361726453</v>
      </c>
      <c r="V96">
        <f t="shared" si="14"/>
        <v>131.71739176350707</v>
      </c>
      <c r="W96">
        <f t="shared" si="15"/>
        <v>189.91287148938895</v>
      </c>
    </row>
    <row r="97" spans="12:23" x14ac:dyDescent="0.25">
      <c r="L97">
        <f>Center!B96</f>
        <v>128.40082899999999</v>
      </c>
      <c r="M97">
        <f>Center!C96</f>
        <v>175.44332199999999</v>
      </c>
      <c r="N97">
        <f>Center!H96</f>
        <v>5.9996179999999999</v>
      </c>
      <c r="P97">
        <f>P96 + (Center!$D96-Center!$D95)*COS($N97)</f>
        <v>128.4923573521142</v>
      </c>
      <c r="Q97">
        <f>Q96 + (Center!$D96-Center!$D95)*SIN($N97)</f>
        <v>175.23118124362693</v>
      </c>
      <c r="S97">
        <f t="shared" si="12"/>
        <v>124.2956234093223</v>
      </c>
      <c r="T97">
        <f t="shared" si="13"/>
        <v>160.83022904547633</v>
      </c>
      <c r="V97">
        <f t="shared" si="14"/>
        <v>132.68909129490609</v>
      </c>
      <c r="W97">
        <f t="shared" si="15"/>
        <v>189.63213344177754</v>
      </c>
    </row>
    <row r="98" spans="12:23" x14ac:dyDescent="0.25">
      <c r="L98">
        <f>Center!B97</f>
        <v>129.59226100000001</v>
      </c>
      <c r="M98">
        <f>Center!C97</f>
        <v>175.107551</v>
      </c>
      <c r="N98">
        <f>Center!H97</f>
        <v>6.0174770000000004</v>
      </c>
      <c r="P98">
        <f>P97 + (Center!$D97-Center!$D96)*COS($N98)</f>
        <v>129.68677488763313</v>
      </c>
      <c r="Q98">
        <f>Q97 + (Center!$D97-Center!$D96)*SIN($N98)</f>
        <v>174.90612866478952</v>
      </c>
      <c r="S98">
        <f t="shared" si="12"/>
        <v>125.74788312253477</v>
      </c>
      <c r="T98">
        <f t="shared" si="13"/>
        <v>160.43252746595721</v>
      </c>
      <c r="V98">
        <f t="shared" si="14"/>
        <v>133.6256666527315</v>
      </c>
      <c r="W98">
        <f t="shared" si="15"/>
        <v>189.37972986362183</v>
      </c>
    </row>
    <row r="99" spans="12:23" x14ac:dyDescent="0.25">
      <c r="L99">
        <f>Center!B98</f>
        <v>130.74942300000001</v>
      </c>
      <c r="M99">
        <f>Center!C98</f>
        <v>174.80368300000001</v>
      </c>
      <c r="N99">
        <f>Center!H98</f>
        <v>6.0354010000000002</v>
      </c>
      <c r="P99">
        <f>P98 + (Center!$D98-Center!$D97)*COS($N99)</f>
        <v>130.8466443895658</v>
      </c>
      <c r="Q99">
        <f>Q98 + (Center!$D98-Center!$D97)*SIN($N99)</f>
        <v>174.61270128606267</v>
      </c>
      <c r="S99">
        <f t="shared" si="12"/>
        <v>127.16779626818385</v>
      </c>
      <c r="T99">
        <f t="shared" si="13"/>
        <v>160.07082807454674</v>
      </c>
      <c r="V99">
        <f t="shared" si="14"/>
        <v>134.52549251094774</v>
      </c>
      <c r="W99">
        <f t="shared" si="15"/>
        <v>189.15457449757861</v>
      </c>
    </row>
    <row r="100" spans="12:23" x14ac:dyDescent="0.25">
      <c r="L100">
        <f>Center!B99</f>
        <v>131.86860799999999</v>
      </c>
      <c r="M100">
        <f>Center!C99</f>
        <v>174.531094</v>
      </c>
      <c r="N100">
        <f>Center!H99</f>
        <v>6.0532459999999997</v>
      </c>
      <c r="P100">
        <f>P99 + (Center!$D99-Center!$D98)*COS($N100)</f>
        <v>131.9682451462094</v>
      </c>
      <c r="Q100">
        <f>Q99 + (Center!$D99-Center!$D98)*SIN($N100)</f>
        <v>174.35015771775926</v>
      </c>
      <c r="S100">
        <f t="shared" si="12"/>
        <v>128.54946871787422</v>
      </c>
      <c r="T100">
        <f t="shared" si="13"/>
        <v>159.74495427059497</v>
      </c>
      <c r="V100">
        <f t="shared" si="14"/>
        <v>135.38702157454458</v>
      </c>
      <c r="W100">
        <f t="shared" si="15"/>
        <v>188.95536116492354</v>
      </c>
    </row>
    <row r="101" spans="12:23" x14ac:dyDescent="0.25">
      <c r="L101">
        <f>Center!B100</f>
        <v>132.946079</v>
      </c>
      <c r="M101">
        <f>Center!C100</f>
        <v>174.28882899999999</v>
      </c>
      <c r="N101">
        <f>Center!H100</f>
        <v>6.0708700000000002</v>
      </c>
      <c r="P101">
        <f>P100 + (Center!$D100-Center!$D99)*COS($N101)</f>
        <v>133.04783287092422</v>
      </c>
      <c r="Q101">
        <f>Q100 + (Center!$D100-Center!$D99)*SIN($N101)</f>
        <v>174.11743732406532</v>
      </c>
      <c r="S101">
        <f t="shared" si="12"/>
        <v>129.88697615469545</v>
      </c>
      <c r="T101">
        <f t="shared" si="13"/>
        <v>159.45425264884994</v>
      </c>
      <c r="V101">
        <f t="shared" si="14"/>
        <v>136.208689587153</v>
      </c>
      <c r="W101">
        <f t="shared" si="15"/>
        <v>188.7806219992807</v>
      </c>
    </row>
    <row r="102" spans="12:23" x14ac:dyDescent="0.25">
      <c r="L102">
        <f>Center!B101</f>
        <v>133.978264</v>
      </c>
      <c r="M102">
        <f>Center!C101</f>
        <v>174.07559499999999</v>
      </c>
      <c r="N102">
        <f>Center!H101</f>
        <v>6.0881340000000002</v>
      </c>
      <c r="P102">
        <f>P101 + (Center!$D101-Center!$D100)*COS($N102)</f>
        <v>134.08184172961828</v>
      </c>
      <c r="Q102">
        <f>Q101 + (Center!$D101-Center!$D100)*SIN($N102)</f>
        <v>173.91315531270055</v>
      </c>
      <c r="S102">
        <f t="shared" si="12"/>
        <v>131.17458868717338</v>
      </c>
      <c r="T102">
        <f t="shared" si="13"/>
        <v>159.19758941304195</v>
      </c>
      <c r="V102">
        <f t="shared" si="14"/>
        <v>136.98909477206317</v>
      </c>
      <c r="W102">
        <f t="shared" si="15"/>
        <v>188.62872121235915</v>
      </c>
    </row>
    <row r="103" spans="12:23" x14ac:dyDescent="0.25">
      <c r="L103">
        <f>Center!B102</f>
        <v>134.96311</v>
      </c>
      <c r="M103">
        <f>Center!C102</f>
        <v>173.88957400000001</v>
      </c>
      <c r="N103">
        <f>Center!H102</f>
        <v>6.104927</v>
      </c>
      <c r="P103">
        <f>P102 + (Center!$D102-Center!$D101)*COS($N103)</f>
        <v>135.06823174245179</v>
      </c>
      <c r="Q103">
        <f>Q102 + (Center!$D102-Center!$D101)*SIN($N103)</f>
        <v>173.7354367020647</v>
      </c>
      <c r="S103">
        <f t="shared" si="12"/>
        <v>132.40849550364871</v>
      </c>
      <c r="T103">
        <f t="shared" si="13"/>
        <v>158.97312647839044</v>
      </c>
      <c r="V103">
        <f t="shared" si="14"/>
        <v>137.72796798125486</v>
      </c>
      <c r="W103">
        <f t="shared" si="15"/>
        <v>188.49774692573897</v>
      </c>
    </row>
    <row r="104" spans="12:23" x14ac:dyDescent="0.25">
      <c r="L104">
        <f>Center!B103</f>
        <v>135.89991800000001</v>
      </c>
      <c r="M104">
        <f>Center!C103</f>
        <v>173.72860800000001</v>
      </c>
      <c r="N104">
        <f>Center!H103</f>
        <v>6.1211690000000001</v>
      </c>
      <c r="P104">
        <f>P103 + (Center!$D103-Center!$D102)*COS($N104)</f>
        <v>136.00633041921117</v>
      </c>
      <c r="Q104">
        <f>Q103 + (Center!$D103-Center!$D102)*SIN($N104)</f>
        <v>173.58210545322311</v>
      </c>
      <c r="S104">
        <f t="shared" si="12"/>
        <v>133.58670389614184</v>
      </c>
      <c r="T104">
        <f t="shared" si="13"/>
        <v>158.77854481772533</v>
      </c>
      <c r="V104">
        <f t="shared" si="14"/>
        <v>138.42595694228049</v>
      </c>
      <c r="W104">
        <f t="shared" si="15"/>
        <v>188.38566608872088</v>
      </c>
    </row>
    <row r="105" spans="12:23" x14ac:dyDescent="0.25">
      <c r="L105">
        <f>Center!B104</f>
        <v>136.78806299999999</v>
      </c>
      <c r="M105">
        <f>Center!C104</f>
        <v>173.59053599999999</v>
      </c>
      <c r="N105">
        <f>Center!H104</f>
        <v>6.1367890000000003</v>
      </c>
      <c r="P105">
        <f>P104 + (Center!$D104-Center!$D103)*COS($N105)</f>
        <v>136.89553887632465</v>
      </c>
      <c r="Q105">
        <f>Q104 + (Center!$D104-Center!$D103)*SIN($N105)</f>
        <v>173.45099059850847</v>
      </c>
      <c r="S105">
        <f t="shared" si="12"/>
        <v>134.70742973723986</v>
      </c>
      <c r="T105">
        <f t="shared" si="13"/>
        <v>158.61144281579442</v>
      </c>
      <c r="V105">
        <f t="shared" si="14"/>
        <v>139.08364801540944</v>
      </c>
      <c r="W105">
        <f t="shared" si="15"/>
        <v>188.29053838122252</v>
      </c>
    </row>
    <row r="106" spans="12:23" x14ac:dyDescent="0.25">
      <c r="L106">
        <f>Center!B105</f>
        <v>137.62699000000001</v>
      </c>
      <c r="M106">
        <f>Center!C105</f>
        <v>173.47321500000001</v>
      </c>
      <c r="N106">
        <f>Center!H105</f>
        <v>6.1517239999999997</v>
      </c>
      <c r="P106">
        <f>P105 + (Center!$D105-Center!$D104)*COS($N106)</f>
        <v>137.7353285977062</v>
      </c>
      <c r="Q106">
        <f>Q105 + (Center!$D105-Center!$D104)*SIN($N106)</f>
        <v>173.33995033705833</v>
      </c>
      <c r="S106">
        <f t="shared" si="12"/>
        <v>135.76908389460525</v>
      </c>
      <c r="T106">
        <f t="shared" si="13"/>
        <v>158.46937934037069</v>
      </c>
      <c r="V106">
        <f t="shared" si="14"/>
        <v>139.70157330080715</v>
      </c>
      <c r="W106">
        <f t="shared" si="15"/>
        <v>188.21052133374596</v>
      </c>
    </row>
    <row r="107" spans="12:23" x14ac:dyDescent="0.25">
      <c r="L107">
        <f>Center!B106</f>
        <v>138.416213</v>
      </c>
      <c r="M107">
        <f>Center!C106</f>
        <v>173.37454399999999</v>
      </c>
      <c r="N107">
        <f>Center!H106</f>
        <v>6.1659179999999996</v>
      </c>
      <c r="P107">
        <f>P106 + (Center!$D106-Center!$D105)*COS($N107)</f>
        <v>138.52524101405234</v>
      </c>
      <c r="Q107">
        <f>Q106 + (Center!$D106-Center!$D105)*SIN($N107)</f>
        <v>173.24689247802854</v>
      </c>
      <c r="S107">
        <f t="shared" si="12"/>
        <v>136.77026017426383</v>
      </c>
      <c r="T107">
        <f t="shared" si="13"/>
        <v>158.34991150026076</v>
      </c>
      <c r="V107">
        <f t="shared" si="14"/>
        <v>140.28022185384086</v>
      </c>
      <c r="W107">
        <f t="shared" si="15"/>
        <v>188.14387345579632</v>
      </c>
    </row>
    <row r="108" spans="12:23" x14ac:dyDescent="0.25">
      <c r="L108">
        <f>Center!B107</f>
        <v>139.15531799999999</v>
      </c>
      <c r="M108">
        <f>Center!C107</f>
        <v>173.292484</v>
      </c>
      <c r="N108">
        <f>Center!H107</f>
        <v>6.1793259999999997</v>
      </c>
      <c r="P108">
        <f>P107 + (Center!$D107-Center!$D106)*COS($N108)</f>
        <v>139.26488482721433</v>
      </c>
      <c r="Q108">
        <f>Q107 + (Center!$D107-Center!$D106)*SIN($N108)</f>
        <v>173.16979617816807</v>
      </c>
      <c r="S108">
        <f t="shared" si="12"/>
        <v>137.70979447178254</v>
      </c>
      <c r="T108">
        <f t="shared" si="13"/>
        <v>158.25062415065787</v>
      </c>
      <c r="V108">
        <f t="shared" si="14"/>
        <v>140.81997518264612</v>
      </c>
      <c r="W108">
        <f t="shared" si="15"/>
        <v>188.08896820567827</v>
      </c>
    </row>
    <row r="109" spans="12:23" x14ac:dyDescent="0.25">
      <c r="L109">
        <f>Center!B108</f>
        <v>139.84394700000001</v>
      </c>
      <c r="M109">
        <f>Center!C108</f>
        <v>173.225075</v>
      </c>
      <c r="N109">
        <f>Center!H108</f>
        <v>6.1919069999999996</v>
      </c>
      <c r="P109">
        <f>P108 + (Center!$D108-Center!$D107)*COS($N109)</f>
        <v>139.95393135374056</v>
      </c>
      <c r="Q109">
        <f>Q108 + (Center!$D108-Center!$D107)*SIN($N109)</f>
        <v>173.10672591884452</v>
      </c>
      <c r="S109">
        <f t="shared" si="12"/>
        <v>138.58665721954245</v>
      </c>
      <c r="T109">
        <f t="shared" si="13"/>
        <v>158.16917051503253</v>
      </c>
      <c r="V109">
        <f t="shared" si="14"/>
        <v>141.32120548793867</v>
      </c>
      <c r="W109">
        <f t="shared" si="15"/>
        <v>188.0442813226565</v>
      </c>
    </row>
    <row r="110" spans="12:23" x14ac:dyDescent="0.25">
      <c r="L110">
        <f>Center!B109</f>
        <v>140.48181099999999</v>
      </c>
      <c r="M110">
        <f>Center!C109</f>
        <v>173.17045400000001</v>
      </c>
      <c r="N110">
        <f>Center!H109</f>
        <v>6.2036290000000003</v>
      </c>
      <c r="P110">
        <f>P109 + (Center!$D109-Center!$D108)*COS($N110)</f>
        <v>140.5921084369146</v>
      </c>
      <c r="Q110">
        <f>Q109 + (Center!$D109-Center!$D108)*SIN($N110)</f>
        <v>173.0558475215087</v>
      </c>
      <c r="S110">
        <f t="shared" si="12"/>
        <v>139.40002225155831</v>
      </c>
      <c r="T110">
        <f t="shared" si="13"/>
        <v>158.10329153510014</v>
      </c>
      <c r="V110">
        <f t="shared" si="14"/>
        <v>141.78419462227089</v>
      </c>
      <c r="W110">
        <f t="shared" si="15"/>
        <v>188.00840350791725</v>
      </c>
    </row>
    <row r="111" spans="12:23" x14ac:dyDescent="0.25">
      <c r="L111">
        <f>Center!B110</f>
        <v>141.06867</v>
      </c>
      <c r="M111">
        <f>Center!C110</f>
        <v>173.12686299999999</v>
      </c>
      <c r="N111">
        <f>Center!H110</f>
        <v>6.2144659999999998</v>
      </c>
      <c r="P111">
        <f>P110 + (Center!$D110-Center!$D109)*COS($N111)</f>
        <v>141.17919748610083</v>
      </c>
      <c r="Q111">
        <f>Q110 + (Center!$D110-Center!$D109)*SIN($N111)</f>
        <v>173.01543954197984</v>
      </c>
      <c r="S111">
        <f t="shared" si="12"/>
        <v>140.14921897724784</v>
      </c>
      <c r="T111">
        <f t="shared" si="13"/>
        <v>158.05084318018976</v>
      </c>
      <c r="V111">
        <f t="shared" si="14"/>
        <v>142.20917599495382</v>
      </c>
      <c r="W111">
        <f t="shared" si="15"/>
        <v>187.98003590376993</v>
      </c>
    </row>
    <row r="112" spans="12:23" x14ac:dyDescent="0.25">
      <c r="L112">
        <f>Center!B111</f>
        <v>141.604331</v>
      </c>
      <c r="M112">
        <f>Center!C111</f>
        <v>173.09266400000001</v>
      </c>
      <c r="N112">
        <f>Center!H111</f>
        <v>6.2243950000000003</v>
      </c>
      <c r="P112">
        <f>P111 + (Center!$D111-Center!$D110)*COS($N112)</f>
        <v>141.71502516002829</v>
      </c>
      <c r="Q112">
        <f>Q111 + (Center!$D111-Center!$D110)*SIN($N112)</f>
        <v>172.98390172533848</v>
      </c>
      <c r="S112">
        <f t="shared" si="12"/>
        <v>140.83367845693186</v>
      </c>
      <c r="T112">
        <f t="shared" si="13"/>
        <v>158.00981651157863</v>
      </c>
      <c r="V112">
        <f t="shared" si="14"/>
        <v>142.59637186312472</v>
      </c>
      <c r="W112">
        <f t="shared" si="15"/>
        <v>187.95798693909833</v>
      </c>
    </row>
    <row r="113" spans="12:23" x14ac:dyDescent="0.25">
      <c r="L113">
        <f>Center!B112</f>
        <v>142.08864399999999</v>
      </c>
      <c r="M113">
        <f>Center!C112</f>
        <v>173.06634500000001</v>
      </c>
      <c r="N113">
        <f>Center!H112</f>
        <v>6.2333999999999996</v>
      </c>
      <c r="P113">
        <f>P112 + (Center!$D112-Center!$D111)*COS($N113)</f>
        <v>142.19945419211714</v>
      </c>
      <c r="Q113">
        <f>Q112 + (Center!$D112-Center!$D111)*SIN($N113)</f>
        <v>172.95976433174525</v>
      </c>
      <c r="S113">
        <f t="shared" si="12"/>
        <v>141.45298303796432</v>
      </c>
      <c r="T113">
        <f t="shared" si="13"/>
        <v>157.97834981855533</v>
      </c>
      <c r="V113">
        <f t="shared" si="14"/>
        <v>142.94592534626997</v>
      </c>
      <c r="W113">
        <f t="shared" si="15"/>
        <v>187.94117884493517</v>
      </c>
    </row>
    <row r="114" spans="12:23" x14ac:dyDescent="0.25">
      <c r="L114">
        <f>Center!B113</f>
        <v>142.521683</v>
      </c>
      <c r="M114">
        <f>Center!C113</f>
        <v>173.04651899999999</v>
      </c>
      <c r="N114">
        <f>Center!H113</f>
        <v>6.2414709999999998</v>
      </c>
      <c r="P114">
        <f>P113 + (Center!$D113-Center!$D112)*COS($N114)</f>
        <v>142.63256909068252</v>
      </c>
      <c r="Q114">
        <f>Q113 + (Center!$D113-Center!$D112)*SIN($N114)</f>
        <v>172.94168675710986</v>
      </c>
      <c r="S114">
        <f t="shared" si="12"/>
        <v>142.00703593313719</v>
      </c>
      <c r="T114">
        <f t="shared" si="13"/>
        <v>157.95473549046423</v>
      </c>
      <c r="V114">
        <f t="shared" si="14"/>
        <v>143.25810224822786</v>
      </c>
      <c r="W114">
        <f t="shared" si="15"/>
        <v>187.9286380237555</v>
      </c>
    </row>
    <row r="115" spans="12:23" x14ac:dyDescent="0.25">
      <c r="L115">
        <f>Center!B114</f>
        <v>142.90506500000001</v>
      </c>
      <c r="M115">
        <f>Center!C114</f>
        <v>173.031892</v>
      </c>
      <c r="N115">
        <f>Center!H114</f>
        <v>6.2486300000000004</v>
      </c>
      <c r="P115">
        <f>P114 + (Center!$D114-Center!$D113)*COS($N115)</f>
        <v>143.01600405278128</v>
      </c>
      <c r="Q115">
        <f>Q114 + (Center!$D114-Center!$D113)*SIN($N115)</f>
        <v>172.92843176799946</v>
      </c>
      <c r="S115">
        <f t="shared" si="12"/>
        <v>142.49777759250372</v>
      </c>
      <c r="T115">
        <f t="shared" si="13"/>
        <v>157.93738639631613</v>
      </c>
      <c r="V115">
        <f t="shared" si="14"/>
        <v>143.53423051305884</v>
      </c>
      <c r="W115">
        <f t="shared" si="15"/>
        <v>187.91947713968278</v>
      </c>
    </row>
    <row r="116" spans="12:23" x14ac:dyDescent="0.25">
      <c r="L116">
        <f>Center!B115</f>
        <v>143.24177499999999</v>
      </c>
      <c r="M116">
        <f>Center!C115</f>
        <v>173.02131299999999</v>
      </c>
      <c r="N116">
        <f>Center!H115</f>
        <v>6.2549260000000002</v>
      </c>
      <c r="P116">
        <f>P115 + (Center!$D115-Center!$D114)*COS($N116)</f>
        <v>143.3527455490927</v>
      </c>
      <c r="Q116">
        <f>Q115 + (Center!$D115-Center!$D114)*SIN($N116)</f>
        <v>172.91891315266145</v>
      </c>
      <c r="S116">
        <f t="shared" si="12"/>
        <v>142.92891235803643</v>
      </c>
      <c r="T116">
        <f t="shared" si="13"/>
        <v>157.92490216739941</v>
      </c>
      <c r="V116">
        <f t="shared" si="14"/>
        <v>143.77657874014898</v>
      </c>
      <c r="W116">
        <f t="shared" si="15"/>
        <v>187.91292413792348</v>
      </c>
    </row>
    <row r="117" spans="12:23" x14ac:dyDescent="0.25">
      <c r="L117">
        <f>Center!B116</f>
        <v>143.53481300000001</v>
      </c>
      <c r="M117">
        <f>Center!C116</f>
        <v>173.013834</v>
      </c>
      <c r="N117">
        <f>Center!H116</f>
        <v>6.2604119999999996</v>
      </c>
      <c r="P117">
        <f>P116 + (Center!$D116-Center!$D115)*COS($N117)</f>
        <v>143.64580253954369</v>
      </c>
      <c r="Q117">
        <f>Q116 + (Center!$D116-Center!$D115)*SIN($N117)</f>
        <v>172.91223812181423</v>
      </c>
      <c r="S117">
        <f t="shared" si="12"/>
        <v>143.30423245801606</v>
      </c>
      <c r="T117">
        <f t="shared" si="13"/>
        <v>157.91612763010988</v>
      </c>
      <c r="V117">
        <f t="shared" si="14"/>
        <v>143.98737262107133</v>
      </c>
      <c r="W117">
        <f t="shared" si="15"/>
        <v>187.90834861351857</v>
      </c>
    </row>
    <row r="118" spans="12:23" x14ac:dyDescent="0.25">
      <c r="L118">
        <f>Center!B117</f>
        <v>143.78719000000001</v>
      </c>
      <c r="M118">
        <f>Center!C117</f>
        <v>173.00868199999999</v>
      </c>
      <c r="N118">
        <f>Center!H117</f>
        <v>6.2651399999999997</v>
      </c>
      <c r="P118">
        <f>P117 + (Center!$D117-Center!$D116)*COS($N118)</f>
        <v>143.89819244071302</v>
      </c>
      <c r="Q118">
        <f>Q117 + (Center!$D117-Center!$D116)*SIN($N118)</f>
        <v>172.90768317409393</v>
      </c>
      <c r="S118">
        <f t="shared" si="12"/>
        <v>143.62752752315384</v>
      </c>
      <c r="T118">
        <f t="shared" si="13"/>
        <v>157.91012535615562</v>
      </c>
      <c r="V118">
        <f t="shared" si="14"/>
        <v>144.16885735827219</v>
      </c>
      <c r="W118">
        <f t="shared" si="15"/>
        <v>187.90524099203225</v>
      </c>
    </row>
    <row r="119" spans="12:23" x14ac:dyDescent="0.25">
      <c r="L119">
        <f>Center!B118</f>
        <v>144.001936</v>
      </c>
      <c r="M119">
        <f>Center!C118</f>
        <v>173.00523899999999</v>
      </c>
      <c r="N119">
        <f>Center!H118</f>
        <v>6.2691660000000002</v>
      </c>
      <c r="P119">
        <f>P118 + (Center!$D118-Center!$D117)*COS($N119)</f>
        <v>144.11294233540795</v>
      </c>
      <c r="Q119">
        <f>Q118 + (Center!$D118-Center!$D117)*SIN($N119)</f>
        <v>172.90467233209955</v>
      </c>
      <c r="S119">
        <f t="shared" si="12"/>
        <v>143.90265961606718</v>
      </c>
      <c r="T119">
        <f t="shared" si="13"/>
        <v>157.90614636526044</v>
      </c>
      <c r="V119">
        <f t="shared" si="14"/>
        <v>144.32322505474872</v>
      </c>
      <c r="W119">
        <f t="shared" si="15"/>
        <v>187.90319829893866</v>
      </c>
    </row>
    <row r="120" spans="12:23" x14ac:dyDescent="0.25">
      <c r="L120">
        <f>Center!B119</f>
        <v>144.18207799999999</v>
      </c>
      <c r="M120">
        <f>Center!C119</f>
        <v>173.003017</v>
      </c>
      <c r="N120">
        <f>Center!H119</f>
        <v>6.2725439999999999</v>
      </c>
      <c r="P120">
        <f>P119 + (Center!$D119-Center!$D118)*COS($N120)</f>
        <v>144.29308813530403</v>
      </c>
      <c r="Q120">
        <f>Q119 + (Center!$D119-Center!$D118)*SIN($N120)</f>
        <v>172.90275527294426</v>
      </c>
      <c r="S120">
        <f t="shared" si="12"/>
        <v>144.13347154007857</v>
      </c>
      <c r="T120">
        <f t="shared" si="13"/>
        <v>157.90360454556878</v>
      </c>
      <c r="V120">
        <f t="shared" si="14"/>
        <v>144.45270473052949</v>
      </c>
      <c r="W120">
        <f t="shared" si="15"/>
        <v>187.90190600031974</v>
      </c>
    </row>
    <row r="121" spans="12:23" x14ac:dyDescent="0.25">
      <c r="L121">
        <f>Center!B120</f>
        <v>144.33065300000001</v>
      </c>
      <c r="M121">
        <f>Center!C120</f>
        <v>173.001643</v>
      </c>
      <c r="N121">
        <f>Center!H120</f>
        <v>6.2753310000000004</v>
      </c>
      <c r="P121">
        <f>P120 + (Center!$D120-Center!$D119)*COS($N121)</f>
        <v>144.44166555230532</v>
      </c>
      <c r="Q121">
        <f>Q120 + (Center!$D120-Center!$D119)*SIN($N121)</f>
        <v>172.90158827627369</v>
      </c>
      <c r="S121">
        <f t="shared" si="12"/>
        <v>144.3238521559411</v>
      </c>
      <c r="T121">
        <f t="shared" si="13"/>
        <v>157.90205094995468</v>
      </c>
      <c r="V121">
        <f t="shared" si="14"/>
        <v>144.55947894866955</v>
      </c>
      <c r="W121">
        <f t="shared" si="15"/>
        <v>187.90112560259269</v>
      </c>
    </row>
    <row r="122" spans="12:23" x14ac:dyDescent="0.25">
      <c r="L122">
        <f>Center!B121</f>
        <v>144.45069799999999</v>
      </c>
      <c r="M122">
        <f>Center!C121</f>
        <v>173.00083599999999</v>
      </c>
      <c r="N122">
        <f>Center!H121</f>
        <v>6.2775840000000001</v>
      </c>
      <c r="P122">
        <f>P121 + (Center!$D121-Center!$D120)*COS($N122)</f>
        <v>144.56171366904735</v>
      </c>
      <c r="Q122">
        <f>Q121 + (Center!$D121-Center!$D120)*SIN($N122)</f>
        <v>172.90091584286301</v>
      </c>
      <c r="S122">
        <f t="shared" si="12"/>
        <v>144.47769450070038</v>
      </c>
      <c r="T122">
        <f t="shared" si="13"/>
        <v>157.90115115206368</v>
      </c>
      <c r="V122">
        <f t="shared" si="14"/>
        <v>144.64573283739432</v>
      </c>
      <c r="W122">
        <f t="shared" si="15"/>
        <v>187.90068053366235</v>
      </c>
    </row>
    <row r="123" spans="12:23" x14ac:dyDescent="0.25">
      <c r="L123">
        <f>Center!B122</f>
        <v>144.54525799999999</v>
      </c>
      <c r="M123">
        <f>Center!C122</f>
        <v>173.00039000000001</v>
      </c>
      <c r="N123">
        <f>Center!H122</f>
        <v>6.2793590000000004</v>
      </c>
      <c r="P123">
        <f>P122 + (Center!$D122-Center!$D121)*COS($N123)</f>
        <v>144.65627497682473</v>
      </c>
      <c r="Q123">
        <f>Q122 + (Center!$D122-Center!$D121)*SIN($N123)</f>
        <v>172.9005540204864</v>
      </c>
      <c r="S123">
        <f t="shared" si="12"/>
        <v>144.59888050917968</v>
      </c>
      <c r="T123">
        <f t="shared" si="13"/>
        <v>157.90066382505216</v>
      </c>
      <c r="V123">
        <f t="shared" si="14"/>
        <v>144.71366944446979</v>
      </c>
      <c r="W123">
        <f t="shared" si="15"/>
        <v>187.90044421592063</v>
      </c>
    </row>
    <row r="124" spans="12:23" x14ac:dyDescent="0.25">
      <c r="L124">
        <f>Center!B123</f>
        <v>144.61737400000001</v>
      </c>
      <c r="M124">
        <f>Center!C123</f>
        <v>173.00016299999999</v>
      </c>
      <c r="N124">
        <f>Center!H123</f>
        <v>6.2807120000000003</v>
      </c>
      <c r="P124">
        <f>P123 + (Center!$D123-Center!$D122)*COS($N124)</f>
        <v>144.7283907562491</v>
      </c>
      <c r="Q124">
        <f>Q123 + (Center!$D123-Center!$D122)*SIN($N124)</f>
        <v>172.90037565564768</v>
      </c>
      <c r="S124">
        <f t="shared" si="12"/>
        <v>144.69129118637989</v>
      </c>
      <c r="T124">
        <f t="shared" si="13"/>
        <v>157.90042153498732</v>
      </c>
      <c r="V124">
        <f t="shared" si="14"/>
        <v>144.76549032611831</v>
      </c>
      <c r="W124">
        <f t="shared" si="15"/>
        <v>187.90032977630804</v>
      </c>
    </row>
    <row r="125" spans="12:23" x14ac:dyDescent="0.25">
      <c r="L125">
        <f>Center!B124</f>
        <v>144.67009100000001</v>
      </c>
      <c r="M125">
        <f>Center!C124</f>
        <v>173.00005899999999</v>
      </c>
      <c r="N125">
        <f>Center!H124</f>
        <v>6.2817020000000001</v>
      </c>
      <c r="P125">
        <f>P124 + (Center!$D124-Center!$D123)*COS($N125)</f>
        <v>144.78110369825953</v>
      </c>
      <c r="Q125">
        <f>Q124 + (Center!$D124-Center!$D123)*SIN($N125)</f>
        <v>172.900297466105</v>
      </c>
      <c r="S125">
        <f t="shared" si="12"/>
        <v>144.75885409872467</v>
      </c>
      <c r="T125">
        <f t="shared" si="13"/>
        <v>157.90031396760338</v>
      </c>
      <c r="V125">
        <f t="shared" si="14"/>
        <v>144.80335329779439</v>
      </c>
      <c r="W125">
        <f t="shared" si="15"/>
        <v>187.90028096460662</v>
      </c>
    </row>
    <row r="126" spans="12:23" x14ac:dyDescent="0.25">
      <c r="L126">
        <f>Center!B125</f>
        <v>144.70643799999999</v>
      </c>
      <c r="M126">
        <f>Center!C125</f>
        <v>173.00001700000001</v>
      </c>
      <c r="N126">
        <f>Center!H125</f>
        <v>6.2823840000000004</v>
      </c>
      <c r="P126">
        <f>P125 + (Center!$D125-Center!$D124)*COS($N126)</f>
        <v>144.81745568658886</v>
      </c>
      <c r="Q126">
        <f>Q125 + (Center!$D125-Center!$D124)*SIN($N126)</f>
        <v>172.90026833698954</v>
      </c>
      <c r="S126">
        <f t="shared" si="12"/>
        <v>144.80543608018135</v>
      </c>
      <c r="T126">
        <f t="shared" si="13"/>
        <v>157.90027315268824</v>
      </c>
      <c r="V126">
        <f t="shared" si="14"/>
        <v>144.82947529299636</v>
      </c>
      <c r="W126">
        <f t="shared" si="15"/>
        <v>187.90026352129084</v>
      </c>
    </row>
    <row r="127" spans="12:23" x14ac:dyDescent="0.25">
      <c r="L127">
        <f>Center!B126</f>
        <v>144.72947300000001</v>
      </c>
      <c r="M127">
        <f>Center!C126</f>
        <v>173.00000399999999</v>
      </c>
      <c r="N127">
        <f>Center!H126</f>
        <v>6.2828169999999997</v>
      </c>
      <c r="P127">
        <f>P126 + (Center!$D126-Center!$D125)*COS($N127)</f>
        <v>144.84048868502663</v>
      </c>
      <c r="Q127">
        <f>Q126 + (Center!$D126-Center!$D125)*SIN($N127)</f>
        <v>172.90025985377048</v>
      </c>
      <c r="S127">
        <f t="shared" si="12"/>
        <v>144.83496407745773</v>
      </c>
      <c r="T127">
        <f t="shared" si="13"/>
        <v>157.9002608711468</v>
      </c>
      <c r="V127">
        <f t="shared" si="14"/>
        <v>144.84601329259553</v>
      </c>
      <c r="W127">
        <f t="shared" si="15"/>
        <v>187.90025883639416</v>
      </c>
    </row>
    <row r="128" spans="12:23" x14ac:dyDescent="0.25">
      <c r="L128">
        <f>Center!B127</f>
        <v>144.742234</v>
      </c>
      <c r="M128">
        <f>Center!C127</f>
        <v>173</v>
      </c>
      <c r="N128">
        <f>Center!H127</f>
        <v>6.2830560000000002</v>
      </c>
      <c r="P128">
        <f>P127 + (Center!$D127-Center!$D126)*COS($N128)</f>
        <v>144.85324668491995</v>
      </c>
      <c r="Q128">
        <f>Q127 + (Center!$D127-Center!$D126)*SIN($N128)</f>
        <v>172.90025820406947</v>
      </c>
      <c r="S128">
        <f t="shared" si="12"/>
        <v>144.85130707723155</v>
      </c>
      <c r="T128">
        <f t="shared" si="13"/>
        <v>157.90025832947208</v>
      </c>
      <c r="V128">
        <f t="shared" si="14"/>
        <v>144.85518629260835</v>
      </c>
      <c r="W128">
        <f t="shared" si="15"/>
        <v>187.90025807866687</v>
      </c>
    </row>
    <row r="129" spans="12:23" x14ac:dyDescent="0.25">
      <c r="L129">
        <f>Center!B128</f>
        <v>144.74776</v>
      </c>
      <c r="M129">
        <f>Center!C128</f>
        <v>173</v>
      </c>
      <c r="N129">
        <f>Center!H128</f>
        <v>6.2831599999999996</v>
      </c>
      <c r="P129">
        <f>P128 + (Center!$D128-Center!$D127)*COS($N129)</f>
        <v>144.8587716849182</v>
      </c>
      <c r="Q129">
        <f>Q128 + (Center!$D128-Center!$D127)*SIN($N129)</f>
        <v>172.90025806424731</v>
      </c>
      <c r="S129">
        <f t="shared" si="12"/>
        <v>144.85839207722444</v>
      </c>
      <c r="T129">
        <f t="shared" si="13"/>
        <v>157.90025806905072</v>
      </c>
      <c r="V129">
        <f t="shared" si="14"/>
        <v>144.85915129261195</v>
      </c>
      <c r="W129">
        <f t="shared" si="15"/>
        <v>187.9002580594439</v>
      </c>
    </row>
    <row r="130" spans="12:23" x14ac:dyDescent="0.25">
      <c r="L130">
        <f>Center!B129</f>
        <v>144.74909500000001</v>
      </c>
      <c r="M130">
        <f>Center!C129</f>
        <v>173</v>
      </c>
      <c r="N130">
        <f>Center!H129</f>
        <v>6.2831849999999996</v>
      </c>
      <c r="P130">
        <f>P129 + (Center!$D129-Center!$D128)*COS($N130)</f>
        <v>144.86010668491818</v>
      </c>
      <c r="Q130">
        <f>Q129 + (Center!$D129-Center!$D128)*SIN($N130)</f>
        <v>172.90025806383721</v>
      </c>
      <c r="S130">
        <f t="shared" si="12"/>
        <v>144.86010207722438</v>
      </c>
      <c r="T130">
        <f t="shared" si="13"/>
        <v>157.90025806383792</v>
      </c>
      <c r="V130">
        <f t="shared" si="14"/>
        <v>144.86011129261198</v>
      </c>
      <c r="W130">
        <f t="shared" si="15"/>
        <v>187.9002580638365</v>
      </c>
    </row>
    <row r="131" spans="12:23" x14ac:dyDescent="0.25">
      <c r="L131">
        <f>Center!B130</f>
        <v>144.74909500000001</v>
      </c>
      <c r="M131">
        <f>Center!C130</f>
        <v>173</v>
      </c>
      <c r="N131">
        <f>Center!H130</f>
        <v>6.2831849999999996</v>
      </c>
      <c r="P131">
        <f>P130 + (Center!$D130-Center!$D129)*COS($N131)</f>
        <v>144.86010668491818</v>
      </c>
      <c r="Q131">
        <f>Q130 + (Center!$D130-Center!$D129)*SIN($N131)</f>
        <v>172.90025806383721</v>
      </c>
      <c r="S131">
        <f t="shared" si="12"/>
        <v>144.86010207722438</v>
      </c>
      <c r="T131">
        <f t="shared" si="13"/>
        <v>157.90025806383792</v>
      </c>
      <c r="V131">
        <f t="shared" si="14"/>
        <v>144.86011129261198</v>
      </c>
      <c r="W131">
        <f t="shared" si="15"/>
        <v>187.9002580638365</v>
      </c>
    </row>
  </sheetData>
  <conditionalFormatting sqref="C7:C8">
    <cfRule type="cellIs" dxfId="0" priority="1" operator="greaterThan">
      <formula>100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xPaths">
                <anchor moveWithCells="1" sizeWithCells="1">
                  <from>
                    <xdr:col>0</xdr:col>
                    <xdr:colOff>314325</xdr:colOff>
                    <xdr:row>0</xdr:row>
                    <xdr:rowOff>104775</xdr:rowOff>
                  </from>
                  <to>
                    <xdr:col>4</xdr:col>
                    <xdr:colOff>76200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30"/>
  <sheetViews>
    <sheetView workbookViewId="0"/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0.02</v>
      </c>
      <c r="B2">
        <v>26</v>
      </c>
      <c r="C2">
        <v>203</v>
      </c>
      <c r="D2">
        <v>1.521E-3</v>
      </c>
      <c r="E2">
        <v>0.15212999999999999</v>
      </c>
      <c r="F2">
        <v>7.6064910000000001</v>
      </c>
      <c r="G2">
        <v>380.324544</v>
      </c>
      <c r="H2">
        <v>1.02E-4</v>
      </c>
    </row>
    <row r="3" spans="1:8" x14ac:dyDescent="0.25">
      <c r="A3">
        <v>0.02</v>
      </c>
      <c r="B3">
        <v>26</v>
      </c>
      <c r="C3">
        <v>203</v>
      </c>
      <c r="D3">
        <v>7.6059999999999999E-3</v>
      </c>
      <c r="E3">
        <v>0.45638899999999999</v>
      </c>
      <c r="F3">
        <v>15.212982</v>
      </c>
      <c r="G3">
        <v>380.324544</v>
      </c>
      <c r="H3">
        <v>8.7999999999999998E-5</v>
      </c>
    </row>
    <row r="4" spans="1:8" x14ac:dyDescent="0.25">
      <c r="A4">
        <v>0.02</v>
      </c>
      <c r="B4">
        <v>26</v>
      </c>
      <c r="C4">
        <v>203</v>
      </c>
      <c r="D4">
        <v>2.1298000000000001E-2</v>
      </c>
      <c r="E4">
        <v>0.91277900000000001</v>
      </c>
      <c r="F4">
        <v>22.819472999999999</v>
      </c>
      <c r="G4">
        <v>380.324544</v>
      </c>
      <c r="H4">
        <v>5.7000000000000003E-5</v>
      </c>
    </row>
    <row r="5" spans="1:8" x14ac:dyDescent="0.25">
      <c r="A5">
        <v>0.02</v>
      </c>
      <c r="B5">
        <v>26</v>
      </c>
      <c r="C5">
        <v>203</v>
      </c>
      <c r="D5">
        <v>4.5638999999999999E-2</v>
      </c>
      <c r="E5">
        <v>1.521298</v>
      </c>
      <c r="F5">
        <v>30.425962999999999</v>
      </c>
      <c r="G5">
        <v>380.324544</v>
      </c>
      <c r="H5">
        <v>9.9999999999999995E-7</v>
      </c>
    </row>
    <row r="6" spans="1:8" x14ac:dyDescent="0.25">
      <c r="A6">
        <v>0.02</v>
      </c>
      <c r="B6">
        <v>26.037507000000002</v>
      </c>
      <c r="C6">
        <v>202.99999800000001</v>
      </c>
      <c r="D6">
        <v>8.3670999999999995E-2</v>
      </c>
      <c r="E6">
        <v>2.2819470000000002</v>
      </c>
      <c r="F6">
        <v>38.032454000000001</v>
      </c>
      <c r="G6">
        <v>380.324544</v>
      </c>
      <c r="H6">
        <v>6.2831000000000001</v>
      </c>
    </row>
    <row r="7" spans="1:8" x14ac:dyDescent="0.25">
      <c r="A7">
        <v>0.02</v>
      </c>
      <c r="B7">
        <v>26.092274</v>
      </c>
      <c r="C7">
        <v>202.99999</v>
      </c>
      <c r="D7">
        <v>0.13843800000000001</v>
      </c>
      <c r="E7">
        <v>3.1947260000000002</v>
      </c>
      <c r="F7">
        <v>45.638945</v>
      </c>
      <c r="G7">
        <v>380.324544</v>
      </c>
      <c r="H7">
        <v>6.2829750000000004</v>
      </c>
    </row>
    <row r="8" spans="1:8" x14ac:dyDescent="0.25">
      <c r="A8">
        <v>0.02</v>
      </c>
      <c r="B8">
        <v>26.166817999999999</v>
      </c>
      <c r="C8">
        <v>202.999968</v>
      </c>
      <c r="D8">
        <v>0.212982</v>
      </c>
      <c r="E8">
        <v>4.2596350000000003</v>
      </c>
      <c r="F8">
        <v>53.245435999999998</v>
      </c>
      <c r="G8">
        <v>380.324544</v>
      </c>
      <c r="H8">
        <v>6.2828039999999996</v>
      </c>
    </row>
    <row r="9" spans="1:8" x14ac:dyDescent="0.25">
      <c r="A9">
        <v>0.02</v>
      </c>
      <c r="B9">
        <v>26.264181000000001</v>
      </c>
      <c r="C9">
        <v>202.99992</v>
      </c>
      <c r="D9">
        <v>0.31034499999999998</v>
      </c>
      <c r="E9">
        <v>5.4766729999999999</v>
      </c>
      <c r="F9">
        <v>60.851927000000003</v>
      </c>
      <c r="G9">
        <v>380.324544</v>
      </c>
      <c r="H9">
        <v>6.2825800000000003</v>
      </c>
    </row>
    <row r="10" spans="1:8" x14ac:dyDescent="0.25">
      <c r="A10">
        <v>0.02</v>
      </c>
      <c r="B10">
        <v>26.387405999999999</v>
      </c>
      <c r="C10">
        <v>202.99982800000001</v>
      </c>
      <c r="D10">
        <v>0.43357000000000001</v>
      </c>
      <c r="E10">
        <v>6.8458420000000002</v>
      </c>
      <c r="F10">
        <v>68.458417999999995</v>
      </c>
      <c r="G10">
        <v>380.324544</v>
      </c>
      <c r="H10">
        <v>6.2822959999999997</v>
      </c>
    </row>
    <row r="11" spans="1:8" x14ac:dyDescent="0.25">
      <c r="A11">
        <v>0.02</v>
      </c>
      <c r="B11">
        <v>26.539535000000001</v>
      </c>
      <c r="C11">
        <v>202.99966599999999</v>
      </c>
      <c r="D11">
        <v>0.5857</v>
      </c>
      <c r="E11">
        <v>8.3671399999999991</v>
      </c>
      <c r="F11">
        <v>76.064909</v>
      </c>
      <c r="G11">
        <v>380.324544</v>
      </c>
      <c r="H11">
        <v>6.2819430000000001</v>
      </c>
    </row>
    <row r="12" spans="1:8" x14ac:dyDescent="0.25">
      <c r="A12">
        <v>0.02</v>
      </c>
      <c r="B12">
        <v>26.723611999999999</v>
      </c>
      <c r="C12">
        <v>202.99939800000001</v>
      </c>
      <c r="D12">
        <v>0.76977700000000004</v>
      </c>
      <c r="E12">
        <v>10.040568</v>
      </c>
      <c r="F12">
        <v>83.671400000000006</v>
      </c>
      <c r="G12">
        <v>380.324544</v>
      </c>
      <c r="H12">
        <v>6.2815130000000003</v>
      </c>
    </row>
    <row r="13" spans="1:8" x14ac:dyDescent="0.25">
      <c r="A13">
        <v>0.02</v>
      </c>
      <c r="B13">
        <v>26.942678999999998</v>
      </c>
      <c r="C13">
        <v>202.998975</v>
      </c>
      <c r="D13">
        <v>0.98884399999999995</v>
      </c>
      <c r="E13">
        <v>11.866126</v>
      </c>
      <c r="F13">
        <v>91.277889999999999</v>
      </c>
      <c r="G13">
        <v>380.324544</v>
      </c>
      <c r="H13">
        <v>6.2809990000000004</v>
      </c>
    </row>
    <row r="14" spans="1:8" x14ac:dyDescent="0.25">
      <c r="A14">
        <v>0.02</v>
      </c>
      <c r="B14">
        <v>27.199777000000001</v>
      </c>
      <c r="C14">
        <v>202.998335</v>
      </c>
      <c r="D14">
        <v>1.245943</v>
      </c>
      <c r="E14">
        <v>13.843813000000001</v>
      </c>
      <c r="F14">
        <v>98.884381000000005</v>
      </c>
      <c r="G14">
        <v>380.324544</v>
      </c>
      <c r="H14">
        <v>6.2803899999999997</v>
      </c>
    </row>
    <row r="15" spans="1:8" x14ac:dyDescent="0.25">
      <c r="A15">
        <v>0.02</v>
      </c>
      <c r="B15">
        <v>27.497949999999999</v>
      </c>
      <c r="C15">
        <v>202.99739500000001</v>
      </c>
      <c r="D15">
        <v>1.5441180000000001</v>
      </c>
      <c r="E15">
        <v>15.973630999999999</v>
      </c>
      <c r="F15">
        <v>106.490872</v>
      </c>
      <c r="G15">
        <v>380.324544</v>
      </c>
      <c r="H15">
        <v>6.2796760000000003</v>
      </c>
    </row>
    <row r="16" spans="1:8" x14ac:dyDescent="0.25">
      <c r="A16">
        <v>0.02</v>
      </c>
      <c r="B16">
        <v>27.840240000000001</v>
      </c>
      <c r="C16">
        <v>202.99605199999999</v>
      </c>
      <c r="D16">
        <v>1.8864099999999999</v>
      </c>
      <c r="E16">
        <v>18.255578</v>
      </c>
      <c r="F16">
        <v>114.097363</v>
      </c>
      <c r="G16">
        <v>380.324544</v>
      </c>
      <c r="H16">
        <v>6.278848</v>
      </c>
    </row>
    <row r="17" spans="1:8" x14ac:dyDescent="0.25">
      <c r="A17">
        <v>0.02</v>
      </c>
      <c r="B17">
        <v>28.229687999999999</v>
      </c>
      <c r="C17">
        <v>202.99417800000001</v>
      </c>
      <c r="D17">
        <v>2.2758620000000001</v>
      </c>
      <c r="E17">
        <v>20.689654999999998</v>
      </c>
      <c r="F17">
        <v>121.70385400000001</v>
      </c>
      <c r="G17">
        <v>380.324544</v>
      </c>
      <c r="H17">
        <v>6.2778939999999999</v>
      </c>
    </row>
    <row r="18" spans="1:8" x14ac:dyDescent="0.25">
      <c r="A18">
        <v>0.02</v>
      </c>
      <c r="B18">
        <v>28.669335</v>
      </c>
      <c r="C18">
        <v>202.991612</v>
      </c>
      <c r="D18">
        <v>2.7155170000000002</v>
      </c>
      <c r="E18">
        <v>23.275862</v>
      </c>
      <c r="F18">
        <v>129.31034500000001</v>
      </c>
      <c r="G18">
        <v>380.324544</v>
      </c>
      <c r="H18">
        <v>6.276802</v>
      </c>
    </row>
    <row r="19" spans="1:8" x14ac:dyDescent="0.25">
      <c r="A19">
        <v>0.02</v>
      </c>
      <c r="B19">
        <v>29.160703000000002</v>
      </c>
      <c r="C19">
        <v>202.98817199999999</v>
      </c>
      <c r="D19">
        <v>3.2068970000000001</v>
      </c>
      <c r="E19">
        <v>25.862069000000002</v>
      </c>
      <c r="F19">
        <v>129.31034500000001</v>
      </c>
      <c r="G19">
        <v>0</v>
      </c>
      <c r="H19">
        <v>6.2755619999999999</v>
      </c>
    </row>
    <row r="20" spans="1:8" x14ac:dyDescent="0.25">
      <c r="A20">
        <v>0.02</v>
      </c>
      <c r="B20">
        <v>29.703786999999998</v>
      </c>
      <c r="C20">
        <v>202.983654</v>
      </c>
      <c r="D20">
        <v>3.75</v>
      </c>
      <c r="E20">
        <v>28.448276</v>
      </c>
      <c r="F20">
        <v>129.31034500000001</v>
      </c>
      <c r="G20">
        <v>0</v>
      </c>
      <c r="H20">
        <v>6.2741680000000004</v>
      </c>
    </row>
    <row r="21" spans="1:8" x14ac:dyDescent="0.25">
      <c r="A21">
        <v>0.02</v>
      </c>
      <c r="B21">
        <v>30.298586</v>
      </c>
      <c r="C21">
        <v>202.97782900000001</v>
      </c>
      <c r="D21">
        <v>4.3448279999999997</v>
      </c>
      <c r="E21">
        <v>31.034483000000002</v>
      </c>
      <c r="F21">
        <v>129.31034500000001</v>
      </c>
      <c r="G21">
        <v>0</v>
      </c>
      <c r="H21">
        <v>6.2726129999999998</v>
      </c>
    </row>
    <row r="22" spans="1:8" x14ac:dyDescent="0.25">
      <c r="A22">
        <v>0.02</v>
      </c>
      <c r="B22">
        <v>30.945095999999999</v>
      </c>
      <c r="C22">
        <v>202.970439</v>
      </c>
      <c r="D22">
        <v>4.9913790000000002</v>
      </c>
      <c r="E22">
        <v>33.620690000000003</v>
      </c>
      <c r="F22">
        <v>129.31034500000001</v>
      </c>
      <c r="G22">
        <v>0</v>
      </c>
      <c r="H22">
        <v>6.2708890000000004</v>
      </c>
    </row>
    <row r="23" spans="1:8" x14ac:dyDescent="0.25">
      <c r="A23">
        <v>0.02</v>
      </c>
      <c r="B23">
        <v>31.64331</v>
      </c>
      <c r="C23">
        <v>202.96119200000001</v>
      </c>
      <c r="D23">
        <v>5.6896550000000001</v>
      </c>
      <c r="E23">
        <v>36.206896999999998</v>
      </c>
      <c r="F23">
        <v>129.31034500000001</v>
      </c>
      <c r="G23">
        <v>0</v>
      </c>
      <c r="H23">
        <v>6.2689880000000002</v>
      </c>
    </row>
    <row r="24" spans="1:8" x14ac:dyDescent="0.25">
      <c r="A24">
        <v>0.02</v>
      </c>
      <c r="B24">
        <v>32.393222999999999</v>
      </c>
      <c r="C24">
        <v>202.94976500000001</v>
      </c>
      <c r="D24">
        <v>6.4396550000000001</v>
      </c>
      <c r="E24">
        <v>38.793103000000002</v>
      </c>
      <c r="F24">
        <v>129.31034500000001</v>
      </c>
      <c r="G24">
        <v>0</v>
      </c>
      <c r="H24">
        <v>6.2669009999999998</v>
      </c>
    </row>
    <row r="25" spans="1:8" x14ac:dyDescent="0.25">
      <c r="A25">
        <v>0.02</v>
      </c>
      <c r="B25">
        <v>33.194825000000002</v>
      </c>
      <c r="C25">
        <v>202.93579800000001</v>
      </c>
      <c r="D25">
        <v>7.2413790000000002</v>
      </c>
      <c r="E25">
        <v>41.379309999999997</v>
      </c>
      <c r="F25">
        <v>129.31034500000001</v>
      </c>
      <c r="G25">
        <v>0</v>
      </c>
      <c r="H25">
        <v>6.2646179999999996</v>
      </c>
    </row>
    <row r="26" spans="1:8" x14ac:dyDescent="0.25">
      <c r="A26">
        <v>0.02</v>
      </c>
      <c r="B26">
        <v>34.048105999999997</v>
      </c>
      <c r="C26">
        <v>202.91889499999999</v>
      </c>
      <c r="D26">
        <v>8.0948279999999997</v>
      </c>
      <c r="E26">
        <v>43.965516999999998</v>
      </c>
      <c r="F26">
        <v>129.31034500000001</v>
      </c>
      <c r="G26">
        <v>0</v>
      </c>
      <c r="H26">
        <v>6.2621279999999997</v>
      </c>
    </row>
    <row r="27" spans="1:8" x14ac:dyDescent="0.25">
      <c r="A27">
        <v>0.02</v>
      </c>
      <c r="B27">
        <v>34.953051000000002</v>
      </c>
      <c r="C27">
        <v>202.89861500000001</v>
      </c>
      <c r="D27">
        <v>9</v>
      </c>
      <c r="E27">
        <v>46.551724</v>
      </c>
      <c r="F27">
        <v>129.31034500000001</v>
      </c>
      <c r="G27">
        <v>0</v>
      </c>
      <c r="H27">
        <v>6.2594200000000004</v>
      </c>
    </row>
    <row r="28" spans="1:8" x14ac:dyDescent="0.25">
      <c r="A28">
        <v>0.02</v>
      </c>
      <c r="B28">
        <v>35.909643000000003</v>
      </c>
      <c r="C28">
        <v>202.87447800000001</v>
      </c>
      <c r="D28">
        <v>9.9568969999999997</v>
      </c>
      <c r="E28">
        <v>49.137931000000002</v>
      </c>
      <c r="F28">
        <v>129.31034500000001</v>
      </c>
      <c r="G28">
        <v>0</v>
      </c>
      <c r="H28">
        <v>6.2564830000000002</v>
      </c>
    </row>
    <row r="29" spans="1:8" x14ac:dyDescent="0.25">
      <c r="A29">
        <v>0.02</v>
      </c>
      <c r="B29">
        <v>36.917859</v>
      </c>
      <c r="C29">
        <v>202.84595200000001</v>
      </c>
      <c r="D29">
        <v>10.965517</v>
      </c>
      <c r="E29">
        <v>51.724138000000004</v>
      </c>
      <c r="F29">
        <v>129.31034500000001</v>
      </c>
      <c r="G29">
        <v>0</v>
      </c>
      <c r="H29">
        <v>6.2533029999999998</v>
      </c>
    </row>
    <row r="30" spans="1:8" x14ac:dyDescent="0.25">
      <c r="A30">
        <v>0.02</v>
      </c>
      <c r="B30">
        <v>37.977674999999998</v>
      </c>
      <c r="C30">
        <v>202.81245999999999</v>
      </c>
      <c r="D30">
        <v>12.025862</v>
      </c>
      <c r="E30">
        <v>54.310344999999998</v>
      </c>
      <c r="F30">
        <v>129.31034500000001</v>
      </c>
      <c r="G30">
        <v>0</v>
      </c>
      <c r="H30">
        <v>6.2498680000000002</v>
      </c>
    </row>
    <row r="31" spans="1:8" x14ac:dyDescent="0.25">
      <c r="A31">
        <v>0.02</v>
      </c>
      <c r="B31">
        <v>39.087535000000003</v>
      </c>
      <c r="C31">
        <v>202.77342300000001</v>
      </c>
      <c r="D31">
        <v>13.13641</v>
      </c>
      <c r="E31">
        <v>56.744422</v>
      </c>
      <c r="F31">
        <v>121.70385400000001</v>
      </c>
      <c r="G31">
        <v>-380.324544</v>
      </c>
      <c r="H31">
        <v>6.2461690000000001</v>
      </c>
    </row>
    <row r="32" spans="1:8" x14ac:dyDescent="0.25">
      <c r="A32">
        <v>0.02</v>
      </c>
      <c r="B32">
        <v>40.244363</v>
      </c>
      <c r="C32">
        <v>202.728295</v>
      </c>
      <c r="D32">
        <v>14.294117999999999</v>
      </c>
      <c r="E32">
        <v>59.026369000000003</v>
      </c>
      <c r="F32">
        <v>114.097363</v>
      </c>
      <c r="G32">
        <v>-380.324544</v>
      </c>
      <c r="H32">
        <v>6.2422019999999998</v>
      </c>
    </row>
    <row r="33" spans="1:8" x14ac:dyDescent="0.25">
      <c r="A33">
        <v>0.02</v>
      </c>
      <c r="B33">
        <v>41.445072000000003</v>
      </c>
      <c r="C33">
        <v>202.67652200000001</v>
      </c>
      <c r="D33">
        <v>15.495943</v>
      </c>
      <c r="E33">
        <v>61.156187000000003</v>
      </c>
      <c r="F33">
        <v>106.490872</v>
      </c>
      <c r="G33">
        <v>-380.324544</v>
      </c>
      <c r="H33">
        <v>6.237965</v>
      </c>
    </row>
    <row r="34" spans="1:8" x14ac:dyDescent="0.25">
      <c r="A34">
        <v>0.02</v>
      </c>
      <c r="B34">
        <v>42.686571000000001</v>
      </c>
      <c r="C34">
        <v>202.61754999999999</v>
      </c>
      <c r="D34">
        <v>16.738844</v>
      </c>
      <c r="E34">
        <v>63.133873999999999</v>
      </c>
      <c r="F34">
        <v>98.884381000000005</v>
      </c>
      <c r="G34">
        <v>-380.324544</v>
      </c>
      <c r="H34">
        <v>6.2334550000000002</v>
      </c>
    </row>
    <row r="35" spans="1:8" x14ac:dyDescent="0.25">
      <c r="A35">
        <v>0.02</v>
      </c>
      <c r="B35">
        <v>43.965764</v>
      </c>
      <c r="C35">
        <v>202.55082999999999</v>
      </c>
      <c r="D35">
        <v>18.019777000000001</v>
      </c>
      <c r="E35">
        <v>64.959432000000007</v>
      </c>
      <c r="F35">
        <v>91.277889999999999</v>
      </c>
      <c r="G35">
        <v>-380.324544</v>
      </c>
      <c r="H35">
        <v>6.2286700000000002</v>
      </c>
    </row>
    <row r="36" spans="1:8" x14ac:dyDescent="0.25">
      <c r="A36">
        <v>0.02</v>
      </c>
      <c r="B36">
        <v>45.279546000000003</v>
      </c>
      <c r="C36">
        <v>202.475821</v>
      </c>
      <c r="D36">
        <v>19.335699999999999</v>
      </c>
      <c r="E36">
        <v>66.632859999999994</v>
      </c>
      <c r="F36">
        <v>83.671400000000006</v>
      </c>
      <c r="G36">
        <v>-380.324544</v>
      </c>
      <c r="H36">
        <v>6.2236120000000001</v>
      </c>
    </row>
    <row r="37" spans="1:8" x14ac:dyDescent="0.25">
      <c r="A37">
        <v>0.02</v>
      </c>
      <c r="B37">
        <v>46.624806</v>
      </c>
      <c r="C37">
        <v>202.39200099999999</v>
      </c>
      <c r="D37">
        <v>20.68357</v>
      </c>
      <c r="E37">
        <v>68.154157999999995</v>
      </c>
      <c r="F37">
        <v>76.064909</v>
      </c>
      <c r="G37">
        <v>-380.324544</v>
      </c>
      <c r="H37">
        <v>6.21828</v>
      </c>
    </row>
    <row r="38" spans="1:8" x14ac:dyDescent="0.25">
      <c r="A38">
        <v>0.02</v>
      </c>
      <c r="B38">
        <v>47.998426000000002</v>
      </c>
      <c r="C38">
        <v>202.29887299999999</v>
      </c>
      <c r="D38">
        <v>22.060345000000002</v>
      </c>
      <c r="E38">
        <v>69.523326999999995</v>
      </c>
      <c r="F38">
        <v>68.458417999999995</v>
      </c>
      <c r="G38">
        <v>-380.324544</v>
      </c>
      <c r="H38">
        <v>6.2126760000000001</v>
      </c>
    </row>
    <row r="39" spans="1:8" x14ac:dyDescent="0.25">
      <c r="A39">
        <v>0.02</v>
      </c>
      <c r="B39">
        <v>49.397281</v>
      </c>
      <c r="C39">
        <v>202.19596799999999</v>
      </c>
      <c r="D39">
        <v>23.462982</v>
      </c>
      <c r="E39">
        <v>70.740364999999997</v>
      </c>
      <c r="F39">
        <v>60.851927000000003</v>
      </c>
      <c r="G39">
        <v>-380.324544</v>
      </c>
      <c r="H39">
        <v>6.206804</v>
      </c>
    </row>
    <row r="40" spans="1:8" x14ac:dyDescent="0.25">
      <c r="A40">
        <v>0.02</v>
      </c>
      <c r="B40">
        <v>50.818240000000003</v>
      </c>
      <c r="C40">
        <v>202.08285599999999</v>
      </c>
      <c r="D40">
        <v>24.888438000000001</v>
      </c>
      <c r="E40">
        <v>71.805273999999997</v>
      </c>
      <c r="F40">
        <v>53.245435999999998</v>
      </c>
      <c r="G40">
        <v>-380.324544</v>
      </c>
      <c r="H40">
        <v>6.2006690000000004</v>
      </c>
    </row>
    <row r="41" spans="1:8" x14ac:dyDescent="0.25">
      <c r="A41">
        <v>0.02</v>
      </c>
      <c r="B41">
        <v>52.258167</v>
      </c>
      <c r="C41">
        <v>201.95915400000001</v>
      </c>
      <c r="D41">
        <v>26.333670999999999</v>
      </c>
      <c r="E41">
        <v>72.718052999999998</v>
      </c>
      <c r="F41">
        <v>45.638945</v>
      </c>
      <c r="G41">
        <v>-380.324544</v>
      </c>
      <c r="H41">
        <v>6.1942760000000003</v>
      </c>
    </row>
    <row r="42" spans="1:8" x14ac:dyDescent="0.25">
      <c r="A42">
        <v>0.02</v>
      </c>
      <c r="B42">
        <v>53.713920000000002</v>
      </c>
      <c r="C42">
        <v>201.82452900000001</v>
      </c>
      <c r="D42">
        <v>27.795639000000001</v>
      </c>
      <c r="E42">
        <v>73.478701999999998</v>
      </c>
      <c r="F42">
        <v>38.032454000000001</v>
      </c>
      <c r="G42">
        <v>-380.324544</v>
      </c>
      <c r="H42">
        <v>6.1876340000000001</v>
      </c>
    </row>
    <row r="43" spans="1:8" x14ac:dyDescent="0.25">
      <c r="A43">
        <v>0.02</v>
      </c>
      <c r="B43">
        <v>55.182353999999997</v>
      </c>
      <c r="C43">
        <v>201.67871099999999</v>
      </c>
      <c r="D43">
        <v>29.271298000000002</v>
      </c>
      <c r="E43">
        <v>74.087221</v>
      </c>
      <c r="F43">
        <v>30.425962999999999</v>
      </c>
      <c r="G43">
        <v>-380.324544</v>
      </c>
      <c r="H43">
        <v>6.180752</v>
      </c>
    </row>
    <row r="44" spans="1:8" x14ac:dyDescent="0.25">
      <c r="A44">
        <v>0.02</v>
      </c>
      <c r="B44">
        <v>56.660321000000003</v>
      </c>
      <c r="C44">
        <v>201.52149499999999</v>
      </c>
      <c r="D44">
        <v>30.757605999999999</v>
      </c>
      <c r="E44">
        <v>74.543610999999999</v>
      </c>
      <c r="F44">
        <v>22.819472999999999</v>
      </c>
      <c r="G44">
        <v>-380.324544</v>
      </c>
      <c r="H44">
        <v>6.1736399999999998</v>
      </c>
    </row>
    <row r="45" spans="1:8" x14ac:dyDescent="0.25">
      <c r="A45">
        <v>0.02</v>
      </c>
      <c r="B45">
        <v>58.144672</v>
      </c>
      <c r="C45">
        <v>201.35275300000001</v>
      </c>
      <c r="D45">
        <v>32.251520999999997</v>
      </c>
      <c r="E45">
        <v>74.84787</v>
      </c>
      <c r="F45">
        <v>15.212982</v>
      </c>
      <c r="G45">
        <v>-380.324544</v>
      </c>
      <c r="H45">
        <v>6.1663119999999996</v>
      </c>
    </row>
    <row r="46" spans="1:8" x14ac:dyDescent="0.25">
      <c r="A46">
        <v>0.02</v>
      </c>
      <c r="B46">
        <v>59.632258999999998</v>
      </c>
      <c r="C46">
        <v>201.172439</v>
      </c>
      <c r="D46">
        <v>33.75</v>
      </c>
      <c r="E46">
        <v>75</v>
      </c>
      <c r="F46">
        <v>7.6064910000000001</v>
      </c>
      <c r="G46">
        <v>-380.324544</v>
      </c>
      <c r="H46">
        <v>6.1587810000000003</v>
      </c>
    </row>
    <row r="47" spans="1:8" x14ac:dyDescent="0.25">
      <c r="A47">
        <v>0.02</v>
      </c>
      <c r="B47">
        <v>61.119936000000003</v>
      </c>
      <c r="C47">
        <v>200.98059499999999</v>
      </c>
      <c r="D47">
        <v>35.25</v>
      </c>
      <c r="E47">
        <v>75</v>
      </c>
      <c r="F47">
        <v>0</v>
      </c>
      <c r="G47">
        <v>-380.324544</v>
      </c>
      <c r="H47">
        <v>6.1510639999999999</v>
      </c>
    </row>
    <row r="48" spans="1:8" x14ac:dyDescent="0.25">
      <c r="A48">
        <v>0.02</v>
      </c>
      <c r="B48">
        <v>62.606071</v>
      </c>
      <c r="C48">
        <v>200.77714399999999</v>
      </c>
      <c r="D48">
        <v>36.75</v>
      </c>
      <c r="E48">
        <v>75</v>
      </c>
      <c r="F48">
        <v>0</v>
      </c>
      <c r="G48">
        <v>0</v>
      </c>
      <c r="H48">
        <v>6.1431709999999997</v>
      </c>
    </row>
    <row r="49" spans="1:8" x14ac:dyDescent="0.25">
      <c r="A49">
        <v>0.02</v>
      </c>
      <c r="B49">
        <v>64.090535000000003</v>
      </c>
      <c r="C49">
        <v>200.56183899999999</v>
      </c>
      <c r="D49">
        <v>38.25</v>
      </c>
      <c r="E49">
        <v>75</v>
      </c>
      <c r="F49">
        <v>0</v>
      </c>
      <c r="G49">
        <v>0</v>
      </c>
      <c r="H49">
        <v>6.1351019999999998</v>
      </c>
    </row>
    <row r="50" spans="1:8" x14ac:dyDescent="0.25">
      <c r="A50">
        <v>0.02</v>
      </c>
      <c r="B50">
        <v>65.573193000000003</v>
      </c>
      <c r="C50">
        <v>200.33443700000001</v>
      </c>
      <c r="D50">
        <v>39.75</v>
      </c>
      <c r="E50">
        <v>75</v>
      </c>
      <c r="F50">
        <v>0</v>
      </c>
      <c r="G50">
        <v>0</v>
      </c>
      <c r="H50">
        <v>6.126862</v>
      </c>
    </row>
    <row r="51" spans="1:8" x14ac:dyDescent="0.25">
      <c r="A51">
        <v>0.02</v>
      </c>
      <c r="B51">
        <v>67.053905999999998</v>
      </c>
      <c r="C51">
        <v>200.09469999999999</v>
      </c>
      <c r="D51">
        <v>41.25</v>
      </c>
      <c r="E51">
        <v>75</v>
      </c>
      <c r="F51">
        <v>0</v>
      </c>
      <c r="G51">
        <v>0</v>
      </c>
      <c r="H51">
        <v>6.1184529999999997</v>
      </c>
    </row>
    <row r="52" spans="1:8" x14ac:dyDescent="0.25">
      <c r="A52">
        <v>0.02</v>
      </c>
      <c r="B52">
        <v>68.532529999999994</v>
      </c>
      <c r="C52">
        <v>199.84239600000001</v>
      </c>
      <c r="D52">
        <v>42.75</v>
      </c>
      <c r="E52">
        <v>75</v>
      </c>
      <c r="F52">
        <v>0</v>
      </c>
      <c r="G52">
        <v>0</v>
      </c>
      <c r="H52">
        <v>6.109877</v>
      </c>
    </row>
    <row r="53" spans="1:8" x14ac:dyDescent="0.25">
      <c r="A53">
        <v>0.02</v>
      </c>
      <c r="B53">
        <v>70.008915000000002</v>
      </c>
      <c r="C53">
        <v>199.57730100000001</v>
      </c>
      <c r="D53">
        <v>44.25</v>
      </c>
      <c r="E53">
        <v>75</v>
      </c>
      <c r="F53">
        <v>0</v>
      </c>
      <c r="G53">
        <v>0</v>
      </c>
      <c r="H53">
        <v>6.1011389999999999</v>
      </c>
    </row>
    <row r="54" spans="1:8" x14ac:dyDescent="0.25">
      <c r="A54">
        <v>0.02</v>
      </c>
      <c r="B54">
        <v>71.482902999999993</v>
      </c>
      <c r="C54">
        <v>199.29919599999999</v>
      </c>
      <c r="D54">
        <v>45.75</v>
      </c>
      <c r="E54">
        <v>75</v>
      </c>
      <c r="F54">
        <v>0</v>
      </c>
      <c r="G54">
        <v>0</v>
      </c>
      <c r="H54">
        <v>6.0922400000000003</v>
      </c>
    </row>
    <row r="55" spans="1:8" x14ac:dyDescent="0.25">
      <c r="A55">
        <v>0.02</v>
      </c>
      <c r="B55">
        <v>72.876383000000004</v>
      </c>
      <c r="C55">
        <v>199.017843</v>
      </c>
      <c r="D55">
        <v>47.25</v>
      </c>
      <c r="E55">
        <v>75</v>
      </c>
      <c r="F55">
        <v>0</v>
      </c>
      <c r="G55">
        <v>0</v>
      </c>
      <c r="H55">
        <v>6.072832</v>
      </c>
    </row>
    <row r="56" spans="1:8" x14ac:dyDescent="0.25">
      <c r="A56">
        <v>0.02</v>
      </c>
      <c r="B56">
        <v>74.339412999999993</v>
      </c>
      <c r="C56">
        <v>198.68703199999999</v>
      </c>
      <c r="D56">
        <v>48.75</v>
      </c>
      <c r="E56">
        <v>75</v>
      </c>
      <c r="F56">
        <v>0</v>
      </c>
      <c r="G56">
        <v>0</v>
      </c>
      <c r="H56">
        <v>6.0489420000000003</v>
      </c>
    </row>
    <row r="57" spans="1:8" x14ac:dyDescent="0.25">
      <c r="A57">
        <v>0.02</v>
      </c>
      <c r="B57">
        <v>75.794295000000005</v>
      </c>
      <c r="C57">
        <v>198.32204400000001</v>
      </c>
      <c r="D57">
        <v>50.25</v>
      </c>
      <c r="E57">
        <v>75</v>
      </c>
      <c r="F57">
        <v>0</v>
      </c>
      <c r="G57">
        <v>0</v>
      </c>
      <c r="H57">
        <v>6.0259939999999999</v>
      </c>
    </row>
    <row r="58" spans="1:8" x14ac:dyDescent="0.25">
      <c r="A58">
        <v>0.02</v>
      </c>
      <c r="B58">
        <v>77.240620000000007</v>
      </c>
      <c r="C58">
        <v>197.924485</v>
      </c>
      <c r="D58">
        <v>51.75</v>
      </c>
      <c r="E58">
        <v>75</v>
      </c>
      <c r="F58">
        <v>0</v>
      </c>
      <c r="G58">
        <v>0</v>
      </c>
      <c r="H58">
        <v>6.0040469999999999</v>
      </c>
    </row>
    <row r="59" spans="1:8" x14ac:dyDescent="0.25">
      <c r="A59">
        <v>0.02</v>
      </c>
      <c r="B59">
        <v>78.678099000000003</v>
      </c>
      <c r="C59">
        <v>197.49603300000001</v>
      </c>
      <c r="D59">
        <v>53.25</v>
      </c>
      <c r="E59">
        <v>75</v>
      </c>
      <c r="F59">
        <v>0</v>
      </c>
      <c r="G59">
        <v>0</v>
      </c>
      <c r="H59">
        <v>5.9831529999999997</v>
      </c>
    </row>
    <row r="60" spans="1:8" x14ac:dyDescent="0.25">
      <c r="A60">
        <v>0.02</v>
      </c>
      <c r="B60">
        <v>80.106564000000006</v>
      </c>
      <c r="C60">
        <v>197.03841499999999</v>
      </c>
      <c r="D60">
        <v>54.75</v>
      </c>
      <c r="E60">
        <v>75</v>
      </c>
      <c r="F60">
        <v>0</v>
      </c>
      <c r="G60">
        <v>0</v>
      </c>
      <c r="H60">
        <v>5.9633510000000003</v>
      </c>
    </row>
    <row r="61" spans="1:8" x14ac:dyDescent="0.25">
      <c r="A61">
        <v>0.02</v>
      </c>
      <c r="B61">
        <v>81.525962000000007</v>
      </c>
      <c r="C61">
        <v>196.55339699999999</v>
      </c>
      <c r="D61">
        <v>56.25</v>
      </c>
      <c r="E61">
        <v>75</v>
      </c>
      <c r="F61">
        <v>0</v>
      </c>
      <c r="G61">
        <v>0</v>
      </c>
      <c r="H61">
        <v>5.9446729999999999</v>
      </c>
    </row>
    <row r="62" spans="1:8" x14ac:dyDescent="0.25">
      <c r="A62">
        <v>0.02</v>
      </c>
      <c r="B62">
        <v>82.936347999999995</v>
      </c>
      <c r="C62">
        <v>196.04275799999999</v>
      </c>
      <c r="D62">
        <v>57.75</v>
      </c>
      <c r="E62">
        <v>75</v>
      </c>
      <c r="F62">
        <v>0</v>
      </c>
      <c r="G62">
        <v>0</v>
      </c>
      <c r="H62">
        <v>5.9271409999999998</v>
      </c>
    </row>
    <row r="63" spans="1:8" x14ac:dyDescent="0.25">
      <c r="A63">
        <v>0.02</v>
      </c>
      <c r="B63">
        <v>84.337879000000001</v>
      </c>
      <c r="C63">
        <v>195.508284</v>
      </c>
      <c r="D63">
        <v>59.25</v>
      </c>
      <c r="E63">
        <v>75</v>
      </c>
      <c r="F63">
        <v>0</v>
      </c>
      <c r="G63">
        <v>0</v>
      </c>
      <c r="H63">
        <v>5.9107719999999997</v>
      </c>
    </row>
    <row r="64" spans="1:8" x14ac:dyDescent="0.25">
      <c r="A64">
        <v>0.02</v>
      </c>
      <c r="B64">
        <v>85.730801</v>
      </c>
      <c r="C64">
        <v>194.95175599999999</v>
      </c>
      <c r="D64">
        <v>60.75</v>
      </c>
      <c r="E64">
        <v>75</v>
      </c>
      <c r="F64">
        <v>0</v>
      </c>
      <c r="G64">
        <v>0</v>
      </c>
      <c r="H64">
        <v>5.8955760000000001</v>
      </c>
    </row>
    <row r="65" spans="1:8" x14ac:dyDescent="0.25">
      <c r="A65">
        <v>0.02</v>
      </c>
      <c r="B65">
        <v>87.115447000000003</v>
      </c>
      <c r="C65">
        <v>194.37494000000001</v>
      </c>
      <c r="D65">
        <v>62.25</v>
      </c>
      <c r="E65">
        <v>75</v>
      </c>
      <c r="F65">
        <v>0</v>
      </c>
      <c r="G65">
        <v>0</v>
      </c>
      <c r="H65">
        <v>5.8815559999999998</v>
      </c>
    </row>
    <row r="66" spans="1:8" x14ac:dyDescent="0.25">
      <c r="A66">
        <v>0.02</v>
      </c>
      <c r="B66">
        <v>88.492223999999993</v>
      </c>
      <c r="C66">
        <v>193.77957799999999</v>
      </c>
      <c r="D66">
        <v>63.75</v>
      </c>
      <c r="E66">
        <v>75</v>
      </c>
      <c r="F66">
        <v>0</v>
      </c>
      <c r="G66">
        <v>0</v>
      </c>
      <c r="H66">
        <v>5.8687129999999996</v>
      </c>
    </row>
    <row r="67" spans="1:8" x14ac:dyDescent="0.25">
      <c r="A67">
        <v>0.02</v>
      </c>
      <c r="B67">
        <v>89.861602000000005</v>
      </c>
      <c r="C67">
        <v>193.16738799999999</v>
      </c>
      <c r="D67">
        <v>65.25</v>
      </c>
      <c r="E67">
        <v>75</v>
      </c>
      <c r="F67">
        <v>0</v>
      </c>
      <c r="G67">
        <v>0</v>
      </c>
      <c r="H67">
        <v>5.8570450000000003</v>
      </c>
    </row>
    <row r="68" spans="1:8" x14ac:dyDescent="0.25">
      <c r="A68">
        <v>0.02</v>
      </c>
      <c r="B68">
        <v>91.224113000000003</v>
      </c>
      <c r="C68">
        <v>192.54005799999999</v>
      </c>
      <c r="D68">
        <v>66.75</v>
      </c>
      <c r="E68">
        <v>75</v>
      </c>
      <c r="F68">
        <v>0</v>
      </c>
      <c r="G68">
        <v>0</v>
      </c>
      <c r="H68">
        <v>5.846546</v>
      </c>
    </row>
    <row r="69" spans="1:8" x14ac:dyDescent="0.25">
      <c r="A69">
        <v>0.02</v>
      </c>
      <c r="B69">
        <v>92.580337</v>
      </c>
      <c r="C69">
        <v>191.89924500000001</v>
      </c>
      <c r="D69">
        <v>68.25</v>
      </c>
      <c r="E69">
        <v>75</v>
      </c>
      <c r="F69">
        <v>0</v>
      </c>
      <c r="G69">
        <v>0</v>
      </c>
      <c r="H69">
        <v>5.8372089999999996</v>
      </c>
    </row>
    <row r="70" spans="1:8" x14ac:dyDescent="0.25">
      <c r="A70">
        <v>0.02</v>
      </c>
      <c r="B70">
        <v>93.930897000000002</v>
      </c>
      <c r="C70">
        <v>191.246577</v>
      </c>
      <c r="D70">
        <v>69.75</v>
      </c>
      <c r="E70">
        <v>75</v>
      </c>
      <c r="F70">
        <v>0</v>
      </c>
      <c r="G70">
        <v>0</v>
      </c>
      <c r="H70">
        <v>5.8290259999999998</v>
      </c>
    </row>
    <row r="71" spans="1:8" x14ac:dyDescent="0.25">
      <c r="A71">
        <v>0.02</v>
      </c>
      <c r="B71">
        <v>95.276452000000006</v>
      </c>
      <c r="C71">
        <v>190.583651</v>
      </c>
      <c r="D71">
        <v>71.25</v>
      </c>
      <c r="E71">
        <v>75</v>
      </c>
      <c r="F71">
        <v>0</v>
      </c>
      <c r="G71">
        <v>0</v>
      </c>
      <c r="H71">
        <v>5.8219890000000003</v>
      </c>
    </row>
    <row r="72" spans="1:8" x14ac:dyDescent="0.25">
      <c r="A72">
        <v>0.02</v>
      </c>
      <c r="B72">
        <v>96.617693000000003</v>
      </c>
      <c r="C72">
        <v>189.912036</v>
      </c>
      <c r="D72">
        <v>72.75</v>
      </c>
      <c r="E72">
        <v>75</v>
      </c>
      <c r="F72">
        <v>0</v>
      </c>
      <c r="G72">
        <v>0</v>
      </c>
      <c r="H72">
        <v>5.81609</v>
      </c>
    </row>
    <row r="73" spans="1:8" x14ac:dyDescent="0.25">
      <c r="A73">
        <v>0.02</v>
      </c>
      <c r="B73">
        <v>97.955335000000005</v>
      </c>
      <c r="C73">
        <v>189.23327900000001</v>
      </c>
      <c r="D73">
        <v>74.25</v>
      </c>
      <c r="E73">
        <v>75</v>
      </c>
      <c r="F73">
        <v>0</v>
      </c>
      <c r="G73">
        <v>0</v>
      </c>
      <c r="H73">
        <v>5.8113229999999998</v>
      </c>
    </row>
    <row r="74" spans="1:8" x14ac:dyDescent="0.25">
      <c r="A74">
        <v>0.02</v>
      </c>
      <c r="B74">
        <v>99.290110999999996</v>
      </c>
      <c r="C74">
        <v>188.548903</v>
      </c>
      <c r="D74">
        <v>75.75</v>
      </c>
      <c r="E74">
        <v>75</v>
      </c>
      <c r="F74">
        <v>0</v>
      </c>
      <c r="G74">
        <v>0</v>
      </c>
      <c r="H74">
        <v>5.8076800000000004</v>
      </c>
    </row>
    <row r="75" spans="1:8" x14ac:dyDescent="0.25">
      <c r="A75">
        <v>0.02</v>
      </c>
      <c r="B75">
        <v>100.622771</v>
      </c>
      <c r="C75">
        <v>187.86041499999999</v>
      </c>
      <c r="D75">
        <v>77.25</v>
      </c>
      <c r="E75">
        <v>75</v>
      </c>
      <c r="F75">
        <v>0</v>
      </c>
      <c r="G75">
        <v>0</v>
      </c>
      <c r="H75">
        <v>5.8051570000000003</v>
      </c>
    </row>
    <row r="76" spans="1:8" x14ac:dyDescent="0.25">
      <c r="A76">
        <v>0.02</v>
      </c>
      <c r="B76">
        <v>101.954077</v>
      </c>
      <c r="C76">
        <v>187.16931</v>
      </c>
      <c r="D76">
        <v>78.75</v>
      </c>
      <c r="E76">
        <v>75</v>
      </c>
      <c r="F76">
        <v>0</v>
      </c>
      <c r="G76">
        <v>0</v>
      </c>
      <c r="H76">
        <v>5.8037489999999998</v>
      </c>
    </row>
    <row r="77" spans="1:8" x14ac:dyDescent="0.25">
      <c r="A77">
        <v>0.02</v>
      </c>
      <c r="B77">
        <v>103.28479400000001</v>
      </c>
      <c r="C77">
        <v>186.47707199999999</v>
      </c>
      <c r="D77">
        <v>80.25</v>
      </c>
      <c r="E77">
        <v>75</v>
      </c>
      <c r="F77">
        <v>0</v>
      </c>
      <c r="G77">
        <v>0</v>
      </c>
      <c r="H77">
        <v>5.8034559999999997</v>
      </c>
    </row>
    <row r="78" spans="1:8" x14ac:dyDescent="0.25">
      <c r="A78">
        <v>0.02</v>
      </c>
      <c r="B78">
        <v>104.61569299999999</v>
      </c>
      <c r="C78">
        <v>185.78518500000001</v>
      </c>
      <c r="D78">
        <v>81.75</v>
      </c>
      <c r="E78">
        <v>75</v>
      </c>
      <c r="F78">
        <v>0</v>
      </c>
      <c r="G78">
        <v>0</v>
      </c>
      <c r="H78">
        <v>5.8042749999999996</v>
      </c>
    </row>
    <row r="79" spans="1:8" x14ac:dyDescent="0.25">
      <c r="A79">
        <v>0.02</v>
      </c>
      <c r="B79">
        <v>105.947543</v>
      </c>
      <c r="C79">
        <v>185.09513100000001</v>
      </c>
      <c r="D79">
        <v>83.25</v>
      </c>
      <c r="E79">
        <v>75</v>
      </c>
      <c r="F79">
        <v>0</v>
      </c>
      <c r="G79">
        <v>0</v>
      </c>
      <c r="H79">
        <v>5.8062100000000001</v>
      </c>
    </row>
    <row r="80" spans="1:8" x14ac:dyDescent="0.25">
      <c r="A80">
        <v>0.02</v>
      </c>
      <c r="B80">
        <v>107.281109</v>
      </c>
      <c r="C80">
        <v>184.408399</v>
      </c>
      <c r="D80">
        <v>84.75</v>
      </c>
      <c r="E80">
        <v>75</v>
      </c>
      <c r="F80">
        <v>0</v>
      </c>
      <c r="G80">
        <v>0</v>
      </c>
      <c r="H80">
        <v>5.8092610000000002</v>
      </c>
    </row>
    <row r="81" spans="1:8" x14ac:dyDescent="0.25">
      <c r="A81">
        <v>0.02</v>
      </c>
      <c r="B81">
        <v>108.61714600000001</v>
      </c>
      <c r="C81">
        <v>183.72648899999999</v>
      </c>
      <c r="D81">
        <v>86.25</v>
      </c>
      <c r="E81">
        <v>75</v>
      </c>
      <c r="F81">
        <v>0</v>
      </c>
      <c r="G81">
        <v>0</v>
      </c>
      <c r="H81">
        <v>5.8134350000000001</v>
      </c>
    </row>
    <row r="82" spans="1:8" x14ac:dyDescent="0.25">
      <c r="A82">
        <v>0.02</v>
      </c>
      <c r="B82">
        <v>109.95639799999999</v>
      </c>
      <c r="C82">
        <v>183.050916</v>
      </c>
      <c r="D82">
        <v>87.75</v>
      </c>
      <c r="E82">
        <v>75</v>
      </c>
      <c r="F82">
        <v>0</v>
      </c>
      <c r="G82">
        <v>0</v>
      </c>
      <c r="H82">
        <v>5.8187360000000004</v>
      </c>
    </row>
    <row r="83" spans="1:8" x14ac:dyDescent="0.25">
      <c r="A83">
        <v>0.02</v>
      </c>
      <c r="B83">
        <v>111.29958999999999</v>
      </c>
      <c r="C83">
        <v>182.38321199999999</v>
      </c>
      <c r="D83">
        <v>89.25</v>
      </c>
      <c r="E83">
        <v>75</v>
      </c>
      <c r="F83">
        <v>0</v>
      </c>
      <c r="G83">
        <v>0</v>
      </c>
      <c r="H83">
        <v>5.8251710000000001</v>
      </c>
    </row>
    <row r="84" spans="1:8" x14ac:dyDescent="0.25">
      <c r="A84">
        <v>0.02</v>
      </c>
      <c r="B84">
        <v>112.647257</v>
      </c>
      <c r="C84">
        <v>181.72501700000001</v>
      </c>
      <c r="D84">
        <v>90.749813000000003</v>
      </c>
      <c r="E84">
        <v>74.981325999999996</v>
      </c>
      <c r="F84">
        <v>-0.93370900000000001</v>
      </c>
      <c r="G84">
        <v>-46.685442999999999</v>
      </c>
      <c r="H84">
        <v>5.8327479999999996</v>
      </c>
    </row>
    <row r="85" spans="1:8" x14ac:dyDescent="0.25">
      <c r="A85">
        <v>0.02</v>
      </c>
      <c r="B85">
        <v>113.998531</v>
      </c>
      <c r="C85">
        <v>181.07863800000001</v>
      </c>
      <c r="D85">
        <v>92.247731999999999</v>
      </c>
      <c r="E85">
        <v>74.810522000000006</v>
      </c>
      <c r="F85">
        <v>-8.5402000000000005</v>
      </c>
      <c r="G85">
        <v>-380.324544</v>
      </c>
      <c r="H85">
        <v>5.8414619999999999</v>
      </c>
    </row>
    <row r="86" spans="1:8" x14ac:dyDescent="0.25">
      <c r="A86">
        <v>0.02</v>
      </c>
      <c r="B86">
        <v>115.351266</v>
      </c>
      <c r="C86">
        <v>180.44690900000001</v>
      </c>
      <c r="D86">
        <v>93.740713</v>
      </c>
      <c r="E86">
        <v>74.487588000000002</v>
      </c>
      <c r="F86">
        <v>-16.146691000000001</v>
      </c>
      <c r="G86">
        <v>-380.324544</v>
      </c>
      <c r="H86">
        <v>5.8512969999999997</v>
      </c>
    </row>
    <row r="87" spans="1:8" x14ac:dyDescent="0.25">
      <c r="A87">
        <v>0.02</v>
      </c>
      <c r="B87">
        <v>116.703221</v>
      </c>
      <c r="C87">
        <v>179.832559</v>
      </c>
      <c r="D87">
        <v>95.225713999999996</v>
      </c>
      <c r="E87">
        <v>74.012523999999999</v>
      </c>
      <c r="F87">
        <v>-23.753181000000001</v>
      </c>
      <c r="G87">
        <v>-380.324544</v>
      </c>
      <c r="H87">
        <v>5.8622240000000003</v>
      </c>
    </row>
    <row r="88" spans="1:8" x14ac:dyDescent="0.25">
      <c r="A88">
        <v>0.02</v>
      </c>
      <c r="B88">
        <v>118.052036</v>
      </c>
      <c r="C88">
        <v>179.23818199999999</v>
      </c>
      <c r="D88">
        <v>96.699692999999996</v>
      </c>
      <c r="E88">
        <v>73.385330999999994</v>
      </c>
      <c r="F88">
        <v>-31.359672</v>
      </c>
      <c r="G88">
        <v>-380.324544</v>
      </c>
      <c r="H88">
        <v>5.874206</v>
      </c>
    </row>
    <row r="89" spans="1:8" x14ac:dyDescent="0.25">
      <c r="A89">
        <v>0.02</v>
      </c>
      <c r="B89">
        <v>119.395225</v>
      </c>
      <c r="C89">
        <v>178.666203</v>
      </c>
      <c r="D89">
        <v>98.159605999999997</v>
      </c>
      <c r="E89">
        <v>72.606008000000003</v>
      </c>
      <c r="F89">
        <v>-38.966163000000002</v>
      </c>
      <c r="G89">
        <v>-380.324544</v>
      </c>
      <c r="H89">
        <v>5.8871929999999999</v>
      </c>
    </row>
    <row r="90" spans="1:8" x14ac:dyDescent="0.25">
      <c r="A90">
        <v>0.02</v>
      </c>
      <c r="B90">
        <v>120.730161</v>
      </c>
      <c r="C90">
        <v>178.11884699999999</v>
      </c>
      <c r="D90">
        <v>99.602412000000001</v>
      </c>
      <c r="E90">
        <v>71.674554999999998</v>
      </c>
      <c r="F90">
        <v>-46.572654</v>
      </c>
      <c r="G90">
        <v>-380.324544</v>
      </c>
      <c r="H90">
        <v>5.9011230000000001</v>
      </c>
    </row>
    <row r="91" spans="1:8" x14ac:dyDescent="0.25">
      <c r="A91">
        <v>0.02</v>
      </c>
      <c r="B91">
        <v>122.05407099999999</v>
      </c>
      <c r="C91">
        <v>177.59810300000001</v>
      </c>
      <c r="D91">
        <v>101.02506700000001</v>
      </c>
      <c r="E91">
        <v>70.590971999999994</v>
      </c>
      <c r="F91">
        <v>-54.179144999999998</v>
      </c>
      <c r="G91">
        <v>-380.324544</v>
      </c>
      <c r="H91">
        <v>5.9159240000000004</v>
      </c>
    </row>
    <row r="92" spans="1:8" x14ac:dyDescent="0.25">
      <c r="A92">
        <v>0.02</v>
      </c>
      <c r="B92">
        <v>123.36403</v>
      </c>
      <c r="C92">
        <v>177.10570000000001</v>
      </c>
      <c r="D92">
        <v>102.42452900000001</v>
      </c>
      <c r="E92">
        <v>69.355259000000004</v>
      </c>
      <c r="F92">
        <v>-61.785635999999997</v>
      </c>
      <c r="G92">
        <v>-380.324544</v>
      </c>
      <c r="H92">
        <v>5.9315110000000004</v>
      </c>
    </row>
    <row r="93" spans="1:8" x14ac:dyDescent="0.25">
      <c r="A93">
        <v>0.02</v>
      </c>
      <c r="B93">
        <v>124.65696699999999</v>
      </c>
      <c r="C93">
        <v>176.64307199999999</v>
      </c>
      <c r="D93">
        <v>103.79775600000001</v>
      </c>
      <c r="E93">
        <v>67.967416</v>
      </c>
      <c r="F93">
        <v>-69.392127000000002</v>
      </c>
      <c r="G93">
        <v>-380.324544</v>
      </c>
      <c r="H93">
        <v>5.9477859999999998</v>
      </c>
    </row>
    <row r="94" spans="1:8" x14ac:dyDescent="0.25">
      <c r="A94">
        <v>0.02</v>
      </c>
      <c r="B94">
        <v>125.929664</v>
      </c>
      <c r="C94">
        <v>176.21133599999999</v>
      </c>
      <c r="D94">
        <v>105.141704</v>
      </c>
      <c r="E94">
        <v>66.427443999999994</v>
      </c>
      <c r="F94">
        <v>-76.998617999999993</v>
      </c>
      <c r="G94">
        <v>-380.324544</v>
      </c>
      <c r="H94">
        <v>5.9646420000000004</v>
      </c>
    </row>
    <row r="95" spans="1:8" x14ac:dyDescent="0.25">
      <c r="A95">
        <v>0.02</v>
      </c>
      <c r="B95">
        <v>127.178774</v>
      </c>
      <c r="C95">
        <v>175.81127499999999</v>
      </c>
      <c r="D95">
        <v>106.453332</v>
      </c>
      <c r="E95">
        <v>64.735342000000003</v>
      </c>
      <c r="F95">
        <v>-84.605108000000001</v>
      </c>
      <c r="G95">
        <v>-380.324544</v>
      </c>
      <c r="H95">
        <v>5.9819620000000002</v>
      </c>
    </row>
    <row r="96" spans="1:8" x14ac:dyDescent="0.25">
      <c r="A96">
        <v>0.02</v>
      </c>
      <c r="B96">
        <v>128.40082899999999</v>
      </c>
      <c r="C96">
        <v>175.44332199999999</v>
      </c>
      <c r="D96">
        <v>107.729597</v>
      </c>
      <c r="E96">
        <v>62.891109999999998</v>
      </c>
      <c r="F96">
        <v>-92.211599000000007</v>
      </c>
      <c r="G96">
        <v>-380.324544</v>
      </c>
      <c r="H96">
        <v>5.9996179999999999</v>
      </c>
    </row>
    <row r="97" spans="1:8" x14ac:dyDescent="0.25">
      <c r="A97">
        <v>0.02</v>
      </c>
      <c r="B97">
        <v>129.59226100000001</v>
      </c>
      <c r="C97">
        <v>175.107551</v>
      </c>
      <c r="D97">
        <v>108.967455</v>
      </c>
      <c r="E97">
        <v>60.894748</v>
      </c>
      <c r="F97">
        <v>-99.818089999999998</v>
      </c>
      <c r="G97">
        <v>-380.324544</v>
      </c>
      <c r="H97">
        <v>6.0174770000000004</v>
      </c>
    </row>
    <row r="98" spans="1:8" x14ac:dyDescent="0.25">
      <c r="A98">
        <v>0.02</v>
      </c>
      <c r="B98">
        <v>130.74942300000001</v>
      </c>
      <c r="C98">
        <v>174.80368300000001</v>
      </c>
      <c r="D98">
        <v>110.163865</v>
      </c>
      <c r="E98">
        <v>58.746257</v>
      </c>
      <c r="F98">
        <v>-107.424581</v>
      </c>
      <c r="G98">
        <v>-380.324544</v>
      </c>
      <c r="H98">
        <v>6.0354010000000002</v>
      </c>
    </row>
    <row r="99" spans="1:8" x14ac:dyDescent="0.25">
      <c r="A99">
        <v>0.02</v>
      </c>
      <c r="B99">
        <v>131.86860799999999</v>
      </c>
      <c r="C99">
        <v>174.531094</v>
      </c>
      <c r="D99">
        <v>111.31578399999999</v>
      </c>
      <c r="E99">
        <v>56.445635000000003</v>
      </c>
      <c r="F99">
        <v>-115.03107199999999</v>
      </c>
      <c r="G99">
        <v>-380.324544</v>
      </c>
      <c r="H99">
        <v>6.0532459999999997</v>
      </c>
    </row>
    <row r="100" spans="1:8" x14ac:dyDescent="0.25">
      <c r="A100">
        <v>0.02</v>
      </c>
      <c r="B100">
        <v>132.946079</v>
      </c>
      <c r="C100">
        <v>174.28882899999999</v>
      </c>
      <c r="D100">
        <v>112.42017</v>
      </c>
      <c r="E100">
        <v>53.992883999999997</v>
      </c>
      <c r="F100">
        <v>-122.637563</v>
      </c>
      <c r="G100">
        <v>-380.324544</v>
      </c>
      <c r="H100">
        <v>6.0708700000000002</v>
      </c>
    </row>
    <row r="101" spans="1:8" x14ac:dyDescent="0.25">
      <c r="A101">
        <v>0.02</v>
      </c>
      <c r="B101">
        <v>133.978264</v>
      </c>
      <c r="C101">
        <v>174.07559499999999</v>
      </c>
      <c r="D101">
        <v>113.474165</v>
      </c>
      <c r="E101">
        <v>51.406677000000002</v>
      </c>
      <c r="F101">
        <v>-129.31034500000001</v>
      </c>
      <c r="G101">
        <v>-333.63910099999998</v>
      </c>
      <c r="H101">
        <v>6.0881340000000002</v>
      </c>
    </row>
    <row r="102" spans="1:8" x14ac:dyDescent="0.25">
      <c r="A102">
        <v>0.02</v>
      </c>
      <c r="B102">
        <v>134.96311</v>
      </c>
      <c r="C102">
        <v>173.88957400000001</v>
      </c>
      <c r="D102">
        <v>114.476437</v>
      </c>
      <c r="E102">
        <v>48.82047</v>
      </c>
      <c r="F102">
        <v>-129.31034500000001</v>
      </c>
      <c r="G102">
        <v>0</v>
      </c>
      <c r="H102">
        <v>6.104927</v>
      </c>
    </row>
    <row r="103" spans="1:8" x14ac:dyDescent="0.25">
      <c r="A103">
        <v>0.02</v>
      </c>
      <c r="B103">
        <v>135.89991800000001</v>
      </c>
      <c r="C103">
        <v>173.72860800000001</v>
      </c>
      <c r="D103">
        <v>115.426984</v>
      </c>
      <c r="E103">
        <v>46.234262999999999</v>
      </c>
      <c r="F103">
        <v>-129.31034500000001</v>
      </c>
      <c r="G103">
        <v>0</v>
      </c>
      <c r="H103">
        <v>6.1211690000000001</v>
      </c>
    </row>
    <row r="104" spans="1:8" x14ac:dyDescent="0.25">
      <c r="A104">
        <v>0.02</v>
      </c>
      <c r="B104">
        <v>136.78806299999999</v>
      </c>
      <c r="C104">
        <v>173.59053599999999</v>
      </c>
      <c r="D104">
        <v>116.325807</v>
      </c>
      <c r="E104">
        <v>43.648055999999997</v>
      </c>
      <c r="F104">
        <v>-129.31034500000001</v>
      </c>
      <c r="G104">
        <v>0</v>
      </c>
      <c r="H104">
        <v>6.1367890000000003</v>
      </c>
    </row>
    <row r="105" spans="1:8" x14ac:dyDescent="0.25">
      <c r="A105">
        <v>0.02</v>
      </c>
      <c r="B105">
        <v>137.62699000000001</v>
      </c>
      <c r="C105">
        <v>173.47321500000001</v>
      </c>
      <c r="D105">
        <v>117.172906</v>
      </c>
      <c r="E105">
        <v>41.061849000000002</v>
      </c>
      <c r="F105">
        <v>-129.31034500000001</v>
      </c>
      <c r="G105">
        <v>0</v>
      </c>
      <c r="H105">
        <v>6.1517239999999997</v>
      </c>
    </row>
    <row r="106" spans="1:8" x14ac:dyDescent="0.25">
      <c r="A106">
        <v>0.02</v>
      </c>
      <c r="B106">
        <v>138.416213</v>
      </c>
      <c r="C106">
        <v>173.37454399999999</v>
      </c>
      <c r="D106">
        <v>117.968281</v>
      </c>
      <c r="E106">
        <v>38.475642000000001</v>
      </c>
      <c r="F106">
        <v>-129.31034500000001</v>
      </c>
      <c r="G106">
        <v>0</v>
      </c>
      <c r="H106">
        <v>6.1659179999999996</v>
      </c>
    </row>
    <row r="107" spans="1:8" x14ac:dyDescent="0.25">
      <c r="A107">
        <v>0.02</v>
      </c>
      <c r="B107">
        <v>139.15531799999999</v>
      </c>
      <c r="C107">
        <v>173.292484</v>
      </c>
      <c r="D107">
        <v>118.711932</v>
      </c>
      <c r="E107">
        <v>35.889436000000003</v>
      </c>
      <c r="F107">
        <v>-129.31034500000001</v>
      </c>
      <c r="G107">
        <v>0</v>
      </c>
      <c r="H107">
        <v>6.1793259999999997</v>
      </c>
    </row>
    <row r="108" spans="1:8" x14ac:dyDescent="0.25">
      <c r="A108">
        <v>0.02</v>
      </c>
      <c r="B108">
        <v>139.84394700000001</v>
      </c>
      <c r="C108">
        <v>173.225075</v>
      </c>
      <c r="D108">
        <v>119.403859</v>
      </c>
      <c r="E108">
        <v>33.303229000000002</v>
      </c>
      <c r="F108">
        <v>-129.31034500000001</v>
      </c>
      <c r="G108">
        <v>0</v>
      </c>
      <c r="H108">
        <v>6.1919069999999996</v>
      </c>
    </row>
    <row r="109" spans="1:8" x14ac:dyDescent="0.25">
      <c r="A109">
        <v>0.02</v>
      </c>
      <c r="B109">
        <v>140.48181099999999</v>
      </c>
      <c r="C109">
        <v>173.17045400000001</v>
      </c>
      <c r="D109">
        <v>120.044061</v>
      </c>
      <c r="E109">
        <v>30.717022</v>
      </c>
      <c r="F109">
        <v>-129.31034500000001</v>
      </c>
      <c r="G109">
        <v>0</v>
      </c>
      <c r="H109">
        <v>6.2036290000000003</v>
      </c>
    </row>
    <row r="110" spans="1:8" x14ac:dyDescent="0.25">
      <c r="A110">
        <v>0.02</v>
      </c>
      <c r="B110">
        <v>141.06867</v>
      </c>
      <c r="C110">
        <v>173.12686299999999</v>
      </c>
      <c r="D110">
        <v>120.63253899999999</v>
      </c>
      <c r="E110">
        <v>28.130814999999998</v>
      </c>
      <c r="F110">
        <v>-129.31034500000001</v>
      </c>
      <c r="G110">
        <v>0</v>
      </c>
      <c r="H110">
        <v>6.2144659999999998</v>
      </c>
    </row>
    <row r="111" spans="1:8" x14ac:dyDescent="0.25">
      <c r="A111">
        <v>0.02</v>
      </c>
      <c r="B111">
        <v>141.604331</v>
      </c>
      <c r="C111">
        <v>173.09266400000001</v>
      </c>
      <c r="D111">
        <v>121.16929399999999</v>
      </c>
      <c r="E111">
        <v>25.544608</v>
      </c>
      <c r="F111">
        <v>-129.31034500000001</v>
      </c>
      <c r="G111">
        <v>0</v>
      </c>
      <c r="H111">
        <v>6.2243950000000003</v>
      </c>
    </row>
    <row r="112" spans="1:8" x14ac:dyDescent="0.25">
      <c r="A112">
        <v>0.02</v>
      </c>
      <c r="B112">
        <v>142.08864399999999</v>
      </c>
      <c r="C112">
        <v>173.06634500000001</v>
      </c>
      <c r="D112">
        <v>121.654324</v>
      </c>
      <c r="E112">
        <v>22.958400999999999</v>
      </c>
      <c r="F112">
        <v>-129.31034500000001</v>
      </c>
      <c r="G112">
        <v>0</v>
      </c>
      <c r="H112">
        <v>6.2333999999999996</v>
      </c>
    </row>
    <row r="113" spans="1:8" x14ac:dyDescent="0.25">
      <c r="A113">
        <v>0.02</v>
      </c>
      <c r="B113">
        <v>142.521683</v>
      </c>
      <c r="C113">
        <v>173.04651899999999</v>
      </c>
      <c r="D113">
        <v>122.087816</v>
      </c>
      <c r="E113">
        <v>20.390868000000001</v>
      </c>
      <c r="F113">
        <v>-128.37663599999999</v>
      </c>
      <c r="G113">
        <v>46.685442999999999</v>
      </c>
      <c r="H113">
        <v>6.2414709999999998</v>
      </c>
    </row>
    <row r="114" spans="1:8" x14ac:dyDescent="0.25">
      <c r="A114">
        <v>0.02</v>
      </c>
      <c r="B114">
        <v>142.90506500000001</v>
      </c>
      <c r="C114">
        <v>173.031892</v>
      </c>
      <c r="D114">
        <v>122.47148</v>
      </c>
      <c r="E114">
        <v>17.975465</v>
      </c>
      <c r="F114">
        <v>-120.770145</v>
      </c>
      <c r="G114">
        <v>380.324544</v>
      </c>
      <c r="H114">
        <v>6.2486300000000004</v>
      </c>
    </row>
    <row r="115" spans="1:8" x14ac:dyDescent="0.25">
      <c r="A115">
        <v>0.02</v>
      </c>
      <c r="B115">
        <v>143.24177499999999</v>
      </c>
      <c r="C115">
        <v>173.02131299999999</v>
      </c>
      <c r="D115">
        <v>122.808356</v>
      </c>
      <c r="E115">
        <v>15.712192</v>
      </c>
      <c r="F115">
        <v>-113.16365399999999</v>
      </c>
      <c r="G115">
        <v>380.324544</v>
      </c>
      <c r="H115">
        <v>6.2549260000000002</v>
      </c>
    </row>
    <row r="116" spans="1:8" x14ac:dyDescent="0.25">
      <c r="A116">
        <v>0.02</v>
      </c>
      <c r="B116">
        <v>143.53481300000001</v>
      </c>
      <c r="C116">
        <v>173.013834</v>
      </c>
      <c r="D116">
        <v>123.101489</v>
      </c>
      <c r="E116">
        <v>13.601049</v>
      </c>
      <c r="F116">
        <v>-105.557163</v>
      </c>
      <c r="G116">
        <v>380.324544</v>
      </c>
      <c r="H116">
        <v>6.2604119999999996</v>
      </c>
    </row>
    <row r="117" spans="1:8" x14ac:dyDescent="0.25">
      <c r="A117">
        <v>0.02</v>
      </c>
      <c r="B117">
        <v>143.78719000000001</v>
      </c>
      <c r="C117">
        <v>173.00868199999999</v>
      </c>
      <c r="D117">
        <v>123.35392</v>
      </c>
      <c r="E117">
        <v>11.642035999999999</v>
      </c>
      <c r="F117">
        <v>-97.950671999999997</v>
      </c>
      <c r="G117">
        <v>380.324544</v>
      </c>
      <c r="H117">
        <v>6.2651399999999997</v>
      </c>
    </row>
    <row r="118" spans="1:8" x14ac:dyDescent="0.25">
      <c r="A118">
        <v>0.02</v>
      </c>
      <c r="B118">
        <v>144.001936</v>
      </c>
      <c r="C118">
        <v>173.00523899999999</v>
      </c>
      <c r="D118">
        <v>123.568691</v>
      </c>
      <c r="E118">
        <v>9.8351520000000008</v>
      </c>
      <c r="F118">
        <v>-90.344182000000004</v>
      </c>
      <c r="G118">
        <v>380.324544</v>
      </c>
      <c r="H118">
        <v>6.2691660000000002</v>
      </c>
    </row>
    <row r="119" spans="1:8" x14ac:dyDescent="0.25">
      <c r="A119">
        <v>0.02</v>
      </c>
      <c r="B119">
        <v>144.18207799999999</v>
      </c>
      <c r="C119">
        <v>173.003017</v>
      </c>
      <c r="D119">
        <v>123.748847</v>
      </c>
      <c r="E119">
        <v>8.1803980000000003</v>
      </c>
      <c r="F119">
        <v>-82.737690999999998</v>
      </c>
      <c r="G119">
        <v>380.324544</v>
      </c>
      <c r="H119">
        <v>6.2725439999999999</v>
      </c>
    </row>
    <row r="120" spans="1:8" x14ac:dyDescent="0.25">
      <c r="A120">
        <v>0.02</v>
      </c>
      <c r="B120">
        <v>144.33065300000001</v>
      </c>
      <c r="C120">
        <v>173.001643</v>
      </c>
      <c r="D120">
        <v>123.897429</v>
      </c>
      <c r="E120">
        <v>6.6777740000000003</v>
      </c>
      <c r="F120">
        <v>-75.131200000000007</v>
      </c>
      <c r="G120">
        <v>380.324544</v>
      </c>
      <c r="H120">
        <v>6.2753310000000004</v>
      </c>
    </row>
    <row r="121" spans="1:8" x14ac:dyDescent="0.25">
      <c r="A121">
        <v>0.02</v>
      </c>
      <c r="B121">
        <v>144.45069799999999</v>
      </c>
      <c r="C121">
        <v>173.00083599999999</v>
      </c>
      <c r="D121">
        <v>124.01747899999999</v>
      </c>
      <c r="E121">
        <v>5.32728</v>
      </c>
      <c r="F121">
        <v>-67.524709000000001</v>
      </c>
      <c r="G121">
        <v>380.324544</v>
      </c>
      <c r="H121">
        <v>6.2775840000000001</v>
      </c>
    </row>
    <row r="122" spans="1:8" x14ac:dyDescent="0.25">
      <c r="A122">
        <v>0.02</v>
      </c>
      <c r="B122">
        <v>144.54525799999999</v>
      </c>
      <c r="C122">
        <v>173.00039000000001</v>
      </c>
      <c r="D122">
        <v>124.112041</v>
      </c>
      <c r="E122">
        <v>4.1289160000000003</v>
      </c>
      <c r="F122">
        <v>-59.918218000000003</v>
      </c>
      <c r="G122">
        <v>380.324544</v>
      </c>
      <c r="H122">
        <v>6.2793590000000004</v>
      </c>
    </row>
    <row r="123" spans="1:8" x14ac:dyDescent="0.25">
      <c r="A123">
        <v>0.02</v>
      </c>
      <c r="B123">
        <v>144.61737400000001</v>
      </c>
      <c r="C123">
        <v>173.00016299999999</v>
      </c>
      <c r="D123">
        <v>124.184157</v>
      </c>
      <c r="E123">
        <v>3.082681</v>
      </c>
      <c r="F123">
        <v>-52.311726999999998</v>
      </c>
      <c r="G123">
        <v>380.324544</v>
      </c>
      <c r="H123">
        <v>6.2807120000000003</v>
      </c>
    </row>
    <row r="124" spans="1:8" x14ac:dyDescent="0.25">
      <c r="A124">
        <v>0.02</v>
      </c>
      <c r="B124">
        <v>144.67009100000001</v>
      </c>
      <c r="C124">
        <v>173.00005899999999</v>
      </c>
      <c r="D124">
        <v>124.23687</v>
      </c>
      <c r="E124">
        <v>2.1885759999999999</v>
      </c>
      <c r="F124">
        <v>-44.705235999999999</v>
      </c>
      <c r="G124">
        <v>380.324544</v>
      </c>
      <c r="H124">
        <v>6.2817020000000001</v>
      </c>
    </row>
    <row r="125" spans="1:8" x14ac:dyDescent="0.25">
      <c r="A125">
        <v>0.02</v>
      </c>
      <c r="B125">
        <v>144.70643799999999</v>
      </c>
      <c r="C125">
        <v>173.00001700000001</v>
      </c>
      <c r="D125">
        <v>124.273222</v>
      </c>
      <c r="E125">
        <v>1.446601</v>
      </c>
      <c r="F125">
        <v>-37.098745999999998</v>
      </c>
      <c r="G125">
        <v>380.324544</v>
      </c>
      <c r="H125">
        <v>6.2823840000000004</v>
      </c>
    </row>
    <row r="126" spans="1:8" x14ac:dyDescent="0.25">
      <c r="A126">
        <v>0.02</v>
      </c>
      <c r="B126">
        <v>144.72947300000001</v>
      </c>
      <c r="C126">
        <v>173.00000399999999</v>
      </c>
      <c r="D126">
        <v>124.296255</v>
      </c>
      <c r="E126">
        <v>0.85675599999999996</v>
      </c>
      <c r="F126">
        <v>-29.492255</v>
      </c>
      <c r="G126">
        <v>380.324544</v>
      </c>
      <c r="H126">
        <v>6.2828169999999997</v>
      </c>
    </row>
    <row r="127" spans="1:8" x14ac:dyDescent="0.25">
      <c r="A127">
        <v>0.02</v>
      </c>
      <c r="B127">
        <v>144.742234</v>
      </c>
      <c r="C127">
        <v>173</v>
      </c>
      <c r="D127">
        <v>124.30901299999999</v>
      </c>
      <c r="E127">
        <v>0.419041</v>
      </c>
      <c r="F127">
        <v>-21.885764000000002</v>
      </c>
      <c r="G127">
        <v>380.324544</v>
      </c>
      <c r="H127">
        <v>6.2830560000000002</v>
      </c>
    </row>
    <row r="128" spans="1:8" x14ac:dyDescent="0.25">
      <c r="A128">
        <v>0.02</v>
      </c>
      <c r="B128">
        <v>144.74776</v>
      </c>
      <c r="C128">
        <v>173</v>
      </c>
      <c r="D128">
        <v>124.314538</v>
      </c>
      <c r="E128">
        <v>0.13345599999999999</v>
      </c>
      <c r="F128">
        <v>-14.279273</v>
      </c>
      <c r="G128">
        <v>380.324544</v>
      </c>
      <c r="H128">
        <v>6.2831599999999996</v>
      </c>
    </row>
    <row r="129" spans="1:8" x14ac:dyDescent="0.25">
      <c r="A129">
        <v>0.02</v>
      </c>
      <c r="B129">
        <v>144.74909500000001</v>
      </c>
      <c r="C129">
        <v>173</v>
      </c>
      <c r="D129">
        <v>124.315873</v>
      </c>
      <c r="E129">
        <v>0</v>
      </c>
      <c r="F129">
        <v>-6.6727819999999998</v>
      </c>
      <c r="G129">
        <v>380.324544</v>
      </c>
      <c r="H129">
        <v>6.2831849999999996</v>
      </c>
    </row>
    <row r="130" spans="1:8" x14ac:dyDescent="0.25">
      <c r="A130">
        <v>0.02</v>
      </c>
      <c r="B130">
        <v>144.74909500000001</v>
      </c>
      <c r="C130">
        <v>173</v>
      </c>
      <c r="D130">
        <v>124.315873</v>
      </c>
      <c r="E130">
        <v>0</v>
      </c>
      <c r="F130">
        <v>0</v>
      </c>
      <c r="G130">
        <v>333.63910099999998</v>
      </c>
      <c r="H130">
        <v>6.2831849999999996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1"/>
  <sheetViews>
    <sheetView workbookViewId="0">
      <pane ySplit="1" topLeftCell="A2" activePane="bottomLeft" state="frozenSplit"/>
      <selection pane="bottomLeft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f>Main!$K$2</f>
        <v>0.02</v>
      </c>
      <c r="B2">
        <f>Main!S2</f>
        <v>26.001529999997349</v>
      </c>
      <c r="C2">
        <f>Main!T2</f>
        <v>188.00000007802998</v>
      </c>
      <c r="D2">
        <v>0</v>
      </c>
      <c r="E2">
        <f t="shared" ref="E2:E4" si="0" xml:space="preserve"> IF(ISBLANK(D3), 0, (D3-D2)/$A2 )</f>
        <v>7.6050000000033841E-2</v>
      </c>
      <c r="F2">
        <f xml:space="preserve"> (E3-E2)/$A2</f>
        <v>10.885000000011889</v>
      </c>
      <c r="G2">
        <f xml:space="preserve"> (F3-F2)/$A2</f>
        <v>374.75000000813895</v>
      </c>
      <c r="H2">
        <f>Main!N2</f>
        <v>1.02E-4</v>
      </c>
    </row>
    <row r="3" spans="1:8" x14ac:dyDescent="0.25">
      <c r="A3">
        <f>Main!$K$2</f>
        <v>0.02</v>
      </c>
      <c r="B3">
        <f>Main!S3</f>
        <v>26.003050999989437</v>
      </c>
      <c r="C3">
        <f>Main!T3</f>
        <v>188.00000023317199</v>
      </c>
      <c r="D3">
        <f>D2 + SQRT( (B3-B2)^2  + (C3-C2)^2 )</f>
        <v>1.5210000000006768E-3</v>
      </c>
      <c r="E3">
        <f t="shared" si="0"/>
        <v>0.29375000000027163</v>
      </c>
      <c r="F3">
        <f t="shared" ref="F3:G3" si="1" xml:space="preserve"> (E4-E3)/$A3</f>
        <v>18.380000000174668</v>
      </c>
      <c r="G3">
        <f t="shared" si="1"/>
        <v>365.25000003864125</v>
      </c>
      <c r="H3">
        <f>Main!N3</f>
        <v>1.02E-4</v>
      </c>
    </row>
    <row r="4" spans="1:8" x14ac:dyDescent="0.25">
      <c r="A4">
        <f>Main!$K$2</f>
        <v>0.02</v>
      </c>
      <c r="B4">
        <f>Main!S4</f>
        <v>26.008925999966824</v>
      </c>
      <c r="C4">
        <f>Main!T4</f>
        <v>188.00000074870201</v>
      </c>
      <c r="D4">
        <f t="shared" ref="D4" si="2">D3 + SQRT( (B4-B3)^2  + (C4-C3)^2 )</f>
        <v>7.3960000000061095E-3</v>
      </c>
      <c r="E4">
        <f t="shared" si="0"/>
        <v>0.66135000000376498</v>
      </c>
      <c r="F4">
        <f t="shared" ref="F4:G4" si="3" xml:space="preserve"> (E5-E4)/$A4</f>
        <v>25.685000000947493</v>
      </c>
      <c r="G4">
        <f t="shared" si="3"/>
        <v>370.29903837762976</v>
      </c>
      <c r="H4">
        <f>Main!N4</f>
        <v>8.7999999999999998E-5</v>
      </c>
    </row>
    <row r="5" spans="1:8" x14ac:dyDescent="0.25">
      <c r="A5">
        <f>Main!$K$2</f>
        <v>0.02</v>
      </c>
      <c r="B5">
        <f>Main!S5</f>
        <v>26.022152999945821</v>
      </c>
      <c r="C5">
        <f>Main!T5</f>
        <v>188.00000149543351</v>
      </c>
      <c r="D5">
        <f t="shared" ref="D5:D68" si="4">D4 + SQRT( (B5-B4)^2  + (C5-C4)^2 )</f>
        <v>2.062300000008141E-2</v>
      </c>
      <c r="E5">
        <f t="shared" ref="E5:E68" si="5" xml:space="preserve"> IF(ISBLANK(D6), 0, (D6-D5)/$A5 )</f>
        <v>1.1750500000227149</v>
      </c>
      <c r="F5">
        <f t="shared" ref="F5:F68" si="6" xml:space="preserve"> (E6-E5)/$A5</f>
        <v>33.090980768500089</v>
      </c>
      <c r="G5">
        <f t="shared" ref="G5:G68" si="7" xml:space="preserve"> (F6-F5)/$A5</f>
        <v>364.77692372029577</v>
      </c>
      <c r="H5">
        <f>Main!N5</f>
        <v>5.7000000000000003E-5</v>
      </c>
    </row>
    <row r="6" spans="1:8" x14ac:dyDescent="0.25">
      <c r="A6">
        <f>Main!$K$2</f>
        <v>0.02</v>
      </c>
      <c r="B6">
        <f>Main!S6</f>
        <v>26.045653999946275</v>
      </c>
      <c r="C6">
        <f>Main!T6</f>
        <v>188.00000149541452</v>
      </c>
      <c r="D6">
        <f t="shared" si="4"/>
        <v>4.4124000000535707E-2</v>
      </c>
      <c r="E6">
        <f t="shared" si="5"/>
        <v>1.8368696153927166</v>
      </c>
      <c r="F6">
        <f t="shared" si="6"/>
        <v>40.386519242906004</v>
      </c>
      <c r="G6">
        <f t="shared" si="7"/>
        <v>366.54903883057096</v>
      </c>
      <c r="H6">
        <f>Main!N6</f>
        <v>9.9999999999999995E-7</v>
      </c>
    </row>
    <row r="7" spans="1:8" x14ac:dyDescent="0.25">
      <c r="A7">
        <f>Main!$K$2</f>
        <v>0.02</v>
      </c>
      <c r="B7">
        <f>Main!S7</f>
        <v>26.082391392115646</v>
      </c>
      <c r="C7">
        <f>Main!T7</f>
        <v>187.99999830558423</v>
      </c>
      <c r="D7">
        <f t="shared" si="4"/>
        <v>8.086139230839004E-2</v>
      </c>
      <c r="E7">
        <f t="shared" si="5"/>
        <v>2.6446000002508367</v>
      </c>
      <c r="F7">
        <f t="shared" si="6"/>
        <v>47.717500019517423</v>
      </c>
      <c r="G7">
        <f t="shared" si="7"/>
        <v>367.12500102869751</v>
      </c>
      <c r="H7">
        <f>Main!N7</f>
        <v>6.2831000000000001</v>
      </c>
    </row>
    <row r="8" spans="1:8" x14ac:dyDescent="0.25">
      <c r="A8">
        <f>Main!$K$2</f>
        <v>0.02</v>
      </c>
      <c r="B8">
        <f>Main!S8</f>
        <v>26.135283390926205</v>
      </c>
      <c r="C8">
        <f>Main!T8</f>
        <v>187.99998706482947</v>
      </c>
      <c r="D8">
        <f t="shared" si="4"/>
        <v>0.13375339231340677</v>
      </c>
      <c r="E8">
        <f t="shared" si="5"/>
        <v>3.5989500006411852</v>
      </c>
      <c r="F8">
        <f t="shared" si="6"/>
        <v>55.060000040091374</v>
      </c>
      <c r="G8">
        <f t="shared" si="7"/>
        <v>367.25000173726238</v>
      </c>
      <c r="H8">
        <f>Main!N8</f>
        <v>6.2829750000000004</v>
      </c>
    </row>
    <row r="9" spans="1:8" x14ac:dyDescent="0.25">
      <c r="A9">
        <f>Main!$K$2</f>
        <v>0.02</v>
      </c>
      <c r="B9">
        <f>Main!S9</f>
        <v>26.207262385622371</v>
      </c>
      <c r="C9">
        <f>Main!T9</f>
        <v>187.99995939941317</v>
      </c>
      <c r="D9">
        <f t="shared" si="4"/>
        <v>0.20573239232623047</v>
      </c>
      <c r="E9">
        <f t="shared" si="5"/>
        <v>4.7001500014430126</v>
      </c>
      <c r="F9">
        <f t="shared" si="6"/>
        <v>62.405000074836622</v>
      </c>
      <c r="G9">
        <f t="shared" si="7"/>
        <v>363.50000302720599</v>
      </c>
      <c r="H9">
        <f>Main!N9</f>
        <v>6.2828039999999996</v>
      </c>
    </row>
    <row r="10" spans="1:8" x14ac:dyDescent="0.25">
      <c r="A10">
        <f>Main!$K$2</f>
        <v>0.02</v>
      </c>
      <c r="B10">
        <f>Main!S10</f>
        <v>26.301265368201491</v>
      </c>
      <c r="C10">
        <f>Main!T10</f>
        <v>187.99990212240587</v>
      </c>
      <c r="D10">
        <f t="shared" si="4"/>
        <v>0.29973539235509072</v>
      </c>
      <c r="E10">
        <f t="shared" si="5"/>
        <v>5.9482500029397452</v>
      </c>
      <c r="F10">
        <f t="shared" si="6"/>
        <v>69.675000135380742</v>
      </c>
      <c r="G10">
        <f t="shared" si="7"/>
        <v>365.25000463565573</v>
      </c>
      <c r="H10">
        <f>Main!N10</f>
        <v>6.2825800000000003</v>
      </c>
    </row>
    <row r="11" spans="1:8" x14ac:dyDescent="0.25">
      <c r="A11">
        <f>Main!$K$2</f>
        <v>0.02</v>
      </c>
      <c r="B11">
        <f>Main!S11</f>
        <v>26.42023032067803</v>
      </c>
      <c r="C11">
        <f>Main!T11</f>
        <v>187.99979572107139</v>
      </c>
      <c r="D11">
        <f t="shared" si="4"/>
        <v>0.41870039241388562</v>
      </c>
      <c r="E11">
        <f t="shared" si="5"/>
        <v>7.3417500056473601</v>
      </c>
      <c r="F11">
        <f t="shared" si="6"/>
        <v>76.980000228093857</v>
      </c>
      <c r="G11">
        <f t="shared" si="7"/>
        <v>367.25000666981487</v>
      </c>
      <c r="H11">
        <f>Main!N11</f>
        <v>6.2822959999999997</v>
      </c>
    </row>
    <row r="12" spans="1:8" x14ac:dyDescent="0.25">
      <c r="A12">
        <f>Main!$K$2</f>
        <v>0.02</v>
      </c>
      <c r="B12">
        <f>Main!S12</f>
        <v>26.567065206319779</v>
      </c>
      <c r="C12">
        <f>Main!T12</f>
        <v>187.99961237237667</v>
      </c>
      <c r="D12">
        <f t="shared" si="4"/>
        <v>0.56553539252683283</v>
      </c>
      <c r="E12">
        <f t="shared" si="5"/>
        <v>8.8813500102092373</v>
      </c>
      <c r="F12">
        <f t="shared" si="6"/>
        <v>84.325000361490154</v>
      </c>
      <c r="G12">
        <f t="shared" si="7"/>
        <v>359.62501085998963</v>
      </c>
      <c r="H12">
        <f>Main!N12</f>
        <v>6.2819430000000001</v>
      </c>
    </row>
    <row r="13" spans="1:8" x14ac:dyDescent="0.25">
      <c r="A13">
        <f>Main!$K$2</f>
        <v>0.02</v>
      </c>
      <c r="B13">
        <f>Main!S13</f>
        <v>26.744691955822699</v>
      </c>
      <c r="C13">
        <f>Main!T13</f>
        <v>187.99931393885936</v>
      </c>
      <c r="D13">
        <f t="shared" si="4"/>
        <v>0.74316239273101758</v>
      </c>
      <c r="E13">
        <f t="shared" si="5"/>
        <v>10.56785001743904</v>
      </c>
      <c r="F13">
        <f t="shared" si="6"/>
        <v>91.517500578689948</v>
      </c>
      <c r="G13">
        <f t="shared" si="7"/>
        <v>361.75001546115766</v>
      </c>
      <c r="H13">
        <f>Main!N13</f>
        <v>6.2815130000000003</v>
      </c>
    </row>
    <row r="14" spans="1:8" x14ac:dyDescent="0.25">
      <c r="A14">
        <f>Main!$K$2</f>
        <v>0.02</v>
      </c>
      <c r="B14">
        <f>Main!S14</f>
        <v>26.956048446693501</v>
      </c>
      <c r="C14">
        <f>Main!T14</f>
        <v>187.99884986643497</v>
      </c>
      <c r="D14">
        <f t="shared" si="4"/>
        <v>0.95451939307979838</v>
      </c>
      <c r="E14">
        <f t="shared" si="5"/>
        <v>12.398200029012839</v>
      </c>
      <c r="F14">
        <f t="shared" si="6"/>
        <v>98.752500887913101</v>
      </c>
      <c r="G14">
        <f t="shared" si="7"/>
        <v>363.25002108020567</v>
      </c>
      <c r="H14">
        <f>Main!N14</f>
        <v>6.2809990000000004</v>
      </c>
    </row>
    <row r="15" spans="1:8" x14ac:dyDescent="0.25">
      <c r="A15">
        <f>Main!$K$2</f>
        <v>0.02</v>
      </c>
      <c r="B15">
        <f>Main!S15</f>
        <v>27.204011470719959</v>
      </c>
      <c r="C15">
        <f>Main!T15</f>
        <v>187.99815395019002</v>
      </c>
      <c r="D15">
        <f t="shared" si="4"/>
        <v>1.2024833936600552</v>
      </c>
      <c r="E15">
        <f t="shared" si="5"/>
        <v>14.373250046771101</v>
      </c>
      <c r="F15">
        <f t="shared" si="6"/>
        <v>106.01750130951721</v>
      </c>
      <c r="G15">
        <f t="shared" si="7"/>
        <v>357.87503121072814</v>
      </c>
      <c r="H15">
        <f>Main!N15</f>
        <v>6.2803899999999997</v>
      </c>
    </row>
    <row r="16" spans="1:8" x14ac:dyDescent="0.25">
      <c r="A16">
        <f>Main!$K$2</f>
        <v>0.02</v>
      </c>
      <c r="B16">
        <f>Main!S16</f>
        <v>27.491474688114277</v>
      </c>
      <c r="C16">
        <f>Main!T16</f>
        <v>187.99714132582278</v>
      </c>
      <c r="D16">
        <f t="shared" si="4"/>
        <v>1.4899483945954772</v>
      </c>
      <c r="E16">
        <f t="shared" si="5"/>
        <v>16.493600072961446</v>
      </c>
      <c r="F16">
        <f t="shared" si="6"/>
        <v>113.17500193373178</v>
      </c>
      <c r="G16">
        <f t="shared" si="7"/>
        <v>357.87504296256287</v>
      </c>
      <c r="H16">
        <f>Main!N16</f>
        <v>6.2796760000000003</v>
      </c>
    </row>
    <row r="17" spans="1:8" x14ac:dyDescent="0.25">
      <c r="A17">
        <f>Main!$K$2</f>
        <v>0.02</v>
      </c>
      <c r="B17">
        <f>Main!S17</f>
        <v>27.821343564421884</v>
      </c>
      <c r="C17">
        <f>Main!T17</f>
        <v>187.99570543227728</v>
      </c>
      <c r="D17">
        <f t="shared" si="4"/>
        <v>1.8198203960547061</v>
      </c>
      <c r="E17">
        <f t="shared" si="5"/>
        <v>18.757100111636081</v>
      </c>
      <c r="F17">
        <f t="shared" si="6"/>
        <v>120.33250279298304</v>
      </c>
      <c r="G17">
        <f t="shared" si="7"/>
        <v>171.50005501146239</v>
      </c>
      <c r="H17">
        <f>Main!N17</f>
        <v>6.278848</v>
      </c>
    </row>
    <row r="18" spans="1:8" x14ac:dyDescent="0.25">
      <c r="A18">
        <f>Main!$K$2</f>
        <v>0.02</v>
      </c>
      <c r="B18">
        <f>Main!S18</f>
        <v>28.196480278887083</v>
      </c>
      <c r="C18">
        <f>Main!T18</f>
        <v>187.99371362419649</v>
      </c>
      <c r="D18">
        <f t="shared" si="4"/>
        <v>2.1949623982874278</v>
      </c>
      <c r="E18">
        <f t="shared" si="5"/>
        <v>21.163750167495742</v>
      </c>
      <c r="F18">
        <f t="shared" si="6"/>
        <v>123.76250389321228</v>
      </c>
      <c r="G18">
        <f t="shared" si="7"/>
        <v>-11.499936114720555</v>
      </c>
      <c r="H18">
        <f>Main!N18</f>
        <v>6.2778939999999999</v>
      </c>
    </row>
    <row r="19" spans="1:8" x14ac:dyDescent="0.25">
      <c r="A19">
        <f>Main!$K$2</f>
        <v>0.02</v>
      </c>
      <c r="B19">
        <f>Main!S19</f>
        <v>28.619746601572352</v>
      </c>
      <c r="C19">
        <f>Main!T19</f>
        <v>187.99100280488116</v>
      </c>
      <c r="D19">
        <f t="shared" si="4"/>
        <v>2.6182374016373426</v>
      </c>
      <c r="E19">
        <f t="shared" si="5"/>
        <v>23.639000245359988</v>
      </c>
      <c r="F19">
        <f t="shared" si="6"/>
        <v>123.53250517091787</v>
      </c>
      <c r="G19">
        <f t="shared" si="7"/>
        <v>-12.874919516896455</v>
      </c>
      <c r="H19">
        <f>Main!N19</f>
        <v>6.276802</v>
      </c>
    </row>
    <row r="20" spans="1:8" x14ac:dyDescent="0.25">
      <c r="A20">
        <f>Main!$K$2</f>
        <v>0.02</v>
      </c>
      <c r="B20">
        <f>Main!S20</f>
        <v>29.092512780733692</v>
      </c>
      <c r="C20">
        <f>Main!T20</f>
        <v>187.98738716092197</v>
      </c>
      <c r="D20">
        <f t="shared" si="4"/>
        <v>3.0910174065445424</v>
      </c>
      <c r="E20">
        <f t="shared" si="5"/>
        <v>26.109650348778345</v>
      </c>
      <c r="F20">
        <f t="shared" si="6"/>
        <v>123.27500678057994</v>
      </c>
      <c r="G20">
        <f t="shared" si="7"/>
        <v>-15.249898707994447</v>
      </c>
      <c r="H20">
        <f>Main!N20</f>
        <v>6.2755619999999999</v>
      </c>
    </row>
    <row r="21" spans="1:8" x14ac:dyDescent="0.25">
      <c r="A21">
        <f>Main!$K$2</f>
        <v>0.02</v>
      </c>
      <c r="B21">
        <f>Main!S21</f>
        <v>29.614684425996689</v>
      </c>
      <c r="C21">
        <f>Main!T21</f>
        <v>187.98266387631068</v>
      </c>
      <c r="D21">
        <f t="shared" si="4"/>
        <v>3.6132104135201093</v>
      </c>
      <c r="E21">
        <f t="shared" si="5"/>
        <v>28.575150484389944</v>
      </c>
      <c r="F21">
        <f t="shared" si="6"/>
        <v>122.97000880642005</v>
      </c>
      <c r="G21">
        <f t="shared" si="7"/>
        <v>-14.749876243840276</v>
      </c>
      <c r="H21">
        <f>Main!N21</f>
        <v>6.2741680000000004</v>
      </c>
    </row>
    <row r="22" spans="1:8" x14ac:dyDescent="0.25">
      <c r="A22">
        <f>Main!$K$2</f>
        <v>0.02</v>
      </c>
      <c r="B22">
        <f>Main!S22</f>
        <v>30.186155304470098</v>
      </c>
      <c r="C22">
        <f>Main!T22</f>
        <v>187.97660374932832</v>
      </c>
      <c r="D22">
        <f t="shared" si="4"/>
        <v>4.1847134232079082</v>
      </c>
      <c r="E22">
        <f t="shared" si="5"/>
        <v>31.034550660518345</v>
      </c>
      <c r="F22">
        <f t="shared" si="6"/>
        <v>122.67501128154325</v>
      </c>
      <c r="G22">
        <f t="shared" si="7"/>
        <v>-16.99984600366875</v>
      </c>
      <c r="H22">
        <f>Main!N22</f>
        <v>6.2726129999999998</v>
      </c>
    </row>
    <row r="23" spans="1:8" x14ac:dyDescent="0.25">
      <c r="A23">
        <f>Main!$K$2</f>
        <v>0.02</v>
      </c>
      <c r="B23">
        <f>Main!S23</f>
        <v>30.806799119794416</v>
      </c>
      <c r="C23">
        <f>Main!T23</f>
        <v>187.96894944467104</v>
      </c>
      <c r="D23">
        <f t="shared" si="4"/>
        <v>4.8054044364182751</v>
      </c>
      <c r="E23">
        <f t="shared" si="5"/>
        <v>33.48805088614921</v>
      </c>
      <c r="F23">
        <f t="shared" si="6"/>
        <v>122.33501436146987</v>
      </c>
      <c r="G23">
        <f t="shared" si="7"/>
        <v>-18.749808581635108</v>
      </c>
      <c r="H23">
        <f>Main!N23</f>
        <v>6.2708890000000004</v>
      </c>
    </row>
    <row r="24" spans="1:8" x14ac:dyDescent="0.25">
      <c r="A24">
        <f>Main!$K$2</f>
        <v>0.02</v>
      </c>
      <c r="B24">
        <f>Main!S24</f>
        <v>31.476492253621174</v>
      </c>
      <c r="C24">
        <f>Main!T24</f>
        <v>187.95941386044021</v>
      </c>
      <c r="D24">
        <f t="shared" si="4"/>
        <v>5.4751654541412593</v>
      </c>
      <c r="E24">
        <f t="shared" si="5"/>
        <v>35.934751173378608</v>
      </c>
      <c r="F24">
        <f t="shared" si="6"/>
        <v>121.96001818983717</v>
      </c>
      <c r="G24">
        <f t="shared" si="7"/>
        <v>-20.499762380161712</v>
      </c>
      <c r="H24">
        <f>Main!N24</f>
        <v>6.2689880000000002</v>
      </c>
    </row>
    <row r="25" spans="1:8" x14ac:dyDescent="0.25">
      <c r="A25">
        <f>Main!$K$2</f>
        <v>0.02</v>
      </c>
      <c r="B25">
        <f>Main!S25</f>
        <v>32.195091455228471</v>
      </c>
      <c r="C25">
        <f>Main!T25</f>
        <v>187.94767826474126</v>
      </c>
      <c r="D25">
        <f t="shared" si="4"/>
        <v>6.1938604776088315</v>
      </c>
      <c r="E25">
        <f t="shared" si="5"/>
        <v>38.373951537175351</v>
      </c>
      <c r="F25">
        <f t="shared" si="6"/>
        <v>121.55002294223394</v>
      </c>
      <c r="G25">
        <f t="shared" si="7"/>
        <v>-20.874712709719745</v>
      </c>
      <c r="H25">
        <f>Main!N25</f>
        <v>6.2669009999999998</v>
      </c>
    </row>
    <row r="26" spans="1:8" x14ac:dyDescent="0.25">
      <c r="A26">
        <f>Main!$K$2</f>
        <v>0.02</v>
      </c>
      <c r="B26">
        <f>Main!S26</f>
        <v>32.962437470771484</v>
      </c>
      <c r="C26">
        <f>Main!T26</f>
        <v>187.93338998068555</v>
      </c>
      <c r="D26">
        <f t="shared" si="4"/>
        <v>6.9613395083523386</v>
      </c>
      <c r="E26">
        <f t="shared" si="5"/>
        <v>40.80495199602003</v>
      </c>
      <c r="F26">
        <f t="shared" si="6"/>
        <v>121.13252868803954</v>
      </c>
      <c r="G26">
        <f t="shared" si="7"/>
        <v>-20.374655270725128</v>
      </c>
      <c r="H26">
        <f>Main!N26</f>
        <v>6.2646179999999996</v>
      </c>
    </row>
    <row r="27" spans="1:8" x14ac:dyDescent="0.25">
      <c r="A27">
        <f>Main!$K$2</f>
        <v>0.02</v>
      </c>
      <c r="B27">
        <f>Main!S27</f>
        <v>33.778354603631819</v>
      </c>
      <c r="C27">
        <f>Main!T27</f>
        <v>187.91615991208528</v>
      </c>
      <c r="D27">
        <f t="shared" si="4"/>
        <v>7.7774385482727393</v>
      </c>
      <c r="E27">
        <f t="shared" si="5"/>
        <v>43.227602569780821</v>
      </c>
      <c r="F27">
        <f t="shared" si="6"/>
        <v>120.72503558262504</v>
      </c>
      <c r="G27">
        <f t="shared" si="7"/>
        <v>-26.499559393275973</v>
      </c>
      <c r="H27">
        <f>Main!N27</f>
        <v>6.2621279999999997</v>
      </c>
    </row>
    <row r="28" spans="1:8" x14ac:dyDescent="0.25">
      <c r="A28">
        <f>Main!$K$2</f>
        <v>0.02</v>
      </c>
      <c r="B28">
        <f>Main!S28</f>
        <v>34.642661212712419</v>
      </c>
      <c r="C28">
        <f>Main!T28</f>
        <v>187.89556051714362</v>
      </c>
      <c r="D28">
        <f t="shared" si="4"/>
        <v>8.6419905996683557</v>
      </c>
      <c r="E28">
        <f t="shared" si="5"/>
        <v>45.642103281433322</v>
      </c>
      <c r="F28">
        <f t="shared" si="6"/>
        <v>120.19504439475952</v>
      </c>
      <c r="G28">
        <f t="shared" si="7"/>
        <v>-22.249492163997076</v>
      </c>
      <c r="H28">
        <f>Main!N28</f>
        <v>6.2594200000000004</v>
      </c>
    </row>
    <row r="29" spans="1:8" x14ac:dyDescent="0.25">
      <c r="A29">
        <f>Main!$K$2</f>
        <v>0.02</v>
      </c>
      <c r="B29">
        <f>Main!S29</f>
        <v>35.555176133867342</v>
      </c>
      <c r="C29">
        <f>Main!T29</f>
        <v>187.87112375281532</v>
      </c>
      <c r="D29">
        <f t="shared" si="4"/>
        <v>9.5548326652970221</v>
      </c>
      <c r="E29">
        <f t="shared" si="5"/>
        <v>48.046004169328512</v>
      </c>
      <c r="F29">
        <f t="shared" si="6"/>
        <v>119.75005455147958</v>
      </c>
      <c r="G29">
        <f t="shared" si="7"/>
        <v>-207.12443842718642</v>
      </c>
      <c r="H29">
        <f>Main!N29</f>
        <v>6.2564830000000002</v>
      </c>
    </row>
    <row r="30" spans="1:8" x14ac:dyDescent="0.25">
      <c r="A30">
        <f>Main!$K$2</f>
        <v>0.02</v>
      </c>
      <c r="B30">
        <f>Main!S30</f>
        <v>36.515664952270917</v>
      </c>
      <c r="C30">
        <f>Main!T30</f>
        <v>187.84233770797837</v>
      </c>
      <c r="D30">
        <f t="shared" si="4"/>
        <v>10.515752748683592</v>
      </c>
      <c r="E30">
        <f t="shared" si="5"/>
        <v>50.441005260358104</v>
      </c>
      <c r="F30">
        <f t="shared" si="6"/>
        <v>115.60756578293585</v>
      </c>
      <c r="G30">
        <f t="shared" si="7"/>
        <v>-387.87442732445498</v>
      </c>
      <c r="H30">
        <f>Main!N30</f>
        <v>6.2533029999999998</v>
      </c>
    </row>
    <row r="31" spans="1:8" x14ac:dyDescent="0.25">
      <c r="A31">
        <f>Main!$K$2</f>
        <v>0.02</v>
      </c>
      <c r="B31">
        <f>Main!S31</f>
        <v>37.523922240724886</v>
      </c>
      <c r="C31">
        <f>Main!T31</f>
        <v>187.80864431174649</v>
      </c>
      <c r="D31">
        <f t="shared" si="4"/>
        <v>11.524572853890755</v>
      </c>
      <c r="E31">
        <f t="shared" si="5"/>
        <v>52.753156576016821</v>
      </c>
      <c r="F31">
        <f t="shared" si="6"/>
        <v>107.85007723644675</v>
      </c>
      <c r="G31">
        <f t="shared" si="7"/>
        <v>-384.1243985316467</v>
      </c>
      <c r="H31">
        <f>Main!N31</f>
        <v>6.2498680000000002</v>
      </c>
    </row>
    <row r="32" spans="1:8" x14ac:dyDescent="0.25">
      <c r="A32">
        <f>Main!$K$2</f>
        <v>0.02</v>
      </c>
      <c r="B32">
        <f>Main!S32</f>
        <v>38.578258824623447</v>
      </c>
      <c r="C32">
        <f>Main!T32</f>
        <v>187.76949614005721</v>
      </c>
      <c r="D32">
        <f t="shared" si="4"/>
        <v>12.579635985411091</v>
      </c>
      <c r="E32">
        <f t="shared" si="5"/>
        <v>54.910158120745756</v>
      </c>
      <c r="F32">
        <f t="shared" si="6"/>
        <v>100.16758926581382</v>
      </c>
      <c r="G32">
        <f t="shared" si="7"/>
        <v>-385.74932405710524</v>
      </c>
      <c r="H32">
        <f>Main!N32</f>
        <v>6.2461690000000001</v>
      </c>
    </row>
    <row r="33" spans="1:8" x14ac:dyDescent="0.25">
      <c r="A33">
        <f>Main!$K$2</f>
        <v>0.02</v>
      </c>
      <c r="B33">
        <f>Main!S33</f>
        <v>39.675534985667156</v>
      </c>
      <c r="C33">
        <f>Main!T33</f>
        <v>187.72438281227818</v>
      </c>
      <c r="D33">
        <f t="shared" si="4"/>
        <v>13.677839147826006</v>
      </c>
      <c r="E33">
        <f t="shared" si="5"/>
        <v>56.913509906062032</v>
      </c>
      <c r="F33">
        <f t="shared" si="6"/>
        <v>92.452602784671711</v>
      </c>
      <c r="G33">
        <f t="shared" si="7"/>
        <v>-384.24928243774303</v>
      </c>
      <c r="H33">
        <f>Main!N33</f>
        <v>6.2422019999999998</v>
      </c>
    </row>
    <row r="34" spans="1:8" x14ac:dyDescent="0.25">
      <c r="A34">
        <f>Main!$K$2</f>
        <v>0.02</v>
      </c>
      <c r="B34">
        <f>Main!S34</f>
        <v>40.8126354768971</v>
      </c>
      <c r="C34">
        <f>Main!T34</f>
        <v>187.67279292203222</v>
      </c>
      <c r="D34">
        <f t="shared" si="4"/>
        <v>14.816109345947247</v>
      </c>
      <c r="E34">
        <f t="shared" si="5"/>
        <v>58.762561961755466</v>
      </c>
      <c r="F34">
        <f t="shared" si="6"/>
        <v>84.767617135916851</v>
      </c>
      <c r="G34">
        <f t="shared" si="7"/>
        <v>-376.49932476524481</v>
      </c>
      <c r="H34">
        <f>Main!N34</f>
        <v>6.237965</v>
      </c>
    </row>
    <row r="35" spans="1:8" x14ac:dyDescent="0.25">
      <c r="A35">
        <f>Main!$K$2</f>
        <v>0.02</v>
      </c>
      <c r="B35">
        <f>Main!S35</f>
        <v>41.986426163519361</v>
      </c>
      <c r="C35">
        <f>Main!T35</f>
        <v>187.61421904284958</v>
      </c>
      <c r="D35">
        <f t="shared" si="4"/>
        <v>15.991360585182356</v>
      </c>
      <c r="E35">
        <f t="shared" si="5"/>
        <v>60.457914304473803</v>
      </c>
      <c r="F35">
        <f t="shared" si="6"/>
        <v>77.237630640611954</v>
      </c>
      <c r="G35">
        <f t="shared" si="7"/>
        <v>-382.24921225937788</v>
      </c>
      <c r="H35">
        <f>Main!N35</f>
        <v>6.2334550000000002</v>
      </c>
    </row>
    <row r="36" spans="1:8" x14ac:dyDescent="0.25">
      <c r="A36">
        <f>Main!$K$2</f>
        <v>0.02</v>
      </c>
      <c r="B36">
        <f>Main!S36</f>
        <v>43.193778765497065</v>
      </c>
      <c r="C36">
        <f>Main!T36</f>
        <v>187.54816258732473</v>
      </c>
      <c r="D36">
        <f t="shared" si="4"/>
        <v>17.200518871271832</v>
      </c>
      <c r="E36">
        <f t="shared" si="5"/>
        <v>62.002666917286042</v>
      </c>
      <c r="F36">
        <f t="shared" si="6"/>
        <v>69.592646395424396</v>
      </c>
      <c r="G36">
        <f t="shared" si="7"/>
        <v>-376.49925296713957</v>
      </c>
      <c r="H36">
        <f>Main!N36</f>
        <v>6.2286700000000002</v>
      </c>
    </row>
    <row r="37" spans="1:8" x14ac:dyDescent="0.25">
      <c r="A37">
        <f>Main!$K$2</f>
        <v>0.02</v>
      </c>
      <c r="B37">
        <f>Main!S37</f>
        <v>44.431620854288724</v>
      </c>
      <c r="C37">
        <f>Main!T37</f>
        <v>187.4741406638272</v>
      </c>
      <c r="D37">
        <f t="shared" si="4"/>
        <v>18.440572209617553</v>
      </c>
      <c r="E37">
        <f t="shared" si="5"/>
        <v>63.39451984519453</v>
      </c>
      <c r="F37">
        <f t="shared" si="6"/>
        <v>62.062661336081604</v>
      </c>
      <c r="G37">
        <f t="shared" si="7"/>
        <v>-372.87429565632021</v>
      </c>
      <c r="H37">
        <f>Main!N37</f>
        <v>6.2236120000000001</v>
      </c>
    </row>
    <row r="38" spans="1:8" x14ac:dyDescent="0.25">
      <c r="A38">
        <f>Main!$K$2</f>
        <v>0.02</v>
      </c>
      <c r="B38">
        <f>Main!S38</f>
        <v>45.696827720676723</v>
      </c>
      <c r="C38">
        <f>Main!T38</f>
        <v>187.39169283907864</v>
      </c>
      <c r="D38">
        <f t="shared" si="4"/>
        <v>19.708462606521444</v>
      </c>
      <c r="E38">
        <f t="shared" si="5"/>
        <v>64.635773071916162</v>
      </c>
      <c r="F38">
        <f t="shared" si="6"/>
        <v>54.605175422955199</v>
      </c>
      <c r="G38">
        <f t="shared" si="7"/>
        <v>-370.99932771546662</v>
      </c>
      <c r="H38">
        <f>Main!N38</f>
        <v>6.21828</v>
      </c>
    </row>
    <row r="39" spans="1:8" x14ac:dyDescent="0.25">
      <c r="A39">
        <f>Main!$K$2</f>
        <v>0.02</v>
      </c>
      <c r="B39">
        <f>Main!S39</f>
        <v>46.986314490316921</v>
      </c>
      <c r="C39">
        <f>Main!T39</f>
        <v>187.30038492504826</v>
      </c>
      <c r="D39">
        <f t="shared" si="4"/>
        <v>21.001178067959767</v>
      </c>
      <c r="E39">
        <f t="shared" si="5"/>
        <v>65.727876580375266</v>
      </c>
      <c r="F39">
        <f t="shared" si="6"/>
        <v>47.185188868645866</v>
      </c>
      <c r="G39">
        <f t="shared" si="7"/>
        <v>-370.87433439044304</v>
      </c>
      <c r="H39">
        <f>Main!N39</f>
        <v>6.2126760000000001</v>
      </c>
    </row>
    <row r="40" spans="1:8" x14ac:dyDescent="0.25">
      <c r="A40">
        <f>Main!$K$2</f>
        <v>0.02</v>
      </c>
      <c r="B40">
        <f>Main!S40</f>
        <v>48.297019494601457</v>
      </c>
      <c r="C40">
        <f>Main!T40</f>
        <v>187.19981705915916</v>
      </c>
      <c r="D40">
        <f t="shared" si="4"/>
        <v>22.315735599567272</v>
      </c>
      <c r="E40">
        <f t="shared" si="5"/>
        <v>66.671580357748184</v>
      </c>
      <c r="F40">
        <f t="shared" si="6"/>
        <v>39.767702180837006</v>
      </c>
      <c r="G40">
        <f t="shared" si="7"/>
        <v>-363.37452166087303</v>
      </c>
      <c r="H40">
        <f>Main!N40</f>
        <v>6.206804</v>
      </c>
    </row>
    <row r="41" spans="1:8" x14ac:dyDescent="0.25">
      <c r="A41">
        <f>Main!$K$2</f>
        <v>0.02</v>
      </c>
      <c r="B41">
        <f>Main!S41</f>
        <v>49.625890751937646</v>
      </c>
      <c r="C41">
        <f>Main!T41</f>
        <v>187.08963070616747</v>
      </c>
      <c r="D41">
        <f t="shared" si="4"/>
        <v>23.649167206722236</v>
      </c>
      <c r="E41">
        <f t="shared" si="5"/>
        <v>67.466934401364924</v>
      </c>
      <c r="F41">
        <f t="shared" si="6"/>
        <v>32.500211747619545</v>
      </c>
      <c r="G41">
        <f t="shared" si="7"/>
        <v>-363.62457465081377</v>
      </c>
      <c r="H41">
        <f>Main!N41</f>
        <v>6.2006690000000004</v>
      </c>
    </row>
    <row r="42" spans="1:8" x14ac:dyDescent="0.25">
      <c r="A42">
        <f>Main!$K$2</f>
        <v>0.02</v>
      </c>
      <c r="B42">
        <f>Main!S42</f>
        <v>50.969872530266422</v>
      </c>
      <c r="C42">
        <f>Main!T42</f>
        <v>186.96951461845458</v>
      </c>
      <c r="D42">
        <f t="shared" si="4"/>
        <v>24.998505894749535</v>
      </c>
      <c r="E42">
        <f t="shared" si="5"/>
        <v>68.116938636317315</v>
      </c>
      <c r="F42">
        <f t="shared" si="6"/>
        <v>25.22772025460327</v>
      </c>
      <c r="G42">
        <f t="shared" si="7"/>
        <v>-361.4996819409555</v>
      </c>
      <c r="H42">
        <f>Main!N42</f>
        <v>6.1942760000000003</v>
      </c>
    </row>
    <row r="43" spans="1:8" x14ac:dyDescent="0.25">
      <c r="A43">
        <f>Main!$K$2</f>
        <v>0.02</v>
      </c>
      <c r="B43">
        <f>Main!S43</f>
        <v>52.325965314190512</v>
      </c>
      <c r="C43">
        <f>Main!T43</f>
        <v>186.83921000202625</v>
      </c>
      <c r="D43">
        <f t="shared" si="4"/>
        <v>26.360844667475881</v>
      </c>
      <c r="E43">
        <f t="shared" si="5"/>
        <v>68.62149304140938</v>
      </c>
      <c r="F43">
        <f t="shared" si="6"/>
        <v>17.99772661578416</v>
      </c>
      <c r="G43">
        <f t="shared" si="7"/>
        <v>-353.99996841881887</v>
      </c>
      <c r="H43">
        <f>Main!N43</f>
        <v>6.1876340000000001</v>
      </c>
    </row>
    <row r="44" spans="1:8" x14ac:dyDescent="0.25">
      <c r="A44">
        <f>Main!$K$2</f>
        <v>0.02</v>
      </c>
      <c r="B44">
        <f>Main!S44</f>
        <v>53.691164934021415</v>
      </c>
      <c r="C44">
        <f>Main!T44</f>
        <v>186.69851984278816</v>
      </c>
      <c r="D44">
        <f t="shared" si="4"/>
        <v>27.733274528304069</v>
      </c>
      <c r="E44">
        <f t="shared" si="5"/>
        <v>68.981447573725063</v>
      </c>
      <c r="F44">
        <f t="shared" si="6"/>
        <v>10.917727247407782</v>
      </c>
      <c r="G44">
        <f t="shared" si="7"/>
        <v>-356.00001993959296</v>
      </c>
      <c r="H44">
        <f>Main!N44</f>
        <v>6.180752</v>
      </c>
    </row>
    <row r="45" spans="1:8" x14ac:dyDescent="0.25">
      <c r="A45">
        <f>Main!$K$2</f>
        <v>0.02</v>
      </c>
      <c r="B45">
        <f>Main!S45</f>
        <v>55.062482741176552</v>
      </c>
      <c r="C45">
        <f>Main!T45</f>
        <v>186.54731297943249</v>
      </c>
      <c r="D45">
        <f t="shared" si="4"/>
        <v>29.11290347977857</v>
      </c>
      <c r="E45">
        <f t="shared" si="5"/>
        <v>69.199802118673219</v>
      </c>
      <c r="F45">
        <f t="shared" si="6"/>
        <v>3.7977268486159232</v>
      </c>
      <c r="G45">
        <f t="shared" si="7"/>
        <v>-348.50036141477858</v>
      </c>
      <c r="H45">
        <f>Main!N45</f>
        <v>6.1736399999999998</v>
      </c>
    </row>
    <row r="46" spans="1:8" x14ac:dyDescent="0.25">
      <c r="A46">
        <f>Main!$K$2</f>
        <v>0.02</v>
      </c>
      <c r="B46">
        <f>Main!S46</f>
        <v>56.436990259748043</v>
      </c>
      <c r="C46">
        <f>Main!T46</f>
        <v>186.38552878151484</v>
      </c>
      <c r="D46">
        <f t="shared" si="4"/>
        <v>30.496899522152034</v>
      </c>
      <c r="E46">
        <f t="shared" si="5"/>
        <v>69.275756655645537</v>
      </c>
      <c r="F46">
        <f t="shared" si="6"/>
        <v>-3.1722803796796484</v>
      </c>
      <c r="G46">
        <f t="shared" si="7"/>
        <v>-171.37506011533077</v>
      </c>
      <c r="H46">
        <f>Main!N46</f>
        <v>6.1663119999999996</v>
      </c>
    </row>
    <row r="47" spans="1:8" x14ac:dyDescent="0.25">
      <c r="A47">
        <f>Main!$K$2</f>
        <v>0.02</v>
      </c>
      <c r="B47">
        <f>Main!S47</f>
        <v>57.811744952066803</v>
      </c>
      <c r="C47">
        <f>Main!T47</f>
        <v>186.21318691187068</v>
      </c>
      <c r="D47">
        <f t="shared" si="4"/>
        <v>31.882414655264945</v>
      </c>
      <c r="E47">
        <f t="shared" si="5"/>
        <v>69.212311048051944</v>
      </c>
      <c r="F47">
        <f t="shared" si="6"/>
        <v>-6.5997815819862637</v>
      </c>
      <c r="G47">
        <f t="shared" si="7"/>
        <v>5.2078785728326693E-4</v>
      </c>
      <c r="H47">
        <f>Main!N47</f>
        <v>6.1587810000000003</v>
      </c>
    </row>
    <row r="48" spans="1:8" x14ac:dyDescent="0.25">
      <c r="A48">
        <f>Main!$K$2</f>
        <v>0.02</v>
      </c>
      <c r="B48">
        <f>Main!S48</f>
        <v>59.183868098810017</v>
      </c>
      <c r="C48">
        <f>Main!T48</f>
        <v>186.03038737572132</v>
      </c>
      <c r="D48">
        <f t="shared" si="4"/>
        <v>33.266660876225984</v>
      </c>
      <c r="E48">
        <f t="shared" si="5"/>
        <v>69.080315416412219</v>
      </c>
      <c r="F48">
        <f t="shared" si="6"/>
        <v>-6.5997711662291181</v>
      </c>
      <c r="G48">
        <f t="shared" si="7"/>
        <v>9.375186332150065</v>
      </c>
      <c r="H48">
        <f>Main!N48</f>
        <v>6.1510639999999999</v>
      </c>
    </row>
    <row r="49" spans="1:8" x14ac:dyDescent="0.25">
      <c r="A49">
        <f>Main!$K$2</f>
        <v>0.02</v>
      </c>
      <c r="B49">
        <f>Main!S49</f>
        <v>60.551888721851874</v>
      </c>
      <c r="C49">
        <f>Main!T49</f>
        <v>185.83711149480345</v>
      </c>
      <c r="D49">
        <f t="shared" si="4"/>
        <v>34.648267184554228</v>
      </c>
      <c r="E49">
        <f t="shared" si="5"/>
        <v>68.948319993087637</v>
      </c>
      <c r="F49">
        <f t="shared" si="6"/>
        <v>-6.4122674395861168</v>
      </c>
      <c r="G49">
        <f t="shared" si="7"/>
        <v>3.750371274868769</v>
      </c>
      <c r="H49">
        <f>Main!N49</f>
        <v>6.1431709999999997</v>
      </c>
    </row>
    <row r="50" spans="1:8" x14ac:dyDescent="0.25">
      <c r="A50">
        <f>Main!$K$2</f>
        <v>0.02</v>
      </c>
      <c r="B50">
        <f>Main!S50</f>
        <v>61.915691151387989</v>
      </c>
      <c r="C50">
        <f>Main!T50</f>
        <v>185.63317212847346</v>
      </c>
      <c r="D50">
        <f t="shared" si="4"/>
        <v>36.027233584415981</v>
      </c>
      <c r="E50">
        <f t="shared" si="5"/>
        <v>68.820074644295914</v>
      </c>
      <c r="F50">
        <f t="shared" si="6"/>
        <v>-6.3372600140887414</v>
      </c>
      <c r="G50">
        <f t="shared" si="7"/>
        <v>3.7503650398562627</v>
      </c>
      <c r="H50">
        <f>Main!N50</f>
        <v>6.1351019999999998</v>
      </c>
    </row>
    <row r="51" spans="1:8" x14ac:dyDescent="0.25">
      <c r="A51">
        <f>Main!$K$2</f>
        <v>0.02</v>
      </c>
      <c r="B51">
        <f>Main!S51</f>
        <v>63.275229944896587</v>
      </c>
      <c r="C51">
        <f>Main!T51</f>
        <v>185.41838074465241</v>
      </c>
      <c r="D51">
        <f t="shared" si="4"/>
        <v>37.4036350773019</v>
      </c>
      <c r="E51">
        <f t="shared" si="5"/>
        <v>68.69332944401414</v>
      </c>
      <c r="F51">
        <f t="shared" si="6"/>
        <v>-6.2622527132916161</v>
      </c>
      <c r="G51">
        <f t="shared" si="7"/>
        <v>9.3751223708693487</v>
      </c>
      <c r="H51">
        <f>Main!N51</f>
        <v>6.126862</v>
      </c>
    </row>
    <row r="52" spans="1:8" x14ac:dyDescent="0.25">
      <c r="A52">
        <f>Main!$K$2</f>
        <v>0.02</v>
      </c>
      <c r="B52">
        <f>Main!S52</f>
        <v>64.630410456067779</v>
      </c>
      <c r="C52">
        <f>Main!T52</f>
        <v>185.19255960706042</v>
      </c>
      <c r="D52">
        <f t="shared" si="4"/>
        <v>38.777501666182182</v>
      </c>
      <c r="E52">
        <f t="shared" si="5"/>
        <v>68.568084389748307</v>
      </c>
      <c r="F52">
        <f t="shared" si="6"/>
        <v>-6.0747502658742292</v>
      </c>
      <c r="G52">
        <f t="shared" si="7"/>
        <v>1.8754140800325558</v>
      </c>
      <c r="H52">
        <f>Main!N52</f>
        <v>6.1184529999999997</v>
      </c>
    </row>
    <row r="53" spans="1:8" x14ac:dyDescent="0.25">
      <c r="A53">
        <f>Main!$K$2</f>
        <v>0.02</v>
      </c>
      <c r="B53">
        <f>Main!S53</f>
        <v>65.981133460229401</v>
      </c>
      <c r="C53">
        <f>Main!T53</f>
        <v>184.9555358850821</v>
      </c>
      <c r="D53">
        <f t="shared" si="4"/>
        <v>40.148863353977148</v>
      </c>
      <c r="E53">
        <f t="shared" si="5"/>
        <v>68.446589384430823</v>
      </c>
      <c r="F53">
        <f t="shared" si="6"/>
        <v>-6.0372419842735781</v>
      </c>
      <c r="G53">
        <f t="shared" si="7"/>
        <v>-19400.052219415542</v>
      </c>
      <c r="H53">
        <f>Main!N53</f>
        <v>6.109877</v>
      </c>
    </row>
    <row r="54" spans="1:8" x14ac:dyDescent="0.25">
      <c r="A54">
        <f>Main!$K$2</f>
        <v>0.02</v>
      </c>
      <c r="B54">
        <f>Main!S54</f>
        <v>67.32734024831683</v>
      </c>
      <c r="C54">
        <f>Main!T54</f>
        <v>184.70713797234595</v>
      </c>
      <c r="D54">
        <f t="shared" si="4"/>
        <v>41.517795141665765</v>
      </c>
      <c r="E54">
        <f t="shared" si="5"/>
        <v>68.325844544745351</v>
      </c>
      <c r="F54">
        <f t="shared" si="6"/>
        <v>-394.03828637258442</v>
      </c>
      <c r="G54">
        <f t="shared" si="7"/>
        <v>11300.730973506923</v>
      </c>
      <c r="H54">
        <f>Main!N54</f>
        <v>6.1011389999999999</v>
      </c>
    </row>
    <row r="55" spans="1:8" x14ac:dyDescent="0.25">
      <c r="A55">
        <f>Main!$K$2</f>
        <v>0.02</v>
      </c>
      <c r="B55">
        <f>Main!S55</f>
        <v>68.668908210763036</v>
      </c>
      <c r="C55">
        <f>Main!T55</f>
        <v>184.44720756773921</v>
      </c>
      <c r="D55">
        <f t="shared" si="4"/>
        <v>42.884312032560672</v>
      </c>
      <c r="E55">
        <f t="shared" si="5"/>
        <v>60.445078817293663</v>
      </c>
      <c r="F55">
        <f t="shared" si="6"/>
        <v>-168.02366690244597</v>
      </c>
      <c r="G55">
        <f t="shared" si="7"/>
        <v>10166.789448088131</v>
      </c>
      <c r="H55">
        <f>Main!N55</f>
        <v>6.0922400000000003</v>
      </c>
    </row>
    <row r="56" spans="1:8" x14ac:dyDescent="0.25">
      <c r="A56">
        <f>Main!$K$2</f>
        <v>0.02</v>
      </c>
      <c r="B56">
        <f>Main!S56</f>
        <v>69.850569124775902</v>
      </c>
      <c r="C56">
        <f>Main!T56</f>
        <v>184.192020370596</v>
      </c>
      <c r="D56">
        <f t="shared" si="4"/>
        <v>44.093213608906545</v>
      </c>
      <c r="E56">
        <f t="shared" si="5"/>
        <v>57.084605479244743</v>
      </c>
      <c r="F56">
        <f t="shared" si="6"/>
        <v>35.312122059316664</v>
      </c>
      <c r="G56">
        <f t="shared" si="7"/>
        <v>110.64911457925319</v>
      </c>
      <c r="H56">
        <f>Main!N56</f>
        <v>6.072832</v>
      </c>
    </row>
    <row r="57" spans="1:8" x14ac:dyDescent="0.25">
      <c r="A57">
        <f>Main!$K$2</f>
        <v>0.02</v>
      </c>
      <c r="B57">
        <f>Main!S57</f>
        <v>70.960080623097355</v>
      </c>
      <c r="C57">
        <f>Main!T57</f>
        <v>183.92286408108953</v>
      </c>
      <c r="D57">
        <f t="shared" si="4"/>
        <v>45.23490571849144</v>
      </c>
      <c r="E57">
        <f t="shared" si="5"/>
        <v>57.790847920431077</v>
      </c>
      <c r="F57">
        <f t="shared" si="6"/>
        <v>37.525104350901728</v>
      </c>
      <c r="G57">
        <f t="shared" si="7"/>
        <v>97.534769121665477</v>
      </c>
      <c r="H57">
        <f>Main!N57</f>
        <v>6.0489420000000003</v>
      </c>
    </row>
    <row r="58" spans="1:8" x14ac:dyDescent="0.25">
      <c r="A58">
        <f>Main!$K$2</f>
        <v>0.02</v>
      </c>
      <c r="B58">
        <f>Main!S58</f>
        <v>72.076869593462845</v>
      </c>
      <c r="C58">
        <f>Main!T58</f>
        <v>183.62504662522949</v>
      </c>
      <c r="D58">
        <f t="shared" si="4"/>
        <v>46.390722676900062</v>
      </c>
      <c r="E58">
        <f t="shared" si="5"/>
        <v>58.541350007449111</v>
      </c>
      <c r="F58">
        <f t="shared" si="6"/>
        <v>39.475799733335037</v>
      </c>
      <c r="G58">
        <f t="shared" si="7"/>
        <v>73.17075503188164</v>
      </c>
      <c r="H58">
        <f>Main!N58</f>
        <v>6.0259939999999999</v>
      </c>
    </row>
    <row r="59" spans="1:8" x14ac:dyDescent="0.25">
      <c r="A59">
        <f>Main!$K$2</f>
        <v>0.02</v>
      </c>
      <c r="B59">
        <f>Main!S59</f>
        <v>73.201376976440542</v>
      </c>
      <c r="C59">
        <f>Main!T59</f>
        <v>183.29898066578798</v>
      </c>
      <c r="D59">
        <f t="shared" si="4"/>
        <v>47.561549677049044</v>
      </c>
      <c r="E59">
        <f t="shared" si="5"/>
        <v>59.330866002115812</v>
      </c>
      <c r="F59">
        <f t="shared" si="6"/>
        <v>40.93921483397267</v>
      </c>
      <c r="G59">
        <f t="shared" si="7"/>
        <v>60.050519213206144</v>
      </c>
      <c r="H59">
        <f>Main!N59</f>
        <v>6.0040469999999999</v>
      </c>
    </row>
    <row r="60" spans="1:8" x14ac:dyDescent="0.25">
      <c r="A60">
        <f>Main!$K$2</f>
        <v>0.02</v>
      </c>
      <c r="B60">
        <f>Main!S60</f>
        <v>74.334012499670351</v>
      </c>
      <c r="C60">
        <f>Main!T60</f>
        <v>182.94514816905775</v>
      </c>
      <c r="D60">
        <f t="shared" si="4"/>
        <v>48.74816699709136</v>
      </c>
      <c r="E60">
        <f t="shared" si="5"/>
        <v>60.149650298795265</v>
      </c>
      <c r="F60">
        <f t="shared" si="6"/>
        <v>42.140225218236793</v>
      </c>
      <c r="G60">
        <f t="shared" si="7"/>
        <v>41.304201955583153</v>
      </c>
      <c r="H60">
        <f>Main!N60</f>
        <v>5.9831529999999997</v>
      </c>
    </row>
    <row r="61" spans="1:8" x14ac:dyDescent="0.25">
      <c r="A61">
        <f>Main!$K$2</f>
        <v>0.02</v>
      </c>
      <c r="B61">
        <f>Main!S61</f>
        <v>75.475070728322137</v>
      </c>
      <c r="C61">
        <f>Main!T61</f>
        <v>182.56412547780039</v>
      </c>
      <c r="D61">
        <f t="shared" si="4"/>
        <v>49.951160003067265</v>
      </c>
      <c r="E61">
        <f t="shared" si="5"/>
        <v>60.992454803160001</v>
      </c>
      <c r="F61">
        <f t="shared" si="6"/>
        <v>42.966309257348456</v>
      </c>
      <c r="G61">
        <f t="shared" si="7"/>
        <v>31.928857384677656</v>
      </c>
      <c r="H61">
        <f>Main!N61</f>
        <v>5.9633510000000003</v>
      </c>
    </row>
    <row r="62" spans="1:8" x14ac:dyDescent="0.25">
      <c r="A62">
        <f>Main!$K$2</f>
        <v>0.02</v>
      </c>
      <c r="B62">
        <f>Main!S62</f>
        <v>76.624821559009746</v>
      </c>
      <c r="C62">
        <f>Main!T62</f>
        <v>182.15656585700933</v>
      </c>
      <c r="D62">
        <f t="shared" si="4"/>
        <v>51.171009099130465</v>
      </c>
      <c r="E62">
        <f t="shared" si="5"/>
        <v>61.85178098830697</v>
      </c>
      <c r="F62">
        <f t="shared" si="6"/>
        <v>43.604886405042009</v>
      </c>
      <c r="G62">
        <f t="shared" si="7"/>
        <v>18.802814157226067</v>
      </c>
      <c r="H62">
        <f>Main!N62</f>
        <v>5.9446729999999999</v>
      </c>
    </row>
    <row r="63" spans="1:8" x14ac:dyDescent="0.25">
      <c r="A63">
        <f>Main!$K$2</f>
        <v>0.02</v>
      </c>
      <c r="B63">
        <f>Main!S63</f>
        <v>77.783468455557966</v>
      </c>
      <c r="C63">
        <f>Main!T63</f>
        <v>181.72321323651491</v>
      </c>
      <c r="D63">
        <f t="shared" si="4"/>
        <v>52.408044718896605</v>
      </c>
      <c r="E63">
        <f t="shared" si="5"/>
        <v>62.72387871640781</v>
      </c>
      <c r="F63">
        <f t="shared" si="6"/>
        <v>43.980942688186531</v>
      </c>
      <c r="G63">
        <f t="shared" si="7"/>
        <v>5.6754267037106843</v>
      </c>
      <c r="H63">
        <f>Main!N63</f>
        <v>5.9271409999999998</v>
      </c>
    </row>
    <row r="64" spans="1:8" x14ac:dyDescent="0.25">
      <c r="A64">
        <f>Main!$K$2</f>
        <v>0.02</v>
      </c>
      <c r="B64">
        <f>Main!S64</f>
        <v>78.951221330960678</v>
      </c>
      <c r="C64">
        <f>Main!T64</f>
        <v>181.2648823446028</v>
      </c>
      <c r="D64">
        <f t="shared" si="4"/>
        <v>53.662522293224761</v>
      </c>
      <c r="E64">
        <f t="shared" si="5"/>
        <v>63.603497570171541</v>
      </c>
      <c r="F64">
        <f t="shared" si="6"/>
        <v>44.094451222260744</v>
      </c>
      <c r="G64">
        <f t="shared" si="7"/>
        <v>1.9210917860945642</v>
      </c>
      <c r="H64">
        <f>Main!N64</f>
        <v>5.9107719999999997</v>
      </c>
    </row>
    <row r="65" spans="1:8" x14ac:dyDescent="0.25">
      <c r="A65">
        <f>Main!$K$2</f>
        <v>0.02</v>
      </c>
      <c r="B65">
        <f>Main!S65</f>
        <v>80.128267501002966</v>
      </c>
      <c r="C65">
        <f>Main!T65</f>
        <v>180.78246730042164</v>
      </c>
      <c r="D65">
        <f t="shared" si="4"/>
        <v>54.934592244628192</v>
      </c>
      <c r="E65">
        <f t="shared" si="5"/>
        <v>64.485386594616756</v>
      </c>
      <c r="F65">
        <f t="shared" si="6"/>
        <v>44.132873057982636</v>
      </c>
      <c r="G65">
        <f t="shared" si="7"/>
        <v>-3.7082094941354171</v>
      </c>
      <c r="H65">
        <f>Main!N65</f>
        <v>5.8955760000000001</v>
      </c>
    </row>
    <row r="66" spans="1:8" x14ac:dyDescent="0.25">
      <c r="A66">
        <f>Main!$K$2</f>
        <v>0.02</v>
      </c>
      <c r="B66">
        <f>Main!S66</f>
        <v>81.314770054395694</v>
      </c>
      <c r="C66">
        <f>Main!T66</f>
        <v>180.27694012558788</v>
      </c>
      <c r="D66">
        <f t="shared" si="4"/>
        <v>56.224299976520527</v>
      </c>
      <c r="E66">
        <f t="shared" si="5"/>
        <v>65.368044055776409</v>
      </c>
      <c r="F66">
        <f t="shared" si="6"/>
        <v>44.058708868099927</v>
      </c>
      <c r="G66">
        <f t="shared" si="7"/>
        <v>-11.212556272788277</v>
      </c>
      <c r="H66">
        <f>Main!N66</f>
        <v>5.8815559999999998</v>
      </c>
    </row>
    <row r="67" spans="1:8" x14ac:dyDescent="0.25">
      <c r="A67">
        <f>Main!$K$2</f>
        <v>0.02</v>
      </c>
      <c r="B67">
        <f>Main!S67</f>
        <v>82.510936616036588</v>
      </c>
      <c r="C67">
        <f>Main!T67</f>
        <v>179.7493247066667</v>
      </c>
      <c r="D67">
        <f t="shared" si="4"/>
        <v>57.531660857636055</v>
      </c>
      <c r="E67">
        <f t="shared" si="5"/>
        <v>66.249218233138407</v>
      </c>
      <c r="F67">
        <f t="shared" si="6"/>
        <v>43.834457742644162</v>
      </c>
      <c r="G67">
        <f t="shared" si="7"/>
        <v>-13.092337248998831</v>
      </c>
      <c r="H67">
        <f>Main!N67</f>
        <v>5.8687129999999996</v>
      </c>
    </row>
    <row r="68" spans="1:8" x14ac:dyDescent="0.25">
      <c r="A68">
        <f>Main!$K$2</f>
        <v>0.02</v>
      </c>
      <c r="B68">
        <f>Main!S68</f>
        <v>83.717002516188899</v>
      </c>
      <c r="C68">
        <f>Main!T68</f>
        <v>179.20070041711091</v>
      </c>
      <c r="D68">
        <f t="shared" si="4"/>
        <v>58.856645222298823</v>
      </c>
      <c r="E68">
        <f t="shared" si="5"/>
        <v>67.12590738799129</v>
      </c>
      <c r="F68">
        <f t="shared" si="6"/>
        <v>43.572610997664185</v>
      </c>
      <c r="G68">
        <f t="shared" si="7"/>
        <v>-14.971891778792212</v>
      </c>
      <c r="H68">
        <f>Main!N68</f>
        <v>5.8570450000000003</v>
      </c>
    </row>
    <row r="69" spans="1:8" x14ac:dyDescent="0.25">
      <c r="A69">
        <f>Main!$K$2</f>
        <v>0.02</v>
      </c>
      <c r="B69">
        <f>Main!S69</f>
        <v>84.933213086930223</v>
      </c>
      <c r="C69">
        <f>Main!T69</f>
        <v>178.63220518873908</v>
      </c>
      <c r="D69">
        <f t="shared" ref="D69:D131" si="8">D68 + SQRT( (B69-B68)^2  + (C69-C68)^2 )</f>
        <v>60.199163370058649</v>
      </c>
      <c r="E69">
        <f t="shared" ref="E69:E131" si="9" xml:space="preserve"> IF(ISBLANK(D70), 0, (D70-D69)/$A69 )</f>
        <v>67.997359607944574</v>
      </c>
      <c r="F69">
        <f t="shared" ref="F69:F131" si="10" xml:space="preserve"> (E70-E69)/$A69</f>
        <v>43.273173162088341</v>
      </c>
      <c r="G69">
        <f t="shared" ref="G69:G131" si="11" xml:space="preserve"> (F70-F69)/$A69</f>
        <v>-14.976257889820488</v>
      </c>
      <c r="H69">
        <f>Main!N69</f>
        <v>5.846546</v>
      </c>
    </row>
    <row r="70" spans="1:8" x14ac:dyDescent="0.25">
      <c r="A70">
        <f>Main!$K$2</f>
        <v>0.02</v>
      </c>
      <c r="B70">
        <f>Main!S70</f>
        <v>86.159861642515594</v>
      </c>
      <c r="C70">
        <f>Main!T70</f>
        <v>178.04501724051366</v>
      </c>
      <c r="D70">
        <f t="shared" si="8"/>
        <v>61.559110562217541</v>
      </c>
      <c r="E70">
        <f t="shared" si="9"/>
        <v>68.862823071186341</v>
      </c>
      <c r="F70">
        <f t="shared" si="10"/>
        <v>42.973648004291931</v>
      </c>
      <c r="G70">
        <f t="shared" si="11"/>
        <v>-14.980314219315005</v>
      </c>
      <c r="H70">
        <f>Main!N70</f>
        <v>5.8372089999999996</v>
      </c>
    </row>
    <row r="71" spans="1:8" x14ac:dyDescent="0.25">
      <c r="A71">
        <f>Main!$K$2</f>
        <v>0.02</v>
      </c>
      <c r="B71">
        <f>Main!S71</f>
        <v>87.397285437044957</v>
      </c>
      <c r="C71">
        <f>Main!T71</f>
        <v>177.44035393480877</v>
      </c>
      <c r="D71">
        <f t="shared" si="8"/>
        <v>62.936367023641267</v>
      </c>
      <c r="E71">
        <f t="shared" si="9"/>
        <v>69.72229603127218</v>
      </c>
      <c r="F71">
        <f t="shared" si="10"/>
        <v>42.674041719905631</v>
      </c>
      <c r="G71">
        <f t="shared" si="11"/>
        <v>-11.234127249792891</v>
      </c>
      <c r="H71">
        <f>Main!N71</f>
        <v>5.8290259999999998</v>
      </c>
    </row>
    <row r="72" spans="1:8" x14ac:dyDescent="0.25">
      <c r="A72">
        <f>Main!$K$2</f>
        <v>0.02</v>
      </c>
      <c r="B72">
        <f>Main!S72</f>
        <v>88.645875383249347</v>
      </c>
      <c r="C72">
        <f>Main!T72</f>
        <v>176.81946540070118</v>
      </c>
      <c r="D72">
        <f t="shared" si="8"/>
        <v>64.330812944266711</v>
      </c>
      <c r="E72">
        <f t="shared" si="9"/>
        <v>70.575776865670292</v>
      </c>
      <c r="F72">
        <f t="shared" si="10"/>
        <v>42.449359174909773</v>
      </c>
      <c r="G72">
        <f t="shared" si="11"/>
        <v>-14.987544544098341</v>
      </c>
      <c r="H72">
        <f>Main!N72</f>
        <v>5.8219890000000003</v>
      </c>
    </row>
    <row r="73" spans="1:8" x14ac:dyDescent="0.25">
      <c r="A73">
        <f>Main!$K$2</f>
        <v>0.02</v>
      </c>
      <c r="B73">
        <f>Main!S73</f>
        <v>89.906071863396974</v>
      </c>
      <c r="C73">
        <f>Main!T73</f>
        <v>176.18363449275421</v>
      </c>
      <c r="D73">
        <f t="shared" si="8"/>
        <v>65.742328481580117</v>
      </c>
      <c r="E73">
        <f t="shared" si="9"/>
        <v>71.424764049168488</v>
      </c>
      <c r="F73">
        <f t="shared" si="10"/>
        <v>42.149608284027806</v>
      </c>
      <c r="G73">
        <f t="shared" si="11"/>
        <v>-7.4908350775615418</v>
      </c>
      <c r="H73">
        <f>Main!N73</f>
        <v>5.81609</v>
      </c>
    </row>
    <row r="74" spans="1:8" x14ac:dyDescent="0.25">
      <c r="A74">
        <f>Main!$K$2</f>
        <v>0.02</v>
      </c>
      <c r="B74">
        <f>Main!S74</f>
        <v>91.178388457729412</v>
      </c>
      <c r="C74">
        <f>Main!T74</f>
        <v>175.53416605504682</v>
      </c>
      <c r="D74">
        <f t="shared" si="8"/>
        <v>67.170823762563487</v>
      </c>
      <c r="E74">
        <f t="shared" si="9"/>
        <v>72.267756214849044</v>
      </c>
      <c r="F74">
        <f t="shared" si="10"/>
        <v>41.999791582476576</v>
      </c>
      <c r="G74">
        <f t="shared" si="11"/>
        <v>-9.3688137443592723</v>
      </c>
      <c r="H74">
        <f>Main!N74</f>
        <v>5.8113229999999998</v>
      </c>
    </row>
    <row r="75" spans="1:8" x14ac:dyDescent="0.25">
      <c r="A75">
        <f>Main!$K$2</f>
        <v>0.02</v>
      </c>
      <c r="B75">
        <f>Main!S75</f>
        <v>92.463352500179639</v>
      </c>
      <c r="C75">
        <f>Main!T75</f>
        <v>174.87241168600835</v>
      </c>
      <c r="D75">
        <f t="shared" si="8"/>
        <v>68.616178886860467</v>
      </c>
      <c r="E75">
        <f t="shared" si="9"/>
        <v>73.107752046498575</v>
      </c>
      <c r="F75">
        <f t="shared" si="10"/>
        <v>41.81241530758939</v>
      </c>
      <c r="G75">
        <f t="shared" si="11"/>
        <v>3.3608724692157921E-3</v>
      </c>
      <c r="H75">
        <f>Main!N75</f>
        <v>5.8076800000000004</v>
      </c>
    </row>
    <row r="76" spans="1:8" x14ac:dyDescent="0.25">
      <c r="A76">
        <f>Main!$K$2</f>
        <v>0.02</v>
      </c>
      <c r="B76">
        <f>Main!S76</f>
        <v>93.761583385532916</v>
      </c>
      <c r="C76">
        <f>Main!T76</f>
        <v>174.19973499395505</v>
      </c>
      <c r="D76">
        <f t="shared" si="8"/>
        <v>70.078333927790439</v>
      </c>
      <c r="E76">
        <f t="shared" si="9"/>
        <v>73.944000352650363</v>
      </c>
      <c r="F76">
        <f t="shared" si="10"/>
        <v>41.812482525038774</v>
      </c>
      <c r="G76">
        <f t="shared" si="11"/>
        <v>-5.6243047570347926</v>
      </c>
      <c r="H76">
        <f>Main!N76</f>
        <v>5.8051570000000003</v>
      </c>
    </row>
    <row r="77" spans="1:8" x14ac:dyDescent="0.25">
      <c r="A77">
        <f>Main!$K$2</f>
        <v>0.02</v>
      </c>
      <c r="B77">
        <f>Main!S77</f>
        <v>95.073720331019217</v>
      </c>
      <c r="C77">
        <f>Main!T77</f>
        <v>173.51754534909742</v>
      </c>
      <c r="D77">
        <f t="shared" si="8"/>
        <v>71.557213934843446</v>
      </c>
      <c r="E77">
        <f t="shared" si="9"/>
        <v>74.780250003151139</v>
      </c>
      <c r="F77">
        <f t="shared" si="10"/>
        <v>41.699996429898079</v>
      </c>
      <c r="G77">
        <f t="shared" si="11"/>
        <v>7.4981172808463725</v>
      </c>
      <c r="H77">
        <f>Main!N77</f>
        <v>5.8037489999999998</v>
      </c>
    </row>
    <row r="78" spans="1:8" x14ac:dyDescent="0.25">
      <c r="A78">
        <f>Main!$K$2</f>
        <v>0.02</v>
      </c>
      <c r="B78">
        <f>Main!S78</f>
        <v>96.400500977868006</v>
      </c>
      <c r="C78">
        <f>Main!T78</f>
        <v>172.82726465882641</v>
      </c>
      <c r="D78">
        <f t="shared" si="8"/>
        <v>73.052818934906469</v>
      </c>
      <c r="E78">
        <f t="shared" si="9"/>
        <v>75.6142499317491</v>
      </c>
      <c r="F78">
        <f t="shared" si="10"/>
        <v>41.849958775515006</v>
      </c>
      <c r="G78">
        <f t="shared" si="11"/>
        <v>-4.3850167941172913E-3</v>
      </c>
      <c r="H78">
        <f>Main!N78</f>
        <v>5.8034559999999997</v>
      </c>
    </row>
    <row r="79" spans="1:8" x14ac:dyDescent="0.25">
      <c r="A79">
        <f>Main!$K$2</f>
        <v>0.02</v>
      </c>
      <c r="B79">
        <f>Main!S79</f>
        <v>97.74264795663774</v>
      </c>
      <c r="C79">
        <f>Main!T79</f>
        <v>172.13038059065173</v>
      </c>
      <c r="D79">
        <f t="shared" si="8"/>
        <v>74.565103933541451</v>
      </c>
      <c r="E79">
        <f t="shared" si="9"/>
        <v>76.4512491072594</v>
      </c>
      <c r="F79">
        <f t="shared" si="10"/>
        <v>41.849871075179124</v>
      </c>
      <c r="G79">
        <f t="shared" si="11"/>
        <v>13.118082076601922</v>
      </c>
      <c r="H79">
        <f>Main!N79</f>
        <v>5.8042749999999996</v>
      </c>
    </row>
    <row r="80" spans="1:8" x14ac:dyDescent="0.25">
      <c r="A80">
        <f>Main!$K$2</f>
        <v>0.02</v>
      </c>
      <c r="B80">
        <f>Main!S80</f>
        <v>99.101001903630831</v>
      </c>
      <c r="C80">
        <f>Main!T80</f>
        <v>171.42838917281787</v>
      </c>
      <c r="D80">
        <f t="shared" si="8"/>
        <v>76.094128915686639</v>
      </c>
      <c r="E80">
        <f t="shared" si="9"/>
        <v>77.288246528762983</v>
      </c>
      <c r="F80">
        <f t="shared" si="10"/>
        <v>42.112232716711162</v>
      </c>
      <c r="G80">
        <f t="shared" si="11"/>
        <v>7.4906136369179421</v>
      </c>
      <c r="H80">
        <f>Main!N80</f>
        <v>5.8062100000000001</v>
      </c>
    </row>
    <row r="81" spans="1:8" x14ac:dyDescent="0.25">
      <c r="A81">
        <f>Main!$K$2</f>
        <v>0.02</v>
      </c>
      <c r="B81">
        <f>Main!S81</f>
        <v>100.4763671946891</v>
      </c>
      <c r="C81">
        <f>Main!T81</f>
        <v>170.72286841710013</v>
      </c>
      <c r="D81">
        <f t="shared" si="8"/>
        <v>77.639893846261899</v>
      </c>
      <c r="E81">
        <f t="shared" si="9"/>
        <v>78.130491183097206</v>
      </c>
      <c r="F81">
        <f t="shared" si="10"/>
        <v>42.262044989449521</v>
      </c>
      <c r="G81">
        <f t="shared" si="11"/>
        <v>13.11304800033497</v>
      </c>
      <c r="H81">
        <f>Main!N81</f>
        <v>5.8092610000000002</v>
      </c>
    </row>
    <row r="82" spans="1:8" x14ac:dyDescent="0.25">
      <c r="A82">
        <f>Main!$K$2</f>
        <v>0.02</v>
      </c>
      <c r="B82">
        <f>Main!S82</f>
        <v>101.86965806759156</v>
      </c>
      <c r="C82">
        <f>Main!T82</f>
        <v>170.01541523526296</v>
      </c>
      <c r="D82">
        <f t="shared" si="8"/>
        <v>79.202503669923843</v>
      </c>
      <c r="E82">
        <f t="shared" si="9"/>
        <v>78.975732082886196</v>
      </c>
      <c r="F82">
        <f t="shared" si="10"/>
        <v>42.52430594945622</v>
      </c>
      <c r="G82">
        <f t="shared" si="11"/>
        <v>-8.3895583848914157</v>
      </c>
      <c r="H82">
        <f>Main!N82</f>
        <v>5.8134350000000001</v>
      </c>
    </row>
    <row r="83" spans="1:8" x14ac:dyDescent="0.25">
      <c r="A83">
        <f>Main!$K$2</f>
        <v>0.02</v>
      </c>
      <c r="B83">
        <f>Main!S83</f>
        <v>103.28175773810629</v>
      </c>
      <c r="C83">
        <f>Main!T83</f>
        <v>169.30771401035</v>
      </c>
      <c r="D83">
        <f t="shared" si="8"/>
        <v>80.782018311581567</v>
      </c>
      <c r="E83">
        <f t="shared" si="9"/>
        <v>79.826218201875321</v>
      </c>
      <c r="F83">
        <f t="shared" si="10"/>
        <v>42.356514781758392</v>
      </c>
      <c r="G83">
        <f t="shared" si="11"/>
        <v>-222.76631284512405</v>
      </c>
      <c r="H83">
        <f>Main!N83</f>
        <v>5.8187360000000004</v>
      </c>
    </row>
    <row r="84" spans="1:8" x14ac:dyDescent="0.25">
      <c r="A84">
        <f>Main!$K$2</f>
        <v>0.02</v>
      </c>
      <c r="B84">
        <f>Main!S84</f>
        <v>104.71359461760932</v>
      </c>
      <c r="C84">
        <f>Main!T84</f>
        <v>168.60150356334401</v>
      </c>
      <c r="D84">
        <f t="shared" si="8"/>
        <v>82.378542675619073</v>
      </c>
      <c r="E84">
        <f t="shared" si="9"/>
        <v>80.673348497510489</v>
      </c>
      <c r="F84">
        <f t="shared" si="10"/>
        <v>37.901188524855911</v>
      </c>
      <c r="G84">
        <f t="shared" si="11"/>
        <v>-410.51732983987677</v>
      </c>
      <c r="H84">
        <f>Main!N84</f>
        <v>5.8251710000000001</v>
      </c>
    </row>
    <row r="85" spans="1:8" x14ac:dyDescent="0.25">
      <c r="A85">
        <f>Main!$K$2</f>
        <v>0.02</v>
      </c>
      <c r="B85">
        <f>Main!S85</f>
        <v>106.16594172457704</v>
      </c>
      <c r="C85">
        <f>Main!T85</f>
        <v>167.89867816254889</v>
      </c>
      <c r="D85">
        <f t="shared" si="8"/>
        <v>83.992009645569283</v>
      </c>
      <c r="E85">
        <f t="shared" si="9"/>
        <v>81.431372268007607</v>
      </c>
      <c r="F85">
        <f t="shared" si="10"/>
        <v>29.690841928058376</v>
      </c>
      <c r="G85">
        <f t="shared" si="11"/>
        <v>-434.64217675293071</v>
      </c>
      <c r="H85">
        <f>Main!N85</f>
        <v>5.8327479999999996</v>
      </c>
    </row>
    <row r="86" spans="1:8" x14ac:dyDescent="0.25">
      <c r="A86">
        <f>Main!$K$2</f>
        <v>0.02</v>
      </c>
      <c r="B86">
        <f>Main!S86</f>
        <v>107.63800392455357</v>
      </c>
      <c r="C86">
        <f>Main!T86</f>
        <v>167.20192839743908</v>
      </c>
      <c r="D86">
        <f t="shared" si="8"/>
        <v>85.620637090929435</v>
      </c>
      <c r="E86">
        <f t="shared" si="9"/>
        <v>82.025189106568774</v>
      </c>
      <c r="F86">
        <f t="shared" si="10"/>
        <v>20.997998392999762</v>
      </c>
      <c r="G86">
        <f t="shared" si="11"/>
        <v>-449.64135762270985</v>
      </c>
      <c r="H86">
        <f>Main!N86</f>
        <v>5.8414619999999999</v>
      </c>
    </row>
    <row r="87" spans="1:8" x14ac:dyDescent="0.25">
      <c r="A87">
        <f>Main!$K$2</f>
        <v>0.02</v>
      </c>
      <c r="B87">
        <f>Main!S87</f>
        <v>109.12756783646346</v>
      </c>
      <c r="C87">
        <f>Main!T87</f>
        <v>166.51457695056268</v>
      </c>
      <c r="D87">
        <f t="shared" si="8"/>
        <v>87.26114087306081</v>
      </c>
      <c r="E87">
        <f t="shared" si="9"/>
        <v>82.44514907442877</v>
      </c>
      <c r="F87">
        <f t="shared" si="10"/>
        <v>12.005171240545565</v>
      </c>
      <c r="G87">
        <f t="shared" si="11"/>
        <v>-474.26387220106392</v>
      </c>
      <c r="H87">
        <f>Main!N87</f>
        <v>5.8512969999999997</v>
      </c>
    </row>
    <row r="88" spans="1:8" x14ac:dyDescent="0.25">
      <c r="A88">
        <f>Main!$K$2</f>
        <v>0.02</v>
      </c>
      <c r="B88">
        <f>Main!S88</f>
        <v>110.63214972333373</v>
      </c>
      <c r="C88">
        <f>Main!T88</f>
        <v>165.83995528765539</v>
      </c>
      <c r="D88">
        <f t="shared" si="8"/>
        <v>88.910043854549386</v>
      </c>
      <c r="E88">
        <f t="shared" si="9"/>
        <v>82.685252499239681</v>
      </c>
      <c r="F88">
        <f t="shared" si="10"/>
        <v>2.5198937965242862</v>
      </c>
      <c r="G88">
        <f t="shared" si="11"/>
        <v>-496.38518136774223</v>
      </c>
      <c r="H88">
        <f>Main!N88</f>
        <v>5.8622240000000003</v>
      </c>
    </row>
    <row r="89" spans="1:8" x14ac:dyDescent="0.25">
      <c r="A89">
        <f>Main!$K$2</f>
        <v>0.02</v>
      </c>
      <c r="B89">
        <f>Main!S89</f>
        <v>112.14904057604245</v>
      </c>
      <c r="C89">
        <f>Main!T89</f>
        <v>165.18133359554844</v>
      </c>
      <c r="D89">
        <f t="shared" si="8"/>
        <v>90.563748904534179</v>
      </c>
      <c r="E89">
        <f t="shared" si="9"/>
        <v>82.735650375170167</v>
      </c>
      <c r="F89">
        <f t="shared" si="10"/>
        <v>-7.4078098308305584</v>
      </c>
      <c r="G89">
        <f t="shared" si="11"/>
        <v>-515.50562639235409</v>
      </c>
      <c r="H89">
        <f>Main!N89</f>
        <v>5.874206</v>
      </c>
    </row>
    <row r="90" spans="1:8" x14ac:dyDescent="0.25">
      <c r="A90">
        <f>Main!$K$2</f>
        <v>0.02</v>
      </c>
      <c r="B90">
        <f>Main!S90</f>
        <v>113.67521402946264</v>
      </c>
      <c r="C90">
        <f>Main!T90</f>
        <v>164.54190437563707</v>
      </c>
      <c r="D90">
        <f t="shared" si="8"/>
        <v>92.218461912037583</v>
      </c>
      <c r="E90">
        <f t="shared" si="9"/>
        <v>82.587494178553555</v>
      </c>
      <c r="F90">
        <f t="shared" si="10"/>
        <v>-17.71792235867764</v>
      </c>
      <c r="G90">
        <f t="shared" si="11"/>
        <v>-539.62456101430689</v>
      </c>
      <c r="H90">
        <f>Main!N90</f>
        <v>5.8871929999999999</v>
      </c>
    </row>
    <row r="91" spans="1:8" x14ac:dyDescent="0.25">
      <c r="A91">
        <f>Main!$K$2</f>
        <v>0.02</v>
      </c>
      <c r="B91">
        <f>Main!S91</f>
        <v>115.20732577638189</v>
      </c>
      <c r="C91">
        <f>Main!T91</f>
        <v>163.92472427807309</v>
      </c>
      <c r="D91">
        <f t="shared" si="8"/>
        <v>93.870211795608654</v>
      </c>
      <c r="E91">
        <f t="shared" si="9"/>
        <v>82.233135731380003</v>
      </c>
      <c r="F91">
        <f t="shared" si="10"/>
        <v>-28.510413578963778</v>
      </c>
      <c r="G91">
        <f t="shared" si="11"/>
        <v>-563.99259510087063</v>
      </c>
      <c r="H91">
        <f>Main!N91</f>
        <v>5.9011230000000001</v>
      </c>
    </row>
    <row r="92" spans="1:8" x14ac:dyDescent="0.25">
      <c r="A92">
        <f>Main!$K$2</f>
        <v>0.02</v>
      </c>
      <c r="B92">
        <f>Main!S92</f>
        <v>116.74172214483173</v>
      </c>
      <c r="C92">
        <f>Main!T92</f>
        <v>163.33265736515347</v>
      </c>
      <c r="D92">
        <f t="shared" si="8"/>
        <v>95.514874510236254</v>
      </c>
      <c r="E92">
        <f t="shared" si="9"/>
        <v>81.662927459800727</v>
      </c>
      <c r="F92">
        <f t="shared" si="10"/>
        <v>-39.790265480981191</v>
      </c>
      <c r="G92">
        <f t="shared" si="11"/>
        <v>-581.11097918001064</v>
      </c>
      <c r="H92">
        <f>Main!N92</f>
        <v>5.9159240000000004</v>
      </c>
    </row>
    <row r="93" spans="1:8" x14ac:dyDescent="0.25">
      <c r="A93">
        <f>Main!$K$2</f>
        <v>0.02</v>
      </c>
      <c r="B93">
        <f>Main!S93</f>
        <v>118.27439220772179</v>
      </c>
      <c r="C93">
        <f>Main!T93</f>
        <v>162.76833833584254</v>
      </c>
      <c r="D93">
        <f t="shared" si="8"/>
        <v>97.148133059432269</v>
      </c>
      <c r="E93">
        <f t="shared" si="9"/>
        <v>80.867122150181103</v>
      </c>
      <c r="F93">
        <f t="shared" si="10"/>
        <v>-51.412485064581404</v>
      </c>
      <c r="G93">
        <f t="shared" si="11"/>
        <v>-599.47918200897732</v>
      </c>
      <c r="H93">
        <f>Main!N93</f>
        <v>5.9315110000000004</v>
      </c>
    </row>
    <row r="94" spans="1:8" x14ac:dyDescent="0.25">
      <c r="A94">
        <f>Main!$K$2</f>
        <v>0.02</v>
      </c>
      <c r="B94">
        <f>Main!S94</f>
        <v>119.80095963007351</v>
      </c>
      <c r="C94">
        <f>Main!T94</f>
        <v>162.23412069952252</v>
      </c>
      <c r="D94">
        <f t="shared" si="8"/>
        <v>98.765475502435891</v>
      </c>
      <c r="E94">
        <f t="shared" si="9"/>
        <v>79.838872448889475</v>
      </c>
      <c r="F94">
        <f t="shared" si="10"/>
        <v>-63.40206870476095</v>
      </c>
      <c r="G94">
        <f t="shared" si="11"/>
        <v>-620.34754212803023</v>
      </c>
      <c r="H94">
        <f>Main!N94</f>
        <v>5.9477859999999998</v>
      </c>
    </row>
    <row r="95" spans="1:8" x14ac:dyDescent="0.25">
      <c r="A95">
        <f>Main!$K$2</f>
        <v>0.02</v>
      </c>
      <c r="B95">
        <f>Main!S95</f>
        <v>121.31673870903707</v>
      </c>
      <c r="C95">
        <f>Main!T95</f>
        <v>161.73201313600609</v>
      </c>
      <c r="D95">
        <f t="shared" si="8"/>
        <v>100.36225295141368</v>
      </c>
      <c r="E95">
        <f t="shared" si="9"/>
        <v>78.570831074794256</v>
      </c>
      <c r="F95">
        <f t="shared" si="10"/>
        <v>-75.809019547321554</v>
      </c>
      <c r="G95">
        <f t="shared" si="11"/>
        <v>-629.84321117021125</v>
      </c>
      <c r="H95">
        <f>Main!N95</f>
        <v>5.9646420000000004</v>
      </c>
    </row>
    <row r="96" spans="1:8" x14ac:dyDescent="0.25">
      <c r="A96">
        <f>Main!$K$2</f>
        <v>0.02</v>
      </c>
      <c r="B96">
        <f>Main!S96</f>
        <v>122.81673210643166</v>
      </c>
      <c r="C96">
        <f>Main!T96</f>
        <v>161.26364361726453</v>
      </c>
      <c r="D96">
        <f t="shared" si="8"/>
        <v>101.93366957290957</v>
      </c>
      <c r="E96">
        <f t="shared" si="9"/>
        <v>77.054650683847825</v>
      </c>
      <c r="F96">
        <f t="shared" si="10"/>
        <v>-88.405883770725779</v>
      </c>
      <c r="G96">
        <f t="shared" si="11"/>
        <v>-638.84018478077564</v>
      </c>
      <c r="H96">
        <f>Main!N96</f>
        <v>5.9819620000000002</v>
      </c>
    </row>
    <row r="97" spans="1:8" x14ac:dyDescent="0.25">
      <c r="A97">
        <f>Main!$K$2</f>
        <v>0.02</v>
      </c>
      <c r="B97">
        <f>Main!S97</f>
        <v>124.2956234093223</v>
      </c>
      <c r="C97">
        <f>Main!T97</f>
        <v>160.83022904547633</v>
      </c>
      <c r="D97">
        <f t="shared" si="8"/>
        <v>103.47476258658652</v>
      </c>
      <c r="E97">
        <f t="shared" si="9"/>
        <v>75.28653300843331</v>
      </c>
      <c r="F97">
        <f t="shared" si="10"/>
        <v>-101.18268746634129</v>
      </c>
      <c r="G97">
        <f t="shared" si="11"/>
        <v>-650.33844670558949</v>
      </c>
      <c r="H97">
        <f>Main!N97</f>
        <v>5.9996179999999999</v>
      </c>
    </row>
    <row r="98" spans="1:8" x14ac:dyDescent="0.25">
      <c r="A98">
        <f>Main!$K$2</f>
        <v>0.02</v>
      </c>
      <c r="B98">
        <f>Main!S98</f>
        <v>125.74788312253477</v>
      </c>
      <c r="C98">
        <f>Main!T98</f>
        <v>160.43252746595721</v>
      </c>
      <c r="D98">
        <f t="shared" si="8"/>
        <v>104.98049324675519</v>
      </c>
      <c r="E98">
        <f t="shared" si="9"/>
        <v>73.262879259106484</v>
      </c>
      <c r="F98">
        <f t="shared" si="10"/>
        <v>-114.18945640045308</v>
      </c>
      <c r="G98">
        <f t="shared" si="11"/>
        <v>-646.46535289369922</v>
      </c>
      <c r="H98">
        <f>Main!N98</f>
        <v>6.0174770000000004</v>
      </c>
    </row>
    <row r="99" spans="1:8" x14ac:dyDescent="0.25">
      <c r="A99">
        <f>Main!$K$2</f>
        <v>0.02</v>
      </c>
      <c r="B99">
        <f>Main!S99</f>
        <v>127.16779626818385</v>
      </c>
      <c r="C99">
        <f>Main!T99</f>
        <v>160.07082807454674</v>
      </c>
      <c r="D99">
        <f t="shared" si="8"/>
        <v>106.44575083193732</v>
      </c>
      <c r="E99">
        <f t="shared" si="9"/>
        <v>70.979090131097422</v>
      </c>
      <c r="F99">
        <f t="shared" si="10"/>
        <v>-127.11876345832707</v>
      </c>
      <c r="G99">
        <f t="shared" si="11"/>
        <v>-617.84406577913842</v>
      </c>
      <c r="H99">
        <f>Main!N99</f>
        <v>6.0354010000000002</v>
      </c>
    </row>
    <row r="100" spans="1:8" x14ac:dyDescent="0.25">
      <c r="A100">
        <f>Main!$K$2</f>
        <v>0.02</v>
      </c>
      <c r="B100">
        <f>Main!S100</f>
        <v>128.54946871787422</v>
      </c>
      <c r="C100">
        <f>Main!T100</f>
        <v>159.74495427059497</v>
      </c>
      <c r="D100">
        <f t="shared" si="8"/>
        <v>107.86533263455927</v>
      </c>
      <c r="E100">
        <f t="shared" si="9"/>
        <v>68.436714861930881</v>
      </c>
      <c r="F100">
        <f t="shared" si="10"/>
        <v>-139.47564477390983</v>
      </c>
      <c r="G100">
        <f t="shared" si="11"/>
        <v>-374.60464787386627</v>
      </c>
      <c r="H100">
        <f>Main!N100</f>
        <v>6.0532459999999997</v>
      </c>
    </row>
    <row r="101" spans="1:8" x14ac:dyDescent="0.25">
      <c r="A101">
        <f>Main!$K$2</f>
        <v>0.02</v>
      </c>
      <c r="B101">
        <f>Main!S101</f>
        <v>129.88697615469545</v>
      </c>
      <c r="C101">
        <f>Main!T101</f>
        <v>159.45425264884994</v>
      </c>
      <c r="D101">
        <f t="shared" si="8"/>
        <v>109.23406693179788</v>
      </c>
      <c r="E101">
        <f t="shared" si="9"/>
        <v>65.647201966452684</v>
      </c>
      <c r="F101">
        <f t="shared" si="10"/>
        <v>-146.96773773138716</v>
      </c>
      <c r="G101">
        <f t="shared" si="11"/>
        <v>-150.24021916332231</v>
      </c>
      <c r="H101">
        <f>Main!N101</f>
        <v>6.0708700000000002</v>
      </c>
    </row>
    <row r="102" spans="1:8" x14ac:dyDescent="0.25">
      <c r="A102">
        <f>Main!$K$2</f>
        <v>0.02</v>
      </c>
      <c r="B102">
        <f>Main!S102</f>
        <v>131.17458868717338</v>
      </c>
      <c r="C102">
        <f>Main!T102</f>
        <v>159.19758941304195</v>
      </c>
      <c r="D102">
        <f t="shared" si="8"/>
        <v>110.54701097112694</v>
      </c>
      <c r="E102">
        <f t="shared" si="9"/>
        <v>62.707847211824941</v>
      </c>
      <c r="F102">
        <f t="shared" si="10"/>
        <v>-149.97254211465361</v>
      </c>
      <c r="G102">
        <f t="shared" si="11"/>
        <v>-132.99506585262577</v>
      </c>
      <c r="H102">
        <f>Main!N102</f>
        <v>6.0881340000000002</v>
      </c>
    </row>
    <row r="103" spans="1:8" x14ac:dyDescent="0.25">
      <c r="A103">
        <f>Main!$K$2</f>
        <v>0.02</v>
      </c>
      <c r="B103">
        <f>Main!S103</f>
        <v>132.40849550364871</v>
      </c>
      <c r="C103">
        <f>Main!T103</f>
        <v>158.97312647839044</v>
      </c>
      <c r="D103">
        <f t="shared" si="8"/>
        <v>111.80116791536344</v>
      </c>
      <c r="E103">
        <f t="shared" si="9"/>
        <v>59.708396369531869</v>
      </c>
      <c r="F103">
        <f t="shared" si="10"/>
        <v>-152.63244343170612</v>
      </c>
      <c r="G103">
        <f t="shared" si="11"/>
        <v>-118.12431077196095</v>
      </c>
      <c r="H103">
        <f>Main!N103</f>
        <v>6.104927</v>
      </c>
    </row>
    <row r="104" spans="1:8" x14ac:dyDescent="0.25">
      <c r="A104">
        <f>Main!$K$2</f>
        <v>0.02</v>
      </c>
      <c r="B104">
        <f>Main!S104</f>
        <v>133.58670389614184</v>
      </c>
      <c r="C104">
        <f>Main!T104</f>
        <v>158.77854481772533</v>
      </c>
      <c r="D104">
        <f t="shared" si="8"/>
        <v>112.99533584275407</v>
      </c>
      <c r="E104">
        <f t="shared" si="9"/>
        <v>56.655747500897746</v>
      </c>
      <c r="F104">
        <f t="shared" si="10"/>
        <v>-154.99492964714534</v>
      </c>
      <c r="G104">
        <f t="shared" si="11"/>
        <v>-105.00289938697449</v>
      </c>
      <c r="H104">
        <f>Main!N104</f>
        <v>6.1211690000000001</v>
      </c>
    </row>
    <row r="105" spans="1:8" x14ac:dyDescent="0.25">
      <c r="A105">
        <f>Main!$K$2</f>
        <v>0.02</v>
      </c>
      <c r="B105">
        <f>Main!S105</f>
        <v>134.70742973723986</v>
      </c>
      <c r="C105">
        <f>Main!T105</f>
        <v>158.61144281579442</v>
      </c>
      <c r="D105">
        <f t="shared" si="8"/>
        <v>114.12845079277203</v>
      </c>
      <c r="E105">
        <f t="shared" si="9"/>
        <v>53.555848907954839</v>
      </c>
      <c r="F105">
        <f t="shared" si="10"/>
        <v>-157.09498763488483</v>
      </c>
      <c r="G105">
        <f t="shared" si="11"/>
        <v>-84.381494543706026</v>
      </c>
      <c r="H105">
        <f>Main!N105</f>
        <v>6.1367890000000003</v>
      </c>
    </row>
    <row r="106" spans="1:8" x14ac:dyDescent="0.25">
      <c r="A106">
        <f>Main!$K$2</f>
        <v>0.02</v>
      </c>
      <c r="B106">
        <f>Main!S106</f>
        <v>135.76908389460525</v>
      </c>
      <c r="C106">
        <f>Main!T106</f>
        <v>158.46937934037069</v>
      </c>
      <c r="D106">
        <f t="shared" si="8"/>
        <v>115.19956777093113</v>
      </c>
      <c r="E106">
        <f t="shared" si="9"/>
        <v>50.413949155257143</v>
      </c>
      <c r="F106">
        <f t="shared" si="10"/>
        <v>-158.78261752575895</v>
      </c>
      <c r="G106">
        <f t="shared" si="11"/>
        <v>-76.883411916028876</v>
      </c>
      <c r="H106">
        <f>Main!N106</f>
        <v>6.1517239999999997</v>
      </c>
    </row>
    <row r="107" spans="1:8" x14ac:dyDescent="0.25">
      <c r="A107">
        <f>Main!$K$2</f>
        <v>0.02</v>
      </c>
      <c r="B107">
        <f>Main!S107</f>
        <v>136.77026017426383</v>
      </c>
      <c r="C107">
        <f>Main!T107</f>
        <v>158.34991150026076</v>
      </c>
      <c r="D107">
        <f t="shared" si="8"/>
        <v>116.20784675403627</v>
      </c>
      <c r="E107">
        <f t="shared" si="9"/>
        <v>47.238296804741964</v>
      </c>
      <c r="F107">
        <f t="shared" si="10"/>
        <v>-160.32028576407953</v>
      </c>
      <c r="G107">
        <f t="shared" si="11"/>
        <v>-60.135426579677187</v>
      </c>
      <c r="H107">
        <f>Main!N107</f>
        <v>6.1659179999999996</v>
      </c>
    </row>
    <row r="108" spans="1:8" x14ac:dyDescent="0.25">
      <c r="A108">
        <f>Main!$K$2</f>
        <v>0.02</v>
      </c>
      <c r="B108">
        <f>Main!S108</f>
        <v>137.70979447178254</v>
      </c>
      <c r="C108">
        <f>Main!T108</f>
        <v>158.25062415065787</v>
      </c>
      <c r="D108">
        <f t="shared" si="8"/>
        <v>117.15261269013111</v>
      </c>
      <c r="E108">
        <f t="shared" si="9"/>
        <v>44.031891089460373</v>
      </c>
      <c r="F108">
        <f t="shared" si="10"/>
        <v>-161.52299429567307</v>
      </c>
      <c r="G108">
        <f t="shared" si="11"/>
        <v>-48.636450165062683</v>
      </c>
      <c r="H108">
        <f>Main!N108</f>
        <v>6.1793259999999997</v>
      </c>
    </row>
    <row r="109" spans="1:8" x14ac:dyDescent="0.25">
      <c r="A109">
        <f>Main!$K$2</f>
        <v>0.02</v>
      </c>
      <c r="B109">
        <f>Main!S109</f>
        <v>138.58665721954245</v>
      </c>
      <c r="C109">
        <f>Main!T109</f>
        <v>158.16917051503253</v>
      </c>
      <c r="D109">
        <f t="shared" si="8"/>
        <v>118.03325051192031</v>
      </c>
      <c r="E109">
        <f t="shared" si="9"/>
        <v>40.801431203546912</v>
      </c>
      <c r="F109">
        <f t="shared" si="10"/>
        <v>-162.49572329897433</v>
      </c>
      <c r="G109">
        <f t="shared" si="11"/>
        <v>-43.011738336318217</v>
      </c>
      <c r="H109">
        <f>Main!N109</f>
        <v>6.1919069999999996</v>
      </c>
    </row>
    <row r="110" spans="1:8" x14ac:dyDescent="0.25">
      <c r="A110">
        <f>Main!$K$2</f>
        <v>0.02</v>
      </c>
      <c r="B110">
        <f>Main!S110</f>
        <v>139.40002225155831</v>
      </c>
      <c r="C110">
        <f>Main!T110</f>
        <v>158.10329153510014</v>
      </c>
      <c r="D110">
        <f t="shared" si="8"/>
        <v>118.84927913599125</v>
      </c>
      <c r="E110">
        <f t="shared" si="9"/>
        <v>37.551516737567425</v>
      </c>
      <c r="F110">
        <f t="shared" si="10"/>
        <v>-163.35595806570069</v>
      </c>
      <c r="G110">
        <f t="shared" si="11"/>
        <v>-30.261949545362654</v>
      </c>
      <c r="H110">
        <f>Main!N110</f>
        <v>6.2036290000000003</v>
      </c>
    </row>
    <row r="111" spans="1:8" x14ac:dyDescent="0.25">
      <c r="A111">
        <f>Main!$K$2</f>
        <v>0.02</v>
      </c>
      <c r="B111">
        <f>Main!S111</f>
        <v>140.14921897724784</v>
      </c>
      <c r="C111">
        <f>Main!T111</f>
        <v>158.05084318018976</v>
      </c>
      <c r="D111">
        <f t="shared" si="8"/>
        <v>119.6003094707426</v>
      </c>
      <c r="E111">
        <f t="shared" si="9"/>
        <v>34.284397576253411</v>
      </c>
      <c r="F111">
        <f t="shared" si="10"/>
        <v>-163.96119705660794</v>
      </c>
      <c r="G111">
        <f t="shared" si="11"/>
        <v>4.6133682438664891</v>
      </c>
      <c r="H111">
        <f>Main!N111</f>
        <v>6.2144659999999998</v>
      </c>
    </row>
    <row r="112" spans="1:8" x14ac:dyDescent="0.25">
      <c r="A112">
        <f>Main!$K$2</f>
        <v>0.02</v>
      </c>
      <c r="B112">
        <f>Main!S112</f>
        <v>140.83367845693186</v>
      </c>
      <c r="C112">
        <f>Main!T112</f>
        <v>158.00981651157863</v>
      </c>
      <c r="D112">
        <f t="shared" si="8"/>
        <v>120.28599742226767</v>
      </c>
      <c r="E112">
        <f t="shared" si="9"/>
        <v>31.005173635121253</v>
      </c>
      <c r="F112">
        <f t="shared" si="10"/>
        <v>-163.86892969173061</v>
      </c>
      <c r="G112">
        <f t="shared" si="11"/>
        <v>254.98802840928647</v>
      </c>
      <c r="H112">
        <f>Main!N112</f>
        <v>6.2243950000000003</v>
      </c>
    </row>
    <row r="113" spans="1:8" x14ac:dyDescent="0.25">
      <c r="A113">
        <f>Main!$K$2</f>
        <v>0.02</v>
      </c>
      <c r="B113">
        <f>Main!S113</f>
        <v>141.45298303796432</v>
      </c>
      <c r="C113">
        <f>Main!T113</f>
        <v>157.97834981855533</v>
      </c>
      <c r="D113">
        <f t="shared" si="8"/>
        <v>120.90610089497009</v>
      </c>
      <c r="E113">
        <f t="shared" si="9"/>
        <v>27.72779504128664</v>
      </c>
      <c r="F113">
        <f t="shared" si="10"/>
        <v>-158.76916912354488</v>
      </c>
      <c r="G113">
        <f t="shared" si="11"/>
        <v>471.86412582611581</v>
      </c>
      <c r="H113">
        <f>Main!N113</f>
        <v>6.2333999999999996</v>
      </c>
    </row>
    <row r="114" spans="1:8" x14ac:dyDescent="0.25">
      <c r="A114">
        <f>Main!$K$2</f>
        <v>0.02</v>
      </c>
      <c r="B114">
        <f>Main!S114</f>
        <v>142.00703593313719</v>
      </c>
      <c r="C114">
        <f>Main!T114</f>
        <v>157.95473549046423</v>
      </c>
      <c r="D114">
        <f t="shared" si="8"/>
        <v>121.46065679579583</v>
      </c>
      <c r="E114">
        <f t="shared" si="9"/>
        <v>24.552411658815743</v>
      </c>
      <c r="F114">
        <f t="shared" si="10"/>
        <v>-149.33188660702257</v>
      </c>
      <c r="G114">
        <f t="shared" si="11"/>
        <v>479.99139967025428</v>
      </c>
      <c r="H114">
        <f>Main!N114</f>
        <v>6.2414709999999998</v>
      </c>
    </row>
    <row r="115" spans="1:8" x14ac:dyDescent="0.25">
      <c r="A115">
        <f>Main!$K$2</f>
        <v>0.02</v>
      </c>
      <c r="B115">
        <f>Main!S115</f>
        <v>142.49777759250372</v>
      </c>
      <c r="C115">
        <f>Main!T115</f>
        <v>157.93738639631613</v>
      </c>
      <c r="D115">
        <f t="shared" si="8"/>
        <v>121.95170502897214</v>
      </c>
      <c r="E115">
        <f t="shared" si="9"/>
        <v>21.565773926675291</v>
      </c>
      <c r="F115">
        <f t="shared" si="10"/>
        <v>-139.73205861361748</v>
      </c>
      <c r="G115">
        <f t="shared" si="11"/>
        <v>477.61844966487388</v>
      </c>
      <c r="H115">
        <f>Main!N115</f>
        <v>6.2486300000000004</v>
      </c>
    </row>
    <row r="116" spans="1:8" x14ac:dyDescent="0.25">
      <c r="A116">
        <f>Main!$K$2</f>
        <v>0.02</v>
      </c>
      <c r="B116">
        <f>Main!S116</f>
        <v>142.92891235803643</v>
      </c>
      <c r="C116">
        <f>Main!T116</f>
        <v>157.92490216739941</v>
      </c>
      <c r="D116">
        <f t="shared" si="8"/>
        <v>122.38302050750565</v>
      </c>
      <c r="E116">
        <f t="shared" si="9"/>
        <v>18.771132754402942</v>
      </c>
      <c r="F116">
        <f t="shared" si="10"/>
        <v>-130.17968962032</v>
      </c>
      <c r="G116">
        <f t="shared" si="11"/>
        <v>485.24504017954939</v>
      </c>
      <c r="H116">
        <f>Main!N116</f>
        <v>6.2549260000000002</v>
      </c>
    </row>
    <row r="117" spans="1:8" x14ac:dyDescent="0.25">
      <c r="A117">
        <f>Main!$K$2</f>
        <v>0.02</v>
      </c>
      <c r="B117">
        <f>Main!S117</f>
        <v>143.30423245801606</v>
      </c>
      <c r="C117">
        <f>Main!T117</f>
        <v>157.91612763010988</v>
      </c>
      <c r="D117">
        <f t="shared" si="8"/>
        <v>122.75844316259371</v>
      </c>
      <c r="E117">
        <f t="shared" si="9"/>
        <v>16.167538961996542</v>
      </c>
      <c r="F117">
        <f t="shared" si="10"/>
        <v>-120.47478881672902</v>
      </c>
      <c r="G117">
        <f t="shared" si="11"/>
        <v>481.87141422673108</v>
      </c>
      <c r="H117">
        <f>Main!N117</f>
        <v>6.2604119999999996</v>
      </c>
    </row>
    <row r="118" spans="1:8" x14ac:dyDescent="0.25">
      <c r="A118">
        <f>Main!$K$2</f>
        <v>0.02</v>
      </c>
      <c r="B118">
        <f>Main!S118</f>
        <v>143.62752752315384</v>
      </c>
      <c r="C118">
        <f>Main!T118</f>
        <v>157.91012535615562</v>
      </c>
      <c r="D118">
        <f t="shared" si="8"/>
        <v>123.08179394183364</v>
      </c>
      <c r="E118">
        <f t="shared" si="9"/>
        <v>13.758043185661961</v>
      </c>
      <c r="F118">
        <f t="shared" si="10"/>
        <v>-110.8373605321944</v>
      </c>
      <c r="G118">
        <f t="shared" si="11"/>
        <v>486.99743824620612</v>
      </c>
      <c r="H118">
        <f>Main!N118</f>
        <v>6.2651399999999997</v>
      </c>
    </row>
    <row r="119" spans="1:8" x14ac:dyDescent="0.25">
      <c r="A119">
        <f>Main!$K$2</f>
        <v>0.02</v>
      </c>
      <c r="B119">
        <f>Main!S119</f>
        <v>143.90265961606718</v>
      </c>
      <c r="C119">
        <f>Main!T119</f>
        <v>157.90614636526044</v>
      </c>
      <c r="D119">
        <f t="shared" si="8"/>
        <v>123.35695480554688</v>
      </c>
      <c r="E119">
        <f t="shared" si="9"/>
        <v>11.541295975018073</v>
      </c>
      <c r="F119">
        <f t="shared" si="10"/>
        <v>-101.09741176727027</v>
      </c>
      <c r="G119">
        <f t="shared" si="11"/>
        <v>487.12325414790314</v>
      </c>
      <c r="H119">
        <f>Main!N119</f>
        <v>6.2691660000000002</v>
      </c>
    </row>
    <row r="120" spans="1:8" x14ac:dyDescent="0.25">
      <c r="A120">
        <f>Main!$K$2</f>
        <v>0.02</v>
      </c>
      <c r="B120">
        <f>Main!S120</f>
        <v>144.13347154007857</v>
      </c>
      <c r="C120">
        <f>Main!T120</f>
        <v>157.90360454556878</v>
      </c>
      <c r="D120">
        <f t="shared" si="8"/>
        <v>123.58778072504724</v>
      </c>
      <c r="E120">
        <f t="shared" si="9"/>
        <v>9.5193477396726678</v>
      </c>
      <c r="F120">
        <f t="shared" si="10"/>
        <v>-91.35494668431221</v>
      </c>
      <c r="G120">
        <f t="shared" si="11"/>
        <v>485.49885960547101</v>
      </c>
      <c r="H120">
        <f>Main!N120</f>
        <v>6.2725439999999999</v>
      </c>
    </row>
    <row r="121" spans="1:8" x14ac:dyDescent="0.25">
      <c r="A121">
        <f>Main!$K$2</f>
        <v>0.02</v>
      </c>
      <c r="B121">
        <f>Main!S121</f>
        <v>144.3238521559411</v>
      </c>
      <c r="C121">
        <f>Main!T121</f>
        <v>157.90205094995468</v>
      </c>
      <c r="D121">
        <f t="shared" si="8"/>
        <v>123.77816767984069</v>
      </c>
      <c r="E121">
        <f t="shared" si="9"/>
        <v>7.6922488059864236</v>
      </c>
      <c r="F121">
        <f t="shared" si="10"/>
        <v>-81.64496949220279</v>
      </c>
      <c r="G121">
        <f t="shared" si="11"/>
        <v>485.24928773829856</v>
      </c>
      <c r="H121">
        <f>Main!N121</f>
        <v>6.2753310000000004</v>
      </c>
    </row>
    <row r="122" spans="1:8" x14ac:dyDescent="0.25">
      <c r="A122">
        <f>Main!$K$2</f>
        <v>0.02</v>
      </c>
      <c r="B122">
        <f>Main!S122</f>
        <v>144.47769450070038</v>
      </c>
      <c r="C122">
        <f>Main!T122</f>
        <v>157.90115115206368</v>
      </c>
      <c r="D122">
        <f t="shared" si="8"/>
        <v>123.93201265596042</v>
      </c>
      <c r="E122">
        <f t="shared" si="9"/>
        <v>6.0593494161423678</v>
      </c>
      <c r="F122">
        <f t="shared" si="10"/>
        <v>-71.939983737436819</v>
      </c>
      <c r="G122">
        <f t="shared" si="11"/>
        <v>490.99958015297318</v>
      </c>
      <c r="H122">
        <f>Main!N122</f>
        <v>6.2775840000000001</v>
      </c>
    </row>
    <row r="123" spans="1:8" x14ac:dyDescent="0.25">
      <c r="A123">
        <f>Main!$K$2</f>
        <v>0.02</v>
      </c>
      <c r="B123">
        <f>Main!S123</f>
        <v>144.59888050917968</v>
      </c>
      <c r="C123">
        <f>Main!T123</f>
        <v>157.90066382505216</v>
      </c>
      <c r="D123">
        <f t="shared" si="8"/>
        <v>124.05319964428327</v>
      </c>
      <c r="E123">
        <f t="shared" si="9"/>
        <v>4.6205497413936314</v>
      </c>
      <c r="F123">
        <f t="shared" si="10"/>
        <v>-62.119992134377355</v>
      </c>
      <c r="G123">
        <f t="shared" si="11"/>
        <v>483.37477715421073</v>
      </c>
      <c r="H123">
        <f>Main!N123</f>
        <v>6.2793590000000004</v>
      </c>
    </row>
    <row r="124" spans="1:8" x14ac:dyDescent="0.25">
      <c r="A124">
        <f>Main!$K$2</f>
        <v>0.02</v>
      </c>
      <c r="B124">
        <f>Main!S124</f>
        <v>144.69129118637989</v>
      </c>
      <c r="C124">
        <f>Main!T124</f>
        <v>157.90042153498732</v>
      </c>
      <c r="D124">
        <f t="shared" si="8"/>
        <v>124.14561063911114</v>
      </c>
      <c r="E124">
        <f t="shared" si="9"/>
        <v>3.3781498987060843</v>
      </c>
      <c r="F124">
        <f t="shared" si="10"/>
        <v>-52.452496591293141</v>
      </c>
      <c r="G124">
        <f t="shared" si="11"/>
        <v>490.87489117560779</v>
      </c>
      <c r="H124">
        <f>Main!N124</f>
        <v>6.2807120000000003</v>
      </c>
    </row>
    <row r="125" spans="1:8" x14ac:dyDescent="0.25">
      <c r="A125">
        <f>Main!$K$2</f>
        <v>0.02</v>
      </c>
      <c r="B125">
        <f>Main!S125</f>
        <v>144.75885409872467</v>
      </c>
      <c r="C125">
        <f>Main!T125</f>
        <v>157.90031396760338</v>
      </c>
      <c r="D125">
        <f t="shared" si="8"/>
        <v>124.21317363708526</v>
      </c>
      <c r="E125">
        <f t="shared" si="9"/>
        <v>2.3290999668802215</v>
      </c>
      <c r="F125">
        <f t="shared" si="10"/>
        <v>-42.634998767780985</v>
      </c>
      <c r="G125">
        <f t="shared" si="11"/>
        <v>483.62495601139699</v>
      </c>
      <c r="H125">
        <f>Main!N125</f>
        <v>6.2817020000000001</v>
      </c>
    </row>
    <row r="126" spans="1:8" x14ac:dyDescent="0.25">
      <c r="A126">
        <f>Main!$K$2</f>
        <v>0.02</v>
      </c>
      <c r="B126">
        <f>Main!S126</f>
        <v>144.80543608018135</v>
      </c>
      <c r="C126">
        <f>Main!T126</f>
        <v>157.90027315268824</v>
      </c>
      <c r="D126">
        <f t="shared" si="8"/>
        <v>124.25975563642287</v>
      </c>
      <c r="E126">
        <f t="shared" si="9"/>
        <v>1.4763999915246018</v>
      </c>
      <c r="F126">
        <f t="shared" si="10"/>
        <v>-32.962499647553045</v>
      </c>
      <c r="G126">
        <f t="shared" si="11"/>
        <v>490.87498565292265</v>
      </c>
      <c r="H126">
        <f>Main!N126</f>
        <v>6.2823840000000004</v>
      </c>
    </row>
    <row r="127" spans="1:8" x14ac:dyDescent="0.25">
      <c r="A127">
        <f>Main!$K$2</f>
        <v>0.02</v>
      </c>
      <c r="B127">
        <f>Main!S127</f>
        <v>144.83496407745773</v>
      </c>
      <c r="C127">
        <f>Main!T127</f>
        <v>157.9002608711468</v>
      </c>
      <c r="D127">
        <f t="shared" si="8"/>
        <v>124.28928363625336</v>
      </c>
      <c r="E127">
        <f t="shared" si="9"/>
        <v>0.81714999857354087</v>
      </c>
      <c r="F127">
        <f t="shared" si="10"/>
        <v>-23.144999934494592</v>
      </c>
      <c r="G127">
        <f t="shared" si="11"/>
        <v>485.37499701062359</v>
      </c>
      <c r="H127">
        <f>Main!N127</f>
        <v>6.2828169999999997</v>
      </c>
    </row>
    <row r="128" spans="1:8" x14ac:dyDescent="0.25">
      <c r="A128">
        <f>Main!$K$2</f>
        <v>0.02</v>
      </c>
      <c r="B128">
        <f>Main!S128</f>
        <v>144.85130707723155</v>
      </c>
      <c r="C128">
        <f>Main!T128</f>
        <v>157.90025832947208</v>
      </c>
      <c r="D128">
        <f t="shared" si="8"/>
        <v>124.30562663622483</v>
      </c>
      <c r="E128">
        <f t="shared" si="9"/>
        <v>0.35424999988364902</v>
      </c>
      <c r="F128">
        <f t="shared" si="10"/>
        <v>-13.43749999428212</v>
      </c>
      <c r="G128">
        <f t="shared" si="11"/>
        <v>458.12499971908949</v>
      </c>
      <c r="H128">
        <f>Main!N128</f>
        <v>6.2830560000000002</v>
      </c>
    </row>
    <row r="129" spans="1:8" x14ac:dyDescent="0.25">
      <c r="A129">
        <f>Main!$K$2</f>
        <v>0.02</v>
      </c>
      <c r="B129">
        <f>Main!S129</f>
        <v>144.85839207722444</v>
      </c>
      <c r="C129">
        <f>Main!T129</f>
        <v>157.90025806905072</v>
      </c>
      <c r="D129">
        <f t="shared" si="8"/>
        <v>124.3127116362225</v>
      </c>
      <c r="E129">
        <f t="shared" si="9"/>
        <v>8.5499999998006615E-2</v>
      </c>
      <c r="F129">
        <f t="shared" si="10"/>
        <v>-4.2749999999003307</v>
      </c>
      <c r="G129">
        <f t="shared" si="11"/>
        <v>213.74999999501654</v>
      </c>
      <c r="H129">
        <f>Main!N129</f>
        <v>6.2831599999999996</v>
      </c>
    </row>
    <row r="130" spans="1:8" x14ac:dyDescent="0.25">
      <c r="A130">
        <f>Main!$K$2</f>
        <v>0.02</v>
      </c>
      <c r="B130">
        <f>Main!S130</f>
        <v>144.86010207722438</v>
      </c>
      <c r="C130">
        <f>Main!T130</f>
        <v>157.90025806383792</v>
      </c>
      <c r="D130">
        <f t="shared" si="8"/>
        <v>124.31442163622246</v>
      </c>
      <c r="E130">
        <f t="shared" si="9"/>
        <v>0</v>
      </c>
      <c r="F130">
        <f t="shared" si="10"/>
        <v>0</v>
      </c>
      <c r="G130">
        <f t="shared" si="11"/>
        <v>0</v>
      </c>
      <c r="H130">
        <f>Main!N130</f>
        <v>6.2831849999999996</v>
      </c>
    </row>
    <row r="131" spans="1:8" x14ac:dyDescent="0.25">
      <c r="A131">
        <f>Main!$K$2</f>
        <v>0.02</v>
      </c>
      <c r="B131">
        <f>Main!S131</f>
        <v>144.86010207722438</v>
      </c>
      <c r="C131">
        <f>Main!T131</f>
        <v>157.90025806383792</v>
      </c>
      <c r="D131">
        <f t="shared" si="8"/>
        <v>124.31442163622246</v>
      </c>
      <c r="E131">
        <f t="shared" si="9"/>
        <v>0</v>
      </c>
      <c r="F131">
        <f t="shared" si="10"/>
        <v>0</v>
      </c>
      <c r="G131">
        <f t="shared" si="11"/>
        <v>0</v>
      </c>
      <c r="H131">
        <f>Main!N131</f>
        <v>6.2831849999999996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31"/>
  <sheetViews>
    <sheetView workbookViewId="0">
      <pane ySplit="1" topLeftCell="A2" activePane="bottomLeft" state="frozen"/>
      <selection pane="bottomLeft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f>Main!$K$2</f>
        <v>0.02</v>
      </c>
      <c r="B2">
        <f>Main!V2</f>
        <v>25.998470000002651</v>
      </c>
      <c r="C2">
        <f>Main!W2</f>
        <v>217.99999992197002</v>
      </c>
      <c r="D2">
        <v>0</v>
      </c>
      <c r="E2">
        <f t="shared" ref="E2:E4" si="0" xml:space="preserve"> IF(ISBLANK(D3), 0, (D3-D2)/$A2 )</f>
        <v>7.6050000000033841E-2</v>
      </c>
      <c r="F2">
        <f xml:space="preserve"> (E3-E2)/$A2</f>
        <v>11.934999999977162</v>
      </c>
      <c r="G2">
        <f xml:space="preserve"> (F3-F2)/$A2</f>
        <v>385.99999999365974</v>
      </c>
      <c r="H2">
        <f>Main!N2</f>
        <v>1.02E-4</v>
      </c>
    </row>
    <row r="3" spans="1:8" x14ac:dyDescent="0.25">
      <c r="A3">
        <f>Main!$K$2</f>
        <v>0.02</v>
      </c>
      <c r="B3">
        <f>Main!V3</f>
        <v>25.99999099999474</v>
      </c>
      <c r="C3">
        <f>Main!W3</f>
        <v>218.00000007711202</v>
      </c>
      <c r="D3">
        <f>D2 + SQRT( (B3-B2)^2  + (C3-C2)^2 )</f>
        <v>1.5210000000006768E-3</v>
      </c>
      <c r="E3">
        <f t="shared" si="0"/>
        <v>0.31474999999957709</v>
      </c>
      <c r="F3">
        <f t="shared" ref="F3:G3" si="1" xml:space="preserve"> (E4-E3)/$A3</f>
        <v>19.654999999850357</v>
      </c>
      <c r="G3">
        <f t="shared" si="1"/>
        <v>395.24999996238762</v>
      </c>
      <c r="H3">
        <f>Main!N3</f>
        <v>1.02E-4</v>
      </c>
    </row>
    <row r="4" spans="1:8" x14ac:dyDescent="0.25">
      <c r="A4">
        <f>Main!$K$2</f>
        <v>0.02</v>
      </c>
      <c r="B4">
        <f>Main!V4</f>
        <v>26.006285999970228</v>
      </c>
      <c r="C4">
        <f>Main!W4</f>
        <v>218.00000063254203</v>
      </c>
      <c r="D4">
        <f t="shared" ref="D4" si="2">D3 + SQRT( (B4-B3)^2  + (C4-C3)^2 )</f>
        <v>7.8159999999922181E-3</v>
      </c>
      <c r="E4">
        <f t="shared" si="0"/>
        <v>0.70784999999658427</v>
      </c>
      <c r="F4">
        <f t="shared" ref="F4:G4" si="3" xml:space="preserve"> (E5-E4)/$A4</f>
        <v>27.55999999909811</v>
      </c>
      <c r="G4">
        <f t="shared" si="3"/>
        <v>390.20096162752969</v>
      </c>
      <c r="H4">
        <f>Main!N4</f>
        <v>8.7999999999999998E-5</v>
      </c>
    </row>
    <row r="5" spans="1:8" x14ac:dyDescent="0.25">
      <c r="A5">
        <f>Main!$K$2</f>
        <v>0.02</v>
      </c>
      <c r="B5">
        <f>Main!V5</f>
        <v>26.020442999946749</v>
      </c>
      <c r="C5">
        <f>Main!W5</f>
        <v>218.00000144669852</v>
      </c>
      <c r="D5">
        <f t="shared" ref="D5:D68" si="4">D4 + SQRT( (B5-B4)^2  + (C5-C4)^2 )</f>
        <v>2.1972999999923904E-2</v>
      </c>
      <c r="E5">
        <f t="shared" ref="E5:E68" si="5" xml:space="preserve"> IF(ISBLANK(D6), 0, (D6-D5)/$A5 )</f>
        <v>1.2590499999785465</v>
      </c>
      <c r="F5">
        <f t="shared" ref="F5:F68" si="6" xml:space="preserve"> (E6-E5)/$A5</f>
        <v>35.364019231648705</v>
      </c>
      <c r="G5">
        <f t="shared" ref="G5:G68" si="7" xml:space="preserve"> (F6-F5)/$A5</f>
        <v>396.2230762933263</v>
      </c>
      <c r="H5">
        <f>Main!N5</f>
        <v>5.7000000000000003E-5</v>
      </c>
    </row>
    <row r="6" spans="1:8" x14ac:dyDescent="0.25">
      <c r="A6">
        <f>Main!$K$2</f>
        <v>0.02</v>
      </c>
      <c r="B6">
        <f>Main!V6</f>
        <v>26.045623999946272</v>
      </c>
      <c r="C6">
        <f>Main!W6</f>
        <v>218.00000149539952</v>
      </c>
      <c r="D6">
        <f t="shared" si="4"/>
        <v>4.7153999999494836E-2</v>
      </c>
      <c r="E6">
        <f t="shared" si="5"/>
        <v>1.9663303846115205</v>
      </c>
      <c r="F6">
        <f t="shared" si="6"/>
        <v>43.288480757515231</v>
      </c>
      <c r="G6">
        <f t="shared" si="7"/>
        <v>393.95096119763019</v>
      </c>
      <c r="H6">
        <f>Main!N6</f>
        <v>9.9999999999999995E-7</v>
      </c>
    </row>
    <row r="7" spans="1:8" x14ac:dyDescent="0.25">
      <c r="A7">
        <f>Main!$K$2</f>
        <v>0.02</v>
      </c>
      <c r="B7">
        <f>Main!V7</f>
        <v>26.084950607500133</v>
      </c>
      <c r="C7">
        <f>Main!W7</f>
        <v>217.99999819642451</v>
      </c>
      <c r="D7">
        <f t="shared" si="4"/>
        <v>8.6480607691725248E-2</v>
      </c>
      <c r="E7">
        <f t="shared" si="5"/>
        <v>2.8320999997618252</v>
      </c>
      <c r="F7">
        <f t="shared" si="6"/>
        <v>51.167499981467834</v>
      </c>
      <c r="G7">
        <f t="shared" si="7"/>
        <v>393.37499902280513</v>
      </c>
      <c r="H7">
        <f>Main!N7</f>
        <v>6.2831000000000001</v>
      </c>
    </row>
    <row r="8" spans="1:8" x14ac:dyDescent="0.25">
      <c r="A8">
        <f>Main!$K$2</f>
        <v>0.02</v>
      </c>
      <c r="B8">
        <f>Main!V8</f>
        <v>26.141592606267281</v>
      </c>
      <c r="C8">
        <f>Main!W8</f>
        <v>217.99998640139282</v>
      </c>
      <c r="D8">
        <f t="shared" si="4"/>
        <v>0.14312260768696175</v>
      </c>
      <c r="E8">
        <f t="shared" si="5"/>
        <v>3.8554499993911819</v>
      </c>
      <c r="F8">
        <f t="shared" si="6"/>
        <v>59.034999961923937</v>
      </c>
      <c r="G8">
        <f t="shared" si="7"/>
        <v>393.49999835165727</v>
      </c>
      <c r="H8">
        <f>Main!N8</f>
        <v>6.2829750000000004</v>
      </c>
    </row>
    <row r="9" spans="1:8" x14ac:dyDescent="0.25">
      <c r="A9">
        <f>Main!$K$2</f>
        <v>0.02</v>
      </c>
      <c r="B9">
        <f>Main!V9</f>
        <v>26.218701600732778</v>
      </c>
      <c r="C9">
        <f>Main!W9</f>
        <v>217.99995721848569</v>
      </c>
      <c r="D9">
        <f t="shared" si="4"/>
        <v>0.22023160767478539</v>
      </c>
      <c r="E9">
        <f t="shared" si="5"/>
        <v>5.0361499986296607</v>
      </c>
      <c r="F9">
        <f t="shared" si="6"/>
        <v>66.904999928957082</v>
      </c>
      <c r="G9">
        <f t="shared" si="7"/>
        <v>397.24999713000244</v>
      </c>
      <c r="H9">
        <f>Main!N9</f>
        <v>6.2828039999999996</v>
      </c>
    </row>
    <row r="10" spans="1:8" x14ac:dyDescent="0.25">
      <c r="A10">
        <f>Main!$K$2</f>
        <v>0.02</v>
      </c>
      <c r="B10">
        <f>Main!V10</f>
        <v>26.319424582480167</v>
      </c>
      <c r="C10">
        <f>Main!W10</f>
        <v>217.99989662645433</v>
      </c>
      <c r="D10">
        <f t="shared" si="4"/>
        <v>0.3209546076473786</v>
      </c>
      <c r="E10">
        <f t="shared" si="5"/>
        <v>6.3742499972088025</v>
      </c>
      <c r="F10">
        <f t="shared" si="6"/>
        <v>74.849999871557131</v>
      </c>
      <c r="G10">
        <f t="shared" si="7"/>
        <v>395.24999560695449</v>
      </c>
      <c r="H10">
        <f>Main!N10</f>
        <v>6.2825800000000003</v>
      </c>
    </row>
    <row r="11" spans="1:8" x14ac:dyDescent="0.25">
      <c r="A11">
        <f>Main!$K$2</f>
        <v>0.02</v>
      </c>
      <c r="B11">
        <f>Main!V11</f>
        <v>26.446909532549014</v>
      </c>
      <c r="C11">
        <f>Main!W11</f>
        <v>217.99978385806327</v>
      </c>
      <c r="D11">
        <f t="shared" si="4"/>
        <v>0.44843960759155466</v>
      </c>
      <c r="E11">
        <f t="shared" si="5"/>
        <v>7.8712499946399452</v>
      </c>
      <c r="F11">
        <f t="shared" si="6"/>
        <v>82.754999783696221</v>
      </c>
      <c r="G11">
        <f t="shared" si="7"/>
        <v>393.49999367604124</v>
      </c>
      <c r="H11">
        <f>Main!N11</f>
        <v>6.2822959999999997</v>
      </c>
    </row>
    <row r="12" spans="1:8" x14ac:dyDescent="0.25">
      <c r="A12">
        <f>Main!$K$2</f>
        <v>0.02</v>
      </c>
      <c r="B12">
        <f>Main!V12</f>
        <v>26.604334412120938</v>
      </c>
      <c r="C12">
        <f>Main!W12</f>
        <v>217.99958922247274</v>
      </c>
      <c r="D12">
        <f t="shared" si="4"/>
        <v>0.60586460748435356</v>
      </c>
      <c r="E12">
        <f t="shared" si="5"/>
        <v>9.5263499903138698</v>
      </c>
      <c r="F12">
        <f t="shared" si="6"/>
        <v>90.624999657217046</v>
      </c>
      <c r="G12">
        <f t="shared" si="7"/>
        <v>400.8749897281923</v>
      </c>
      <c r="H12">
        <f>Main!N12</f>
        <v>6.2819430000000001</v>
      </c>
    </row>
    <row r="13" spans="1:8" x14ac:dyDescent="0.25">
      <c r="A13">
        <f>Main!$K$2</f>
        <v>0.02</v>
      </c>
      <c r="B13">
        <f>Main!V13</f>
        <v>26.794861147826321</v>
      </c>
      <c r="C13">
        <f>Main!W13</f>
        <v>217.99927198969959</v>
      </c>
      <c r="D13">
        <f t="shared" si="4"/>
        <v>0.79639160729063097</v>
      </c>
      <c r="E13">
        <f t="shared" si="5"/>
        <v>11.338849983458211</v>
      </c>
      <c r="F13">
        <f t="shared" si="6"/>
        <v>98.642499451780893</v>
      </c>
      <c r="G13">
        <f t="shared" si="7"/>
        <v>399.24998538465741</v>
      </c>
      <c r="H13">
        <f>Main!N13</f>
        <v>6.2815130000000003</v>
      </c>
    </row>
    <row r="14" spans="1:8" x14ac:dyDescent="0.25">
      <c r="A14">
        <f>Main!$K$2</f>
        <v>0.02</v>
      </c>
      <c r="B14">
        <f>Main!V14</f>
        <v>27.021637609829021</v>
      </c>
      <c r="C14">
        <f>Main!W14</f>
        <v>217.99877816737728</v>
      </c>
      <c r="D14">
        <f t="shared" si="4"/>
        <v>1.0231686069597952</v>
      </c>
      <c r="E14">
        <f t="shared" si="5"/>
        <v>13.311699972493829</v>
      </c>
      <c r="F14">
        <f t="shared" si="6"/>
        <v>106.62749915947404</v>
      </c>
      <c r="G14">
        <f t="shared" si="7"/>
        <v>396.99998008202471</v>
      </c>
      <c r="H14">
        <f>Main!N14</f>
        <v>6.2809990000000004</v>
      </c>
    </row>
    <row r="15" spans="1:8" x14ac:dyDescent="0.25">
      <c r="A15">
        <f>Main!$K$2</f>
        <v>0.02</v>
      </c>
      <c r="B15">
        <f>Main!V15</f>
        <v>27.287870576898559</v>
      </c>
      <c r="C15">
        <f>Main!W15</f>
        <v>217.99803674413292</v>
      </c>
      <c r="D15">
        <f t="shared" si="4"/>
        <v>1.2894026064096717</v>
      </c>
      <c r="E15">
        <f t="shared" si="5"/>
        <v>15.444249955683309</v>
      </c>
      <c r="F15">
        <f t="shared" si="6"/>
        <v>114.56749876111454</v>
      </c>
      <c r="G15">
        <f t="shared" si="7"/>
        <v>402.87497056458858</v>
      </c>
      <c r="H15">
        <f>Main!N15</f>
        <v>6.2803899999999997</v>
      </c>
    </row>
    <row r="16" spans="1:8" x14ac:dyDescent="0.25">
      <c r="A16">
        <f>Main!$K$2</f>
        <v>0.02</v>
      </c>
      <c r="B16">
        <f>Main!V16</f>
        <v>27.596753687412249</v>
      </c>
      <c r="C16">
        <f>Main!W16</f>
        <v>217.99695659745913</v>
      </c>
      <c r="D16">
        <f t="shared" si="4"/>
        <v>1.5982876055233379</v>
      </c>
      <c r="E16">
        <f t="shared" si="5"/>
        <v>17.7355999309056</v>
      </c>
      <c r="F16">
        <f t="shared" si="6"/>
        <v>122.62499817240631</v>
      </c>
      <c r="G16">
        <f t="shared" si="7"/>
        <v>402.87495952882534</v>
      </c>
      <c r="H16">
        <f>Main!N16</f>
        <v>6.2796760000000003</v>
      </c>
    </row>
    <row r="17" spans="1:8" x14ac:dyDescent="0.25">
      <c r="A17">
        <f>Main!$K$2</f>
        <v>0.02</v>
      </c>
      <c r="B17">
        <f>Main!V17</f>
        <v>27.951462371837682</v>
      </c>
      <c r="C17">
        <f>Main!W17</f>
        <v>217.99542324921609</v>
      </c>
      <c r="D17">
        <f t="shared" si="4"/>
        <v>1.9529996041414499</v>
      </c>
      <c r="E17">
        <f t="shared" si="5"/>
        <v>20.188099894353726</v>
      </c>
      <c r="F17">
        <f t="shared" si="6"/>
        <v>130.68249736298282</v>
      </c>
      <c r="G17">
        <f t="shared" si="7"/>
        <v>208.99994829581345</v>
      </c>
      <c r="H17">
        <f>Main!N17</f>
        <v>6.278848</v>
      </c>
    </row>
    <row r="18" spans="1:8" x14ac:dyDescent="0.25">
      <c r="A18">
        <f>Main!$K$2</f>
        <v>0.02</v>
      </c>
      <c r="B18">
        <f>Main!V18</f>
        <v>28.355218753547437</v>
      </c>
      <c r="C18">
        <f>Main!W18</f>
        <v>217.9932936562013</v>
      </c>
      <c r="D18">
        <f t="shared" si="4"/>
        <v>2.3567616020285245</v>
      </c>
      <c r="E18">
        <f t="shared" si="5"/>
        <v>22.801749841613383</v>
      </c>
      <c r="F18">
        <f t="shared" si="6"/>
        <v>134.86249632889908</v>
      </c>
      <c r="G18">
        <f t="shared" si="7"/>
        <v>10.999940091132032</v>
      </c>
      <c r="H18">
        <f>Main!N18</f>
        <v>6.2778939999999999</v>
      </c>
    </row>
    <row r="19" spans="1:8" x14ac:dyDescent="0.25">
      <c r="A19">
        <f>Main!$K$2</f>
        <v>0.02</v>
      </c>
      <c r="B19">
        <f>Main!V19</f>
        <v>28.811244516471938</v>
      </c>
      <c r="C19">
        <f>Main!W19</f>
        <v>217.99039160779827</v>
      </c>
      <c r="D19">
        <f t="shared" si="4"/>
        <v>2.8127965988607921</v>
      </c>
      <c r="E19">
        <f t="shared" si="5"/>
        <v>25.498999768191364</v>
      </c>
      <c r="F19">
        <f t="shared" si="6"/>
        <v>135.08249513072172</v>
      </c>
      <c r="G19">
        <f t="shared" si="7"/>
        <v>13.37492469399848</v>
      </c>
      <c r="H19">
        <f>Main!N19</f>
        <v>6.276802</v>
      </c>
    </row>
    <row r="20" spans="1:8" x14ac:dyDescent="0.25">
      <c r="A20">
        <f>Main!$K$2</f>
        <v>0.02</v>
      </c>
      <c r="B20">
        <f>Main!V20</f>
        <v>29.321209780992397</v>
      </c>
      <c r="C20">
        <f>Main!W20</f>
        <v>217.98651544295831</v>
      </c>
      <c r="D20">
        <f t="shared" si="4"/>
        <v>3.3227765942246195</v>
      </c>
      <c r="E20">
        <f t="shared" si="5"/>
        <v>28.200649670805799</v>
      </c>
      <c r="F20">
        <f t="shared" si="6"/>
        <v>135.34999362460169</v>
      </c>
      <c r="G20">
        <f t="shared" si="7"/>
        <v>14.749905451188283</v>
      </c>
      <c r="H20">
        <f>Main!N20</f>
        <v>6.2755619999999999</v>
      </c>
    </row>
    <row r="21" spans="1:8" x14ac:dyDescent="0.25">
      <c r="A21">
        <f>Main!$K$2</f>
        <v>0.02</v>
      </c>
      <c r="B21">
        <f>Main!V21</f>
        <v>29.88519997533049</v>
      </c>
      <c r="C21">
        <f>Main!W21</f>
        <v>217.9814442071436</v>
      </c>
      <c r="D21">
        <f t="shared" si="4"/>
        <v>3.8867895876407355</v>
      </c>
      <c r="E21">
        <f t="shared" si="5"/>
        <v>30.907649543297833</v>
      </c>
      <c r="F21">
        <f t="shared" si="6"/>
        <v>135.64499173362546</v>
      </c>
      <c r="G21">
        <f t="shared" si="7"/>
        <v>15.249884741672304</v>
      </c>
      <c r="H21">
        <f>Main!N21</f>
        <v>6.2741680000000004</v>
      </c>
    </row>
    <row r="22" spans="1:8" x14ac:dyDescent="0.25">
      <c r="A22">
        <f>Main!$K$2</f>
        <v>0.02</v>
      </c>
      <c r="B22">
        <f>Main!V22</f>
        <v>30.503318611362367</v>
      </c>
      <c r="C22">
        <f>Main!W22</f>
        <v>217.97492715975847</v>
      </c>
      <c r="D22">
        <f t="shared" si="4"/>
        <v>4.5049425785066921</v>
      </c>
      <c r="E22">
        <f t="shared" si="5"/>
        <v>33.620549377970342</v>
      </c>
      <c r="F22">
        <f t="shared" si="6"/>
        <v>135.94998942845891</v>
      </c>
      <c r="G22">
        <f t="shared" si="7"/>
        <v>16.749856945547492</v>
      </c>
      <c r="H22">
        <f>Main!N22</f>
        <v>6.2726129999999998</v>
      </c>
    </row>
    <row r="23" spans="1:8" x14ac:dyDescent="0.25">
      <c r="A23">
        <f>Main!$K$2</f>
        <v>0.02</v>
      </c>
      <c r="B23">
        <f>Main!V23</f>
        <v>31.175679039295058</v>
      </c>
      <c r="C23">
        <f>Main!W23</f>
        <v>217.96668148569356</v>
      </c>
      <c r="D23">
        <f t="shared" si="4"/>
        <v>5.177353566066099</v>
      </c>
      <c r="E23">
        <f t="shared" si="5"/>
        <v>36.33954916653952</v>
      </c>
      <c r="F23">
        <f t="shared" si="6"/>
        <v>136.28498656736986</v>
      </c>
      <c r="G23">
        <f t="shared" si="7"/>
        <v>18.749822660026894</v>
      </c>
      <c r="H23">
        <f>Main!N23</f>
        <v>6.2708890000000004</v>
      </c>
    </row>
    <row r="24" spans="1:8" x14ac:dyDescent="0.25">
      <c r="A24">
        <f>Main!$K$2</f>
        <v>0.02</v>
      </c>
      <c r="B24">
        <f>Main!V24</f>
        <v>31.902397160856125</v>
      </c>
      <c r="C24">
        <f>Main!W24</f>
        <v>217.9563904582574</v>
      </c>
      <c r="D24">
        <f t="shared" si="4"/>
        <v>5.9041445493968894</v>
      </c>
      <c r="E24">
        <f t="shared" si="5"/>
        <v>39.065248897886917</v>
      </c>
      <c r="F24">
        <f t="shared" si="6"/>
        <v>136.65998302057039</v>
      </c>
      <c r="G24">
        <f t="shared" si="7"/>
        <v>20.749780486504221</v>
      </c>
      <c r="H24">
        <f>Main!N24</f>
        <v>6.2689880000000002</v>
      </c>
    </row>
    <row r="25" spans="1:8" x14ac:dyDescent="0.25">
      <c r="A25">
        <f>Main!$K$2</f>
        <v>0.02</v>
      </c>
      <c r="B25">
        <f>Main!V25</f>
        <v>32.683599079648538</v>
      </c>
      <c r="C25">
        <f>Main!W25</f>
        <v>217.94370067273533</v>
      </c>
      <c r="D25">
        <f t="shared" si="4"/>
        <v>6.6854495273546277</v>
      </c>
      <c r="E25">
        <f t="shared" si="5"/>
        <v>41.798448558298325</v>
      </c>
      <c r="F25">
        <f t="shared" si="6"/>
        <v>137.07497863030048</v>
      </c>
      <c r="G25">
        <f t="shared" si="7"/>
        <v>20.374735345552608</v>
      </c>
      <c r="H25">
        <f>Main!N25</f>
        <v>6.2669009999999998</v>
      </c>
    </row>
    <row r="26" spans="1:8" x14ac:dyDescent="0.25">
      <c r="A26">
        <f>Main!$K$2</f>
        <v>0.02</v>
      </c>
      <c r="B26">
        <f>Main!V26</f>
        <v>33.519424681788855</v>
      </c>
      <c r="C26">
        <f>Main!W26</f>
        <v>217.92821895580664</v>
      </c>
      <c r="D26">
        <f t="shared" si="4"/>
        <v>7.5214184985205943</v>
      </c>
      <c r="E26">
        <f t="shared" si="5"/>
        <v>44.539948130904335</v>
      </c>
      <c r="F26">
        <f t="shared" si="6"/>
        <v>137.48247333721153</v>
      </c>
      <c r="G26">
        <f t="shared" si="7"/>
        <v>20.874683338121258</v>
      </c>
      <c r="H26">
        <f>Main!N26</f>
        <v>6.2646179999999996</v>
      </c>
    </row>
    <row r="27" spans="1:8" x14ac:dyDescent="0.25">
      <c r="A27">
        <f>Main!$K$2</f>
        <v>0.02</v>
      </c>
      <c r="B27">
        <f>Main!V27</f>
        <v>34.410027134932015</v>
      </c>
      <c r="C27">
        <f>Main!W27</f>
        <v>217.90950900506255</v>
      </c>
      <c r="D27">
        <f t="shared" si="4"/>
        <v>8.4122174611386811</v>
      </c>
      <c r="E27">
        <f t="shared" si="5"/>
        <v>47.289597597648566</v>
      </c>
      <c r="F27">
        <f t="shared" si="6"/>
        <v>137.89996700397396</v>
      </c>
      <c r="G27">
        <f t="shared" si="7"/>
        <v>25.999596630956034</v>
      </c>
      <c r="H27">
        <f>Main!N27</f>
        <v>6.2621279999999997</v>
      </c>
    </row>
    <row r="28" spans="1:8" x14ac:dyDescent="0.25">
      <c r="A28">
        <f>Main!$K$2</f>
        <v>0.02</v>
      </c>
      <c r="B28">
        <f>Main!V28</f>
        <v>35.355553317976735</v>
      </c>
      <c r="C28">
        <f>Main!W28</f>
        <v>217.88708906849047</v>
      </c>
      <c r="D28">
        <f t="shared" si="4"/>
        <v>9.3580094130916525</v>
      </c>
      <c r="E28">
        <f t="shared" si="5"/>
        <v>50.047596937728045</v>
      </c>
      <c r="F28">
        <f t="shared" si="6"/>
        <v>138.41995893659308</v>
      </c>
      <c r="G28">
        <f t="shared" si="7"/>
        <v>22.749536501277134</v>
      </c>
      <c r="H28">
        <f>Main!N28</f>
        <v>6.2594200000000004</v>
      </c>
    </row>
    <row r="29" spans="1:8" x14ac:dyDescent="0.25">
      <c r="A29">
        <f>Main!$K$2</f>
        <v>0.02</v>
      </c>
      <c r="B29">
        <f>Main!V29</f>
        <v>36.356150157160037</v>
      </c>
      <c r="C29">
        <f>Main!W29</f>
        <v>217.86042919015432</v>
      </c>
      <c r="D29">
        <f t="shared" si="4"/>
        <v>10.358961351846213</v>
      </c>
      <c r="E29">
        <f t="shared" si="5"/>
        <v>52.815996116459907</v>
      </c>
      <c r="F29">
        <f t="shared" si="6"/>
        <v>138.87494966661862</v>
      </c>
      <c r="G29">
        <f t="shared" si="7"/>
        <v>-173.37550957829961</v>
      </c>
      <c r="H29">
        <f>Main!N29</f>
        <v>6.2564830000000002</v>
      </c>
    </row>
    <row r="30" spans="1:8" x14ac:dyDescent="0.25">
      <c r="A30">
        <f>Main!$K$2</f>
        <v>0.02</v>
      </c>
      <c r="B30">
        <f>Main!V30</f>
        <v>37.412000756243167</v>
      </c>
      <c r="C30">
        <f>Main!W30</f>
        <v>217.8289444204178</v>
      </c>
      <c r="D30">
        <f t="shared" si="4"/>
        <v>11.415281274175411</v>
      </c>
      <c r="E30">
        <f t="shared" si="5"/>
        <v>55.593495109792279</v>
      </c>
      <c r="F30">
        <f t="shared" si="6"/>
        <v>135.40743947505263</v>
      </c>
      <c r="G30">
        <f t="shared" si="7"/>
        <v>-372.87551575039043</v>
      </c>
      <c r="H30">
        <f>Main!N30</f>
        <v>6.2533029999999998</v>
      </c>
    </row>
    <row r="31" spans="1:8" x14ac:dyDescent="0.25">
      <c r="A31">
        <f>Main!$K$2</f>
        <v>0.02</v>
      </c>
      <c r="B31">
        <f>Main!V31</f>
        <v>38.523256548164539</v>
      </c>
      <c r="C31">
        <f>Main!W31</f>
        <v>217.79199520756822</v>
      </c>
      <c r="D31">
        <f t="shared" si="4"/>
        <v>12.527151176371257</v>
      </c>
      <c r="E31">
        <f t="shared" si="5"/>
        <v>58.301643899293332</v>
      </c>
      <c r="F31">
        <f t="shared" si="6"/>
        <v>127.94992916004482</v>
      </c>
      <c r="G31">
        <f t="shared" si="7"/>
        <v>-376.62553861615322</v>
      </c>
      <c r="H31">
        <f>Main!N31</f>
        <v>6.2498680000000002</v>
      </c>
    </row>
    <row r="32" spans="1:8" x14ac:dyDescent="0.25">
      <c r="A32">
        <f>Main!$K$2</f>
        <v>0.02</v>
      </c>
      <c r="B32">
        <f>Main!V32</f>
        <v>39.68849445736916</v>
      </c>
      <c r="C32">
        <f>Main!W32</f>
        <v>217.74894538182585</v>
      </c>
      <c r="D32">
        <f t="shared" si="4"/>
        <v>13.693184054357124</v>
      </c>
      <c r="E32">
        <f t="shared" si="5"/>
        <v>60.860642482494228</v>
      </c>
      <c r="F32">
        <f t="shared" si="6"/>
        <v>120.41741838772175</v>
      </c>
      <c r="G32">
        <f t="shared" si="7"/>
        <v>-374.50060198487733</v>
      </c>
      <c r="H32">
        <f>Main!N32</f>
        <v>6.2461690000000001</v>
      </c>
    </row>
    <row r="33" spans="1:8" x14ac:dyDescent="0.25">
      <c r="A33">
        <f>Main!$K$2</f>
        <v>0.02</v>
      </c>
      <c r="B33">
        <f>Main!V33</f>
        <v>40.904690045696853</v>
      </c>
      <c r="C33">
        <f>Main!W33</f>
        <v>217.69919186652243</v>
      </c>
      <c r="D33">
        <f t="shared" si="4"/>
        <v>14.910396904007008</v>
      </c>
      <c r="E33">
        <f t="shared" si="5"/>
        <v>63.268990850248663</v>
      </c>
      <c r="F33">
        <f t="shared" si="6"/>
        <v>112.92740634802421</v>
      </c>
      <c r="G33">
        <f t="shared" si="7"/>
        <v>-376.75063493344038</v>
      </c>
      <c r="H33">
        <f>Main!N33</f>
        <v>6.2422019999999998</v>
      </c>
    </row>
    <row r="34" spans="1:8" x14ac:dyDescent="0.25">
      <c r="A34">
        <f>Main!$K$2</f>
        <v>0.02</v>
      </c>
      <c r="B34">
        <f>Main!V34</f>
        <v>42.168782389909438</v>
      </c>
      <c r="C34">
        <f>Main!W34</f>
        <v>217.64212500585296</v>
      </c>
      <c r="D34">
        <f t="shared" si="4"/>
        <v>16.175776721011982</v>
      </c>
      <c r="E34">
        <f t="shared" si="5"/>
        <v>65.527538977209147</v>
      </c>
      <c r="F34">
        <f t="shared" si="6"/>
        <v>105.3923936493554</v>
      </c>
      <c r="G34">
        <f t="shared" si="7"/>
        <v>-384.0005923510148</v>
      </c>
      <c r="H34">
        <f>Main!N34</f>
        <v>6.237965</v>
      </c>
    </row>
    <row r="35" spans="1:8" x14ac:dyDescent="0.25">
      <c r="A35">
        <f>Main!$K$2</f>
        <v>0.02</v>
      </c>
      <c r="B35">
        <f>Main!V35</f>
        <v>43.477720513971285</v>
      </c>
      <c r="C35">
        <f>Main!W35</f>
        <v>217.57713013573755</v>
      </c>
      <c r="D35">
        <f t="shared" si="4"/>
        <v>17.486327500556165</v>
      </c>
      <c r="E35">
        <f t="shared" si="5"/>
        <v>67.635386850196255</v>
      </c>
      <c r="F35">
        <f t="shared" si="6"/>
        <v>97.712381802335102</v>
      </c>
      <c r="G35">
        <f t="shared" si="7"/>
        <v>-378.50068739953002</v>
      </c>
      <c r="H35">
        <f>Main!N35</f>
        <v>6.2334550000000002</v>
      </c>
    </row>
    <row r="36" spans="1:8" x14ac:dyDescent="0.25">
      <c r="A36">
        <f>Main!$K$2</f>
        <v>0.02</v>
      </c>
      <c r="B36">
        <f>Main!V36</f>
        <v>44.828428025941214</v>
      </c>
      <c r="C36">
        <f>Main!W36</f>
        <v>217.50359484585385</v>
      </c>
      <c r="D36">
        <f t="shared" si="4"/>
        <v>18.83903523756009</v>
      </c>
      <c r="E36">
        <f t="shared" si="5"/>
        <v>69.589634486242957</v>
      </c>
      <c r="F36">
        <f t="shared" si="6"/>
        <v>90.142368054344502</v>
      </c>
      <c r="G36">
        <f t="shared" si="7"/>
        <v>-384.00064512568832</v>
      </c>
      <c r="H36">
        <f>Main!N36</f>
        <v>6.2286700000000002</v>
      </c>
    </row>
    <row r="37" spans="1:8" x14ac:dyDescent="0.25">
      <c r="A37">
        <f>Main!$K$2</f>
        <v>0.02</v>
      </c>
      <c r="B37">
        <f>Main!V37</f>
        <v>46.217763135186303</v>
      </c>
      <c r="C37">
        <f>Main!W37</f>
        <v>217.42092172210437</v>
      </c>
      <c r="D37">
        <f t="shared" si="4"/>
        <v>20.230827927284949</v>
      </c>
      <c r="E37">
        <f t="shared" si="5"/>
        <v>71.392481847329847</v>
      </c>
      <c r="F37">
        <f t="shared" si="6"/>
        <v>82.462355151830735</v>
      </c>
      <c r="G37">
        <f t="shared" si="7"/>
        <v>-387.8756010901796</v>
      </c>
      <c r="H37">
        <f>Main!N37</f>
        <v>6.2236120000000001</v>
      </c>
    </row>
    <row r="38" spans="1:8" x14ac:dyDescent="0.25">
      <c r="A38">
        <f>Main!$K$2</f>
        <v>0.02</v>
      </c>
      <c r="B38">
        <f>Main!V38</f>
        <v>47.642620091420511</v>
      </c>
      <c r="C38">
        <f>Main!W38</f>
        <v>217.32852453600265</v>
      </c>
      <c r="D38">
        <f t="shared" si="4"/>
        <v>21.658677564231546</v>
      </c>
      <c r="E38">
        <f t="shared" si="5"/>
        <v>73.041728950366462</v>
      </c>
      <c r="F38">
        <f t="shared" si="6"/>
        <v>74.704843130027143</v>
      </c>
      <c r="G38">
        <f t="shared" si="7"/>
        <v>-389.75056634530603</v>
      </c>
      <c r="H38">
        <f>Main!N38</f>
        <v>6.21828</v>
      </c>
    </row>
    <row r="39" spans="1:8" x14ac:dyDescent="0.25">
      <c r="A39">
        <f>Main!$K$2</f>
        <v>0.02</v>
      </c>
      <c r="B39">
        <f>Main!V39</f>
        <v>49.099841434235834</v>
      </c>
      <c r="C39">
        <f>Main!W39</f>
        <v>217.22584237948541</v>
      </c>
      <c r="D39">
        <f t="shared" si="4"/>
        <v>23.119512143238875</v>
      </c>
      <c r="E39">
        <f t="shared" si="5"/>
        <v>74.535825812967005</v>
      </c>
      <c r="F39">
        <f t="shared" si="6"/>
        <v>66.909831803121023</v>
      </c>
      <c r="G39">
        <f t="shared" si="7"/>
        <v>-389.62555357532125</v>
      </c>
      <c r="H39">
        <f>Main!N39</f>
        <v>6.2126760000000001</v>
      </c>
    </row>
    <row r="40" spans="1:8" x14ac:dyDescent="0.25">
      <c r="A40">
        <f>Main!$K$2</f>
        <v>0.02</v>
      </c>
      <c r="B40">
        <f>Main!V40</f>
        <v>50.586231277360298</v>
      </c>
      <c r="C40">
        <f>Main!W40</f>
        <v>217.11234803555226</v>
      </c>
      <c r="D40">
        <f t="shared" si="4"/>
        <v>24.610228659498215</v>
      </c>
      <c r="E40">
        <f t="shared" si="5"/>
        <v>75.874022449029425</v>
      </c>
      <c r="F40">
        <f t="shared" si="6"/>
        <v>59.117320731614598</v>
      </c>
      <c r="G40">
        <f t="shared" si="7"/>
        <v>-397.12538261539976</v>
      </c>
      <c r="H40">
        <f>Main!N40</f>
        <v>6.206804</v>
      </c>
    </row>
    <row r="41" spans="1:8" x14ac:dyDescent="0.25">
      <c r="A41">
        <f>Main!$K$2</f>
        <v>0.02</v>
      </c>
      <c r="B41">
        <f>Main!V41</f>
        <v>52.098571680253571</v>
      </c>
      <c r="C41">
        <f>Main!W41</f>
        <v>216.98755453085371</v>
      </c>
      <c r="D41">
        <f t="shared" si="4"/>
        <v>26.127709108478804</v>
      </c>
      <c r="E41">
        <f t="shared" si="5"/>
        <v>77.056368863661717</v>
      </c>
      <c r="F41">
        <f t="shared" si="6"/>
        <v>51.174813079306603</v>
      </c>
      <c r="G41">
        <f t="shared" si="7"/>
        <v>-397.37532991601654</v>
      </c>
      <c r="H41">
        <f>Main!N41</f>
        <v>6.2006690000000004</v>
      </c>
    </row>
    <row r="42" spans="1:8" x14ac:dyDescent="0.25">
      <c r="A42">
        <f>Main!$K$2</f>
        <v>0.02</v>
      </c>
      <c r="B42">
        <f>Main!V42</f>
        <v>53.633639053999694</v>
      </c>
      <c r="C42">
        <f>Main!W42</f>
        <v>216.8510197329403</v>
      </c>
      <c r="D42">
        <f t="shared" si="4"/>
        <v>27.668836485752038</v>
      </c>
      <c r="E42">
        <f t="shared" si="5"/>
        <v>78.079865125247849</v>
      </c>
      <c r="F42">
        <f t="shared" si="6"/>
        <v>43.227306480986272</v>
      </c>
      <c r="G42">
        <f t="shared" si="7"/>
        <v>-399.00023002648055</v>
      </c>
      <c r="H42">
        <f>Main!N42</f>
        <v>6.1942760000000003</v>
      </c>
    </row>
    <row r="43" spans="1:8" x14ac:dyDescent="0.25">
      <c r="A43">
        <f>Main!$K$2</f>
        <v>0.02</v>
      </c>
      <c r="B43">
        <f>Main!V43</f>
        <v>55.188144578222108</v>
      </c>
      <c r="C43">
        <f>Main!W43</f>
        <v>216.70236338308345</v>
      </c>
      <c r="D43">
        <f t="shared" si="4"/>
        <v>29.230433788256995</v>
      </c>
      <c r="E43">
        <f t="shared" si="5"/>
        <v>78.944411254867575</v>
      </c>
      <c r="F43">
        <f t="shared" si="6"/>
        <v>35.247301880456661</v>
      </c>
      <c r="G43">
        <f t="shared" si="7"/>
        <v>-406.49997600095134</v>
      </c>
      <c r="H43">
        <f>Main!N43</f>
        <v>6.1876340000000001</v>
      </c>
    </row>
    <row r="44" spans="1:8" x14ac:dyDescent="0.25">
      <c r="A44">
        <f>Main!$K$2</f>
        <v>0.02</v>
      </c>
      <c r="B44">
        <f>Main!V44</f>
        <v>56.758793018444678</v>
      </c>
      <c r="C44">
        <f>Main!W44</f>
        <v>216.54126867622605</v>
      </c>
      <c r="D44">
        <f t="shared" si="4"/>
        <v>30.809322013354347</v>
      </c>
      <c r="E44">
        <f t="shared" si="5"/>
        <v>79.649357292476708</v>
      </c>
      <c r="F44">
        <f t="shared" si="6"/>
        <v>27.117302360437634</v>
      </c>
      <c r="G44">
        <f t="shared" si="7"/>
        <v>-404.74992663863674</v>
      </c>
      <c r="H44">
        <f>Main!N44</f>
        <v>6.180752</v>
      </c>
    </row>
    <row r="45" spans="1:8" x14ac:dyDescent="0.25">
      <c r="A45">
        <f>Main!$K$2</f>
        <v>0.02</v>
      </c>
      <c r="B45">
        <f>Main!V45</f>
        <v>58.342273085269937</v>
      </c>
      <c r="C45">
        <f>Main!W45</f>
        <v>216.3674902977985</v>
      </c>
      <c r="D45">
        <f t="shared" si="4"/>
        <v>32.402309159203881</v>
      </c>
      <c r="E45">
        <f t="shared" si="5"/>
        <v>80.191703339685461</v>
      </c>
      <c r="F45">
        <f t="shared" si="6"/>
        <v>19.022303827664899</v>
      </c>
      <c r="G45">
        <f t="shared" si="7"/>
        <v>-412.2496286953492</v>
      </c>
      <c r="H45">
        <f>Main!N45</f>
        <v>6.1736399999999998</v>
      </c>
    </row>
    <row r="46" spans="1:8" x14ac:dyDescent="0.25">
      <c r="A46">
        <f>Main!$K$2</f>
        <v>0.02</v>
      </c>
      <c r="B46">
        <f>Main!V46</f>
        <v>59.935212846182125</v>
      </c>
      <c r="C46">
        <f>Main!W46</f>
        <v>216.18087134936866</v>
      </c>
      <c r="D46">
        <f t="shared" si="4"/>
        <v>34.00614322599759</v>
      </c>
      <c r="E46">
        <f t="shared" si="5"/>
        <v>80.572149416238759</v>
      </c>
      <c r="F46">
        <f t="shared" si="6"/>
        <v>10.777311253757915</v>
      </c>
      <c r="G46">
        <f t="shared" si="7"/>
        <v>-208.87489991672226</v>
      </c>
      <c r="H46">
        <f>Main!N46</f>
        <v>6.1663119999999996</v>
      </c>
    </row>
    <row r="47" spans="1:8" x14ac:dyDescent="0.25">
      <c r="A47">
        <f>Main!$K$2</f>
        <v>0.02</v>
      </c>
      <c r="B47">
        <f>Main!V47</f>
        <v>61.534254940256005</v>
      </c>
      <c r="C47">
        <f>Main!W47</f>
        <v>215.9813396827067</v>
      </c>
      <c r="D47">
        <f t="shared" si="4"/>
        <v>35.617586214322365</v>
      </c>
      <c r="E47">
        <f t="shared" si="5"/>
        <v>80.787695641313917</v>
      </c>
      <c r="F47">
        <f t="shared" si="6"/>
        <v>6.5998132554234701</v>
      </c>
      <c r="G47">
        <f t="shared" si="7"/>
        <v>-4.1052405919117518E-4</v>
      </c>
      <c r="H47">
        <f>Main!N47</f>
        <v>6.1587810000000003</v>
      </c>
    </row>
    <row r="48" spans="1:8" x14ac:dyDescent="0.25">
      <c r="A48">
        <f>Main!$K$2</f>
        <v>0.02</v>
      </c>
      <c r="B48">
        <f>Main!V48</f>
        <v>63.135985800806303</v>
      </c>
      <c r="C48">
        <f>Main!W48</f>
        <v>215.76892744865643</v>
      </c>
      <c r="D48">
        <f t="shared" si="4"/>
        <v>37.233340127148644</v>
      </c>
      <c r="E48">
        <f t="shared" si="5"/>
        <v>80.919691906422386</v>
      </c>
      <c r="F48">
        <f t="shared" si="6"/>
        <v>6.5998050449422863</v>
      </c>
      <c r="G48">
        <f t="shared" si="7"/>
        <v>-9.3751240406447778</v>
      </c>
      <c r="H48">
        <f>Main!N48</f>
        <v>6.1510639999999999</v>
      </c>
    </row>
    <row r="49" spans="1:8" x14ac:dyDescent="0.25">
      <c r="A49">
        <f>Main!$K$2</f>
        <v>0.02</v>
      </c>
      <c r="B49">
        <f>Main!V49</f>
        <v>64.738607176693122</v>
      </c>
      <c r="C49">
        <f>Main!W49</f>
        <v>215.54353148409015</v>
      </c>
      <c r="D49">
        <f t="shared" si="4"/>
        <v>38.851733965277091</v>
      </c>
      <c r="E49">
        <f t="shared" si="5"/>
        <v>81.051688007321232</v>
      </c>
      <c r="F49">
        <f t="shared" si="6"/>
        <v>6.4123025641293907</v>
      </c>
      <c r="G49">
        <f t="shared" si="7"/>
        <v>-3.7502802250344303</v>
      </c>
      <c r="H49">
        <f>Main!N49</f>
        <v>6.1431709999999997</v>
      </c>
    </row>
    <row r="50" spans="1:8" x14ac:dyDescent="0.25">
      <c r="A50">
        <f>Main!$K$2</f>
        <v>0.02</v>
      </c>
      <c r="B50">
        <f>Main!V50</f>
        <v>66.341971812738166</v>
      </c>
      <c r="C50">
        <f>Main!W50</f>
        <v>215.30484278428514</v>
      </c>
      <c r="D50">
        <f t="shared" si="4"/>
        <v>40.472767725423516</v>
      </c>
      <c r="E50">
        <f t="shared" si="5"/>
        <v>81.17993405860382</v>
      </c>
      <c r="F50">
        <f t="shared" si="6"/>
        <v>6.3372969596287021</v>
      </c>
      <c r="G50">
        <f t="shared" si="7"/>
        <v>-3.7502733158945034</v>
      </c>
      <c r="H50">
        <f>Main!N50</f>
        <v>6.1351019999999998</v>
      </c>
    </row>
    <row r="51" spans="1:8" x14ac:dyDescent="0.25">
      <c r="A51">
        <f>Main!$K$2</f>
        <v>0.02</v>
      </c>
      <c r="B51">
        <f>Main!V51</f>
        <v>67.945852139627647</v>
      </c>
      <c r="C51">
        <f>Main!W51</f>
        <v>215.05257194863307</v>
      </c>
      <c r="D51">
        <f t="shared" si="4"/>
        <v>42.096366406595592</v>
      </c>
      <c r="E51">
        <f t="shared" si="5"/>
        <v>81.306679997796394</v>
      </c>
      <c r="F51">
        <f t="shared" si="6"/>
        <v>6.262291493310812</v>
      </c>
      <c r="G51">
        <f t="shared" si="7"/>
        <v>-9.3750681591231455</v>
      </c>
      <c r="H51">
        <f>Main!N51</f>
        <v>6.126862</v>
      </c>
    </row>
    <row r="52" spans="1:8" x14ac:dyDescent="0.25">
      <c r="A52">
        <f>Main!$K$2</f>
        <v>0.02</v>
      </c>
      <c r="B52">
        <f>Main!V52</f>
        <v>69.550058495973843</v>
      </c>
      <c r="C52">
        <f>Main!W52</f>
        <v>214.78642828223448</v>
      </c>
      <c r="D52">
        <f t="shared" si="4"/>
        <v>43.72250000655152</v>
      </c>
      <c r="E52">
        <f t="shared" si="5"/>
        <v>81.43192582766261</v>
      </c>
      <c r="F52">
        <f t="shared" si="6"/>
        <v>6.0747901301283491</v>
      </c>
      <c r="G52">
        <f t="shared" si="7"/>
        <v>-1.8753125585746488</v>
      </c>
      <c r="H52">
        <f>Main!N52</f>
        <v>6.1184529999999997</v>
      </c>
    </row>
    <row r="53" spans="1:8" x14ac:dyDescent="0.25">
      <c r="A53">
        <f>Main!$K$2</f>
        <v>0.02</v>
      </c>
      <c r="B53">
        <f>Main!V53</f>
        <v>71.154394493393639</v>
      </c>
      <c r="C53">
        <f>Main!W53</f>
        <v>214.50612590089639</v>
      </c>
      <c r="D53">
        <f t="shared" si="4"/>
        <v>45.351138523104773</v>
      </c>
      <c r="E53">
        <f t="shared" si="5"/>
        <v>81.553421630265177</v>
      </c>
      <c r="F53">
        <f t="shared" si="6"/>
        <v>6.0372838789568561</v>
      </c>
      <c r="G53">
        <f t="shared" si="7"/>
        <v>19400.711542767902</v>
      </c>
      <c r="H53">
        <f>Main!N53</f>
        <v>6.109877</v>
      </c>
    </row>
    <row r="54" spans="1:8" x14ac:dyDescent="0.25">
      <c r="A54">
        <f>Main!$K$2</f>
        <v>0.02</v>
      </c>
      <c r="B54">
        <f>Main!V54</f>
        <v>72.758613556354504</v>
      </c>
      <c r="C54">
        <f>Main!W54</f>
        <v>214.21139648282877</v>
      </c>
      <c r="D54">
        <f t="shared" si="4"/>
        <v>46.982206955710076</v>
      </c>
      <c r="E54">
        <f t="shared" si="5"/>
        <v>81.674167307844314</v>
      </c>
      <c r="F54">
        <f t="shared" si="6"/>
        <v>394.05151473431488</v>
      </c>
      <c r="G54">
        <f t="shared" si="7"/>
        <v>-11300.464315967318</v>
      </c>
      <c r="H54">
        <f>Main!N54</f>
        <v>6.1011389999999999</v>
      </c>
    </row>
    <row r="55" spans="1:8" x14ac:dyDescent="0.25">
      <c r="A55">
        <f>Main!$K$2</f>
        <v>0.02</v>
      </c>
      <c r="B55">
        <f>Main!V55</f>
        <v>74.362521394045118</v>
      </c>
      <c r="C55">
        <f>Main!W55</f>
        <v>213.90196556910729</v>
      </c>
      <c r="D55">
        <f t="shared" si="4"/>
        <v>48.615690301866962</v>
      </c>
      <c r="E55">
        <f t="shared" si="5"/>
        <v>89.555197602530612</v>
      </c>
      <c r="F55">
        <f t="shared" si="6"/>
        <v>168.04222841496852</v>
      </c>
      <c r="G55">
        <f t="shared" si="7"/>
        <v>-10167.964592592503</v>
      </c>
      <c r="H55">
        <f>Main!N55</f>
        <v>6.0922400000000003</v>
      </c>
    </row>
    <row r="56" spans="1:8" x14ac:dyDescent="0.25">
      <c r="A56">
        <f>Main!$K$2</f>
        <v>0.02</v>
      </c>
      <c r="B56">
        <f>Main!V56</f>
        <v>76.114732089946003</v>
      </c>
      <c r="C56">
        <f>Main!W56</f>
        <v>213.53073646973351</v>
      </c>
      <c r="D56">
        <f t="shared" si="4"/>
        <v>50.406794253917575</v>
      </c>
      <c r="E56">
        <f t="shared" si="5"/>
        <v>92.916042170829982</v>
      </c>
      <c r="F56">
        <f t="shared" si="6"/>
        <v>-35.317063436881568</v>
      </c>
      <c r="G56">
        <f t="shared" si="7"/>
        <v>-110.63163931801512</v>
      </c>
      <c r="H56">
        <f>Main!N56</f>
        <v>6.072832</v>
      </c>
    </row>
    <row r="57" spans="1:8" x14ac:dyDescent="0.25">
      <c r="A57">
        <f>Main!$K$2</f>
        <v>0.02</v>
      </c>
      <c r="B57">
        <f>Main!V57</f>
        <v>77.923291352149079</v>
      </c>
      <c r="C57">
        <f>Main!W57</f>
        <v>213.10357168633482</v>
      </c>
      <c r="D57">
        <f t="shared" si="4"/>
        <v>52.265115097334174</v>
      </c>
      <c r="E57">
        <f t="shared" si="5"/>
        <v>92.209700902092351</v>
      </c>
      <c r="F57">
        <f t="shared" si="6"/>
        <v>-37.529696223241871</v>
      </c>
      <c r="G57">
        <f t="shared" si="7"/>
        <v>-97.513570515239678</v>
      </c>
      <c r="H57">
        <f>Main!N57</f>
        <v>6.0489420000000003</v>
      </c>
    </row>
    <row r="58" spans="1:8" x14ac:dyDescent="0.25">
      <c r="A58">
        <f>Main!$K$2</f>
        <v>0.02</v>
      </c>
      <c r="B58">
        <f>Main!V58</f>
        <v>79.707827058826496</v>
      </c>
      <c r="C58">
        <f>Main!W58</f>
        <v>212.63829339565851</v>
      </c>
      <c r="D58">
        <f t="shared" si="4"/>
        <v>54.109309115376021</v>
      </c>
      <c r="E58">
        <f t="shared" si="5"/>
        <v>91.459106977627513</v>
      </c>
      <c r="F58">
        <f t="shared" si="6"/>
        <v>-39.479967633546664</v>
      </c>
      <c r="G58">
        <f t="shared" si="7"/>
        <v>-73.14632851596059</v>
      </c>
      <c r="H58">
        <f>Main!N58</f>
        <v>6.0259939999999999</v>
      </c>
    </row>
    <row r="59" spans="1:8" x14ac:dyDescent="0.25">
      <c r="A59">
        <f>Main!$K$2</f>
        <v>0.02</v>
      </c>
      <c r="B59">
        <f>Main!V59</f>
        <v>81.467199321331094</v>
      </c>
      <c r="C59">
        <f>Main!W59</f>
        <v>212.13777712061093</v>
      </c>
      <c r="D59">
        <f t="shared" si="4"/>
        <v>55.938491254928572</v>
      </c>
      <c r="E59">
        <f t="shared" si="5"/>
        <v>90.66950762495658</v>
      </c>
      <c r="F59">
        <f t="shared" si="6"/>
        <v>-40.942894203865876</v>
      </c>
      <c r="G59">
        <f t="shared" si="7"/>
        <v>-60.02555525697062</v>
      </c>
      <c r="H59">
        <f>Main!N59</f>
        <v>6.0040469999999999</v>
      </c>
    </row>
    <row r="60" spans="1:8" x14ac:dyDescent="0.25">
      <c r="A60">
        <f>Main!$K$2</f>
        <v>0.02</v>
      </c>
      <c r="B60">
        <f>Main!V60</f>
        <v>83.200544621709227</v>
      </c>
      <c r="C60">
        <f>Main!W60</f>
        <v>211.60495640513727</v>
      </c>
      <c r="D60">
        <f t="shared" si="4"/>
        <v>57.751881407427703</v>
      </c>
      <c r="E60">
        <f t="shared" si="5"/>
        <v>89.850649740879263</v>
      </c>
      <c r="F60">
        <f t="shared" si="6"/>
        <v>-42.143405309005288</v>
      </c>
      <c r="G60">
        <f t="shared" si="7"/>
        <v>-41.27941266141022</v>
      </c>
      <c r="H60">
        <f>Main!N60</f>
        <v>5.9831529999999997</v>
      </c>
    </row>
    <row r="61" spans="1:8" x14ac:dyDescent="0.25">
      <c r="A61">
        <f>Main!$K$2</f>
        <v>0.02</v>
      </c>
      <c r="B61">
        <f>Main!V61</f>
        <v>84.907348972475333</v>
      </c>
      <c r="C61">
        <f>Main!W61</f>
        <v>211.04275127197931</v>
      </c>
      <c r="D61">
        <f t="shared" si="4"/>
        <v>59.548894402245288</v>
      </c>
      <c r="E61">
        <f t="shared" si="5"/>
        <v>89.007781634699157</v>
      </c>
      <c r="F61">
        <f t="shared" si="6"/>
        <v>-42.968993562233493</v>
      </c>
      <c r="G61">
        <f t="shared" si="7"/>
        <v>-31.905737779780452</v>
      </c>
      <c r="H61">
        <f>Main!N61</f>
        <v>5.9633510000000003</v>
      </c>
    </row>
    <row r="62" spans="1:8" x14ac:dyDescent="0.25">
      <c r="A62">
        <f>Main!$K$2</f>
        <v>0.02</v>
      </c>
      <c r="B62">
        <f>Main!V62</f>
        <v>86.587347387083099</v>
      </c>
      <c r="C62">
        <f>Main!W62</f>
        <v>210.45405830996302</v>
      </c>
      <c r="D62">
        <f t="shared" si="4"/>
        <v>61.329050034939272</v>
      </c>
      <c r="E62">
        <f t="shared" si="5"/>
        <v>88.148401763454487</v>
      </c>
      <c r="F62">
        <f t="shared" si="6"/>
        <v>-43.607108317829102</v>
      </c>
      <c r="G62">
        <f t="shared" si="7"/>
        <v>-18.781651344390582</v>
      </c>
      <c r="H62">
        <f>Main!N62</f>
        <v>5.9446729999999999</v>
      </c>
    </row>
    <row r="63" spans="1:8" x14ac:dyDescent="0.25">
      <c r="A63">
        <f>Main!$K$2</f>
        <v>0.02</v>
      </c>
      <c r="B63">
        <f>Main!V63</f>
        <v>88.240549449984854</v>
      </c>
      <c r="C63">
        <f>Main!W63</f>
        <v>209.84170283101477</v>
      </c>
      <c r="D63">
        <f t="shared" si="4"/>
        <v>63.092018070208361</v>
      </c>
      <c r="E63">
        <f t="shared" si="5"/>
        <v>87.276259597097905</v>
      </c>
      <c r="F63">
        <f t="shared" si="6"/>
        <v>-43.982741344716914</v>
      </c>
      <c r="G63">
        <f t="shared" si="7"/>
        <v>-5.6566137436320219</v>
      </c>
      <c r="H63">
        <f>Main!N63</f>
        <v>5.9271409999999998</v>
      </c>
    </row>
    <row r="64" spans="1:8" x14ac:dyDescent="0.25">
      <c r="A64">
        <f>Main!$K$2</f>
        <v>0.02</v>
      </c>
      <c r="B64">
        <f>Main!V64</f>
        <v>89.867152401707088</v>
      </c>
      <c r="C64">
        <f>Main!W64</f>
        <v>209.20844061585225</v>
      </c>
      <c r="D64">
        <f t="shared" si="4"/>
        <v>64.837543262150319</v>
      </c>
      <c r="E64">
        <f t="shared" si="5"/>
        <v>86.396604770203567</v>
      </c>
      <c r="F64">
        <f t="shared" si="6"/>
        <v>-44.095873619589554</v>
      </c>
      <c r="G64">
        <f t="shared" si="7"/>
        <v>-1.9050394417519101</v>
      </c>
      <c r="H64">
        <f>Main!N64</f>
        <v>5.9107719999999997</v>
      </c>
    </row>
    <row r="65" spans="1:8" x14ac:dyDescent="0.25">
      <c r="A65">
        <f>Main!$K$2</f>
        <v>0.02</v>
      </c>
      <c r="B65">
        <f>Main!V65</f>
        <v>91.467552220431685</v>
      </c>
      <c r="C65">
        <f>Main!W65</f>
        <v>208.55692718809055</v>
      </c>
      <c r="D65">
        <f t="shared" si="4"/>
        <v>66.565475357554391</v>
      </c>
      <c r="E65">
        <f t="shared" si="5"/>
        <v>85.514687297811776</v>
      </c>
      <c r="F65">
        <f t="shared" si="6"/>
        <v>-44.133974408424592</v>
      </c>
      <c r="G65">
        <f t="shared" si="7"/>
        <v>3.7216919821503325</v>
      </c>
      <c r="H65">
        <f>Main!N65</f>
        <v>5.8955760000000001</v>
      </c>
    </row>
    <row r="66" spans="1:8" x14ac:dyDescent="0.25">
      <c r="A66">
        <f>Main!$K$2</f>
        <v>0.02</v>
      </c>
      <c r="B66">
        <f>Main!V66</f>
        <v>93.042325535956991</v>
      </c>
      <c r="C66">
        <f>Main!W66</f>
        <v>207.88969881476817</v>
      </c>
      <c r="D66">
        <f t="shared" si="4"/>
        <v>68.275769103510626</v>
      </c>
      <c r="E66">
        <f t="shared" si="5"/>
        <v>84.632007809643284</v>
      </c>
      <c r="F66">
        <f t="shared" si="6"/>
        <v>-44.059540568781586</v>
      </c>
      <c r="G66">
        <f t="shared" si="7"/>
        <v>11.223651666725232</v>
      </c>
      <c r="H66">
        <f>Main!N66</f>
        <v>5.8815559999999998</v>
      </c>
    </row>
    <row r="67" spans="1:8" x14ac:dyDescent="0.25">
      <c r="A67">
        <f>Main!$K$2</f>
        <v>0.02</v>
      </c>
      <c r="B67">
        <f>Main!V67</f>
        <v>94.592145834830433</v>
      </c>
      <c r="C67">
        <f>Main!W67</f>
        <v>207.20919331180994</v>
      </c>
      <c r="D67">
        <f t="shared" si="4"/>
        <v>69.968409259703492</v>
      </c>
      <c r="E67">
        <f t="shared" si="5"/>
        <v>83.750816998267652</v>
      </c>
      <c r="F67">
        <f t="shared" si="6"/>
        <v>-43.835067535447081</v>
      </c>
      <c r="G67">
        <f t="shared" si="7"/>
        <v>13.101177099628103</v>
      </c>
      <c r="H67">
        <f>Main!N67</f>
        <v>5.8687129999999996</v>
      </c>
    </row>
    <row r="68" spans="1:8" x14ac:dyDescent="0.25">
      <c r="A68">
        <f>Main!$K$2</f>
        <v>0.02</v>
      </c>
      <c r="B68">
        <f>Main!V68</f>
        <v>96.117783839866831</v>
      </c>
      <c r="C68">
        <f>Main!W68</f>
        <v>206.51773946899795</v>
      </c>
      <c r="D68">
        <f t="shared" si="4"/>
        <v>71.643425599668845</v>
      </c>
      <c r="E68">
        <f t="shared" si="5"/>
        <v>82.87411564755871</v>
      </c>
      <c r="F68">
        <f t="shared" si="6"/>
        <v>-43.573043993454519</v>
      </c>
      <c r="G68">
        <f t="shared" si="7"/>
        <v>14.978761935680041</v>
      </c>
      <c r="H68">
        <f>Main!N68</f>
        <v>5.8570450000000003</v>
      </c>
    </row>
    <row r="69" spans="1:8" x14ac:dyDescent="0.25">
      <c r="A69">
        <f>Main!$K$2</f>
        <v>0.02</v>
      </c>
      <c r="B69">
        <f>Main!V69</f>
        <v>97.6201072780771</v>
      </c>
      <c r="C69">
        <f>Main!W69</f>
        <v>205.81754527825507</v>
      </c>
      <c r="D69">
        <f t="shared" ref="D69:D131" si="8">D68 + SQRT( (B69-B68)^2  + (C69-C68)^2 )</f>
        <v>73.300907912620019</v>
      </c>
      <c r="E69">
        <f t="shared" ref="E69:E131" si="9" xml:space="preserve"> IF(ISBLANK(D70), 0, (D70-D69)/$A69 )</f>
        <v>82.00265476768962</v>
      </c>
      <c r="F69">
        <f t="shared" ref="F69:F131" si="10" xml:space="preserve"> (E70-E69)/$A69</f>
        <v>-43.273468754740918</v>
      </c>
      <c r="G69">
        <f t="shared" ref="G69:G131" si="11" xml:space="preserve"> (F70-F69)/$A69</f>
        <v>14.981429712790373</v>
      </c>
      <c r="H69">
        <f>Main!N69</f>
        <v>5.846546</v>
      </c>
    </row>
    <row r="70" spans="1:8" x14ac:dyDescent="0.25">
      <c r="A70">
        <f>Main!$K$2</f>
        <v>0.02</v>
      </c>
      <c r="B70">
        <f>Main!V70</f>
        <v>99.100028651003541</v>
      </c>
      <c r="C70">
        <f>Main!W70</f>
        <v>205.11071652563172</v>
      </c>
      <c r="D70">
        <f t="shared" si="8"/>
        <v>74.940961007973812</v>
      </c>
      <c r="E70">
        <f t="shared" si="9"/>
        <v>81.137185392594802</v>
      </c>
      <c r="F70">
        <f t="shared" si="10"/>
        <v>-42.973840160485111</v>
      </c>
      <c r="G70">
        <f t="shared" si="11"/>
        <v>14.984066339707169</v>
      </c>
      <c r="H70">
        <f>Main!N70</f>
        <v>5.8372089999999996</v>
      </c>
    </row>
    <row r="71" spans="1:8" x14ac:dyDescent="0.25">
      <c r="A71">
        <f>Main!$K$2</f>
        <v>0.02</v>
      </c>
      <c r="B71">
        <f>Main!V71</f>
        <v>100.55849534702713</v>
      </c>
      <c r="C71">
        <f>Main!W71</f>
        <v>204.39925884033838</v>
      </c>
      <c r="D71">
        <f t="shared" si="8"/>
        <v>76.563704715825708</v>
      </c>
      <c r="E71">
        <f t="shared" si="9"/>
        <v>80.277708589385099</v>
      </c>
      <c r="F71">
        <f t="shared" si="10"/>
        <v>-42.674158833690967</v>
      </c>
      <c r="G71">
        <f t="shared" si="11"/>
        <v>11.236713080009508</v>
      </c>
      <c r="H71">
        <f>Main!N71</f>
        <v>5.8290259999999998</v>
      </c>
    </row>
    <row r="72" spans="1:8" x14ac:dyDescent="0.25">
      <c r="A72">
        <f>Main!$K$2</f>
        <v>0.02</v>
      </c>
      <c r="B72">
        <f>Main!V72</f>
        <v>101.99646767527693</v>
      </c>
      <c r="C72">
        <f>Main!W72</f>
        <v>203.68508814524318</v>
      </c>
      <c r="D72">
        <f t="shared" si="8"/>
        <v>78.16925888761341</v>
      </c>
      <c r="E72">
        <f t="shared" si="9"/>
        <v>79.42422541271128</v>
      </c>
      <c r="F72">
        <f t="shared" si="10"/>
        <v>-42.449424572090777</v>
      </c>
      <c r="G72">
        <f t="shared" si="11"/>
        <v>14.989215019411972</v>
      </c>
      <c r="H72">
        <f>Main!N72</f>
        <v>5.8219890000000003</v>
      </c>
    </row>
    <row r="73" spans="1:8" x14ac:dyDescent="0.25">
      <c r="A73">
        <f>Main!$K$2</f>
        <v>0.02</v>
      </c>
      <c r="B73">
        <f>Main!V73</f>
        <v>103.41491125723452</v>
      </c>
      <c r="C73">
        <f>Main!W73</f>
        <v>202.97003511380638</v>
      </c>
      <c r="D73">
        <f t="shared" si="8"/>
        <v>79.757743395867635</v>
      </c>
      <c r="E73">
        <f t="shared" si="9"/>
        <v>78.575236921269465</v>
      </c>
      <c r="F73">
        <f t="shared" si="10"/>
        <v>-42.149640271702538</v>
      </c>
      <c r="G73">
        <f t="shared" si="11"/>
        <v>7.4917978079014347</v>
      </c>
      <c r="H73">
        <f>Main!N73</f>
        <v>5.81609</v>
      </c>
    </row>
    <row r="74" spans="1:8" x14ac:dyDescent="0.25">
      <c r="A74">
        <f>Main!$K$2</f>
        <v>0.02</v>
      </c>
      <c r="B74">
        <f>Main!V74</f>
        <v>104.81476465061986</v>
      </c>
      <c r="C74">
        <f>Main!W74</f>
        <v>202.25586593222474</v>
      </c>
      <c r="D74">
        <f t="shared" si="8"/>
        <v>81.329248134293024</v>
      </c>
      <c r="E74">
        <f t="shared" si="9"/>
        <v>77.732244115835414</v>
      </c>
      <c r="F74">
        <f t="shared" si="10"/>
        <v>-41.999804315544509</v>
      </c>
      <c r="G74">
        <f t="shared" si="11"/>
        <v>9.3692787679344747</v>
      </c>
      <c r="H74">
        <f>Main!N74</f>
        <v>5.8113229999999998</v>
      </c>
    </row>
    <row r="75" spans="1:8" x14ac:dyDescent="0.25">
      <c r="A75">
        <f>Main!$K$2</f>
        <v>0.02</v>
      </c>
      <c r="B75">
        <f>Main!V75</f>
        <v>106.19698514326427</v>
      </c>
      <c r="C75">
        <f>Main!W75</f>
        <v>201.54425703695475</v>
      </c>
      <c r="D75">
        <f t="shared" si="8"/>
        <v>82.883893016609733</v>
      </c>
      <c r="E75">
        <f t="shared" si="9"/>
        <v>76.892248029524524</v>
      </c>
      <c r="F75">
        <f t="shared" si="10"/>
        <v>-41.812418740185819</v>
      </c>
      <c r="G75">
        <f t="shared" si="11"/>
        <v>-3.2076368228217689E-3</v>
      </c>
      <c r="H75">
        <f>Main!N75</f>
        <v>5.8076800000000004</v>
      </c>
    </row>
    <row r="76" spans="1:8" x14ac:dyDescent="0.25">
      <c r="A76">
        <f>Main!$K$2</f>
        <v>0.02</v>
      </c>
      <c r="B76">
        <f>Main!V76</f>
        <v>107.56246531215011</v>
      </c>
      <c r="C76">
        <f>Main!W76</f>
        <v>200.83684553634632</v>
      </c>
      <c r="D76">
        <f t="shared" si="8"/>
        <v>84.421737977200223</v>
      </c>
      <c r="E76">
        <f t="shared" si="9"/>
        <v>76.055999654720807</v>
      </c>
      <c r="F76">
        <f t="shared" si="10"/>
        <v>-41.812482892922276</v>
      </c>
      <c r="G76">
        <f t="shared" si="11"/>
        <v>5.6243252277710098</v>
      </c>
      <c r="H76">
        <f>Main!N76</f>
        <v>5.8051570000000003</v>
      </c>
    </row>
    <row r="77" spans="1:8" x14ac:dyDescent="0.25">
      <c r="A77">
        <f>Main!$K$2</f>
        <v>0.02</v>
      </c>
      <c r="B77">
        <f>Main!V77</f>
        <v>108.91209361701451</v>
      </c>
      <c r="C77">
        <f>Main!W77</f>
        <v>200.13519785260439</v>
      </c>
      <c r="D77">
        <f t="shared" si="8"/>
        <v>85.942857970294639</v>
      </c>
      <c r="E77">
        <f t="shared" si="9"/>
        <v>75.219749996862362</v>
      </c>
      <c r="F77">
        <f t="shared" si="10"/>
        <v>-41.699996388366856</v>
      </c>
      <c r="G77">
        <f t="shared" si="11"/>
        <v>-7.4980557283055305</v>
      </c>
      <c r="H77">
        <f>Main!N77</f>
        <v>5.8037489999999998</v>
      </c>
    </row>
    <row r="78" spans="1:8" x14ac:dyDescent="0.25">
      <c r="A78">
        <f>Main!$K$2</f>
        <v>0.02</v>
      </c>
      <c r="B78">
        <f>Main!V78</f>
        <v>110.24667264192999</v>
      </c>
      <c r="C78">
        <f>Main!W78</f>
        <v>199.4408613764692</v>
      </c>
      <c r="D78">
        <f t="shared" si="8"/>
        <v>87.447252970231887</v>
      </c>
      <c r="E78">
        <f t="shared" si="9"/>
        <v>74.385750069095025</v>
      </c>
      <c r="F78">
        <f t="shared" si="10"/>
        <v>-41.849957502932966</v>
      </c>
      <c r="G78">
        <f t="shared" si="11"/>
        <v>4.662197738980467E-3</v>
      </c>
      <c r="H78">
        <f>Main!N78</f>
        <v>5.8034559999999997</v>
      </c>
    </row>
    <row r="79" spans="1:8" x14ac:dyDescent="0.25">
      <c r="A79">
        <f>Main!$K$2</f>
        <v>0.02</v>
      </c>
      <c r="B79">
        <f>Main!V79</f>
        <v>111.56701844368897</v>
      </c>
      <c r="C79">
        <f>Main!W79</f>
        <v>198.75530839593875</v>
      </c>
      <c r="D79">
        <f t="shared" si="8"/>
        <v>88.934967971613787</v>
      </c>
      <c r="E79">
        <f t="shared" si="9"/>
        <v>73.548750919036365</v>
      </c>
      <c r="F79">
        <f t="shared" si="10"/>
        <v>-41.849864258978187</v>
      </c>
      <c r="G79">
        <f t="shared" si="11"/>
        <v>-13.117404135343236</v>
      </c>
      <c r="H79">
        <f>Main!N79</f>
        <v>5.8042749999999996</v>
      </c>
    </row>
    <row r="80" spans="1:8" x14ac:dyDescent="0.25">
      <c r="A80">
        <f>Main!$K$2</f>
        <v>0.02</v>
      </c>
      <c r="B80">
        <f>Main!V80</f>
        <v>112.87382730676005</v>
      </c>
      <c r="C80">
        <f>Main!W80</f>
        <v>198.08001727345967</v>
      </c>
      <c r="D80">
        <f t="shared" si="8"/>
        <v>90.405942989994514</v>
      </c>
      <c r="E80">
        <f t="shared" si="9"/>
        <v>72.711753633856802</v>
      </c>
      <c r="F80">
        <f t="shared" si="10"/>
        <v>-42.112212341685051</v>
      </c>
      <c r="G80">
        <f t="shared" si="11"/>
        <v>-7.4893458190672391</v>
      </c>
      <c r="H80">
        <f>Main!N80</f>
        <v>5.8062100000000001</v>
      </c>
    </row>
    <row r="81" spans="1:8" x14ac:dyDescent="0.25">
      <c r="A81">
        <f>Main!$K$2</f>
        <v>0.02</v>
      </c>
      <c r="B81">
        <f>Main!V81</f>
        <v>114.16781450381821</v>
      </c>
      <c r="C81">
        <f>Main!W81</f>
        <v>197.4163932982645</v>
      </c>
      <c r="D81">
        <f t="shared" si="8"/>
        <v>91.86017806267165</v>
      </c>
      <c r="E81">
        <f t="shared" si="9"/>
        <v>71.869509387023101</v>
      </c>
      <c r="F81">
        <f t="shared" si="10"/>
        <v>-42.261999258066396</v>
      </c>
      <c r="G81">
        <f t="shared" si="11"/>
        <v>-13.110975306318551</v>
      </c>
      <c r="H81">
        <f>Main!N81</f>
        <v>5.8092610000000002</v>
      </c>
    </row>
    <row r="82" spans="1:8" x14ac:dyDescent="0.25">
      <c r="A82">
        <f>Main!$K$2</f>
        <v>0.02</v>
      </c>
      <c r="B82">
        <f>Main!V82</f>
        <v>115.44956765948072</v>
      </c>
      <c r="C82">
        <f>Main!W82</f>
        <v>196.76585552091277</v>
      </c>
      <c r="D82">
        <f t="shared" si="8"/>
        <v>93.297568250412112</v>
      </c>
      <c r="E82">
        <f t="shared" si="9"/>
        <v>71.024269401861773</v>
      </c>
      <c r="F82">
        <f t="shared" si="10"/>
        <v>-42.524218764192767</v>
      </c>
      <c r="G82">
        <f t="shared" si="11"/>
        <v>-38.357330922167421</v>
      </c>
      <c r="H82">
        <f>Main!N82</f>
        <v>5.8134350000000001</v>
      </c>
    </row>
    <row r="83" spans="1:8" x14ac:dyDescent="0.25">
      <c r="A83">
        <f>Main!$K$2</f>
        <v>0.02</v>
      </c>
      <c r="B83">
        <f>Main!V83</f>
        <v>116.71967310880656</v>
      </c>
      <c r="C83">
        <f>Main!W83</f>
        <v>196.12976520875569</v>
      </c>
      <c r="D83">
        <f t="shared" si="8"/>
        <v>94.718053638449348</v>
      </c>
      <c r="E83">
        <f t="shared" si="9"/>
        <v>70.173785026577917</v>
      </c>
      <c r="F83">
        <f t="shared" si="10"/>
        <v>-43.291365382636116</v>
      </c>
      <c r="G83">
        <f t="shared" si="11"/>
        <v>-203.97942548200376</v>
      </c>
      <c r="H83">
        <f>Main!N83</f>
        <v>5.8187360000000004</v>
      </c>
    </row>
    <row r="84" spans="1:8" x14ac:dyDescent="0.25">
      <c r="A84">
        <f>Main!$K$2</f>
        <v>0.02</v>
      </c>
      <c r="B84">
        <f>Main!V84</f>
        <v>117.9786330541796</v>
      </c>
      <c r="C84">
        <f>Main!W84</f>
        <v>195.50947181210466</v>
      </c>
      <c r="D84">
        <f t="shared" si="8"/>
        <v>96.121529338980906</v>
      </c>
      <c r="E84">
        <f t="shared" si="9"/>
        <v>69.307957718925195</v>
      </c>
      <c r="F84">
        <f t="shared" si="10"/>
        <v>-47.370953892276191</v>
      </c>
      <c r="G84">
        <f t="shared" si="11"/>
        <v>-350.47717760150476</v>
      </c>
      <c r="H84">
        <f>Main!N84</f>
        <v>5.8251710000000001</v>
      </c>
    </row>
    <row r="85" spans="1:8" x14ac:dyDescent="0.25">
      <c r="A85">
        <f>Main!$K$2</f>
        <v>0.02</v>
      </c>
      <c r="B85">
        <f>Main!V85</f>
        <v>119.22671965929209</v>
      </c>
      <c r="C85">
        <f>Main!W85</f>
        <v>194.90638224379319</v>
      </c>
      <c r="D85">
        <f t="shared" si="8"/>
        <v>97.50768849335941</v>
      </c>
      <c r="E85">
        <f t="shared" si="9"/>
        <v>68.360538641079671</v>
      </c>
      <c r="F85">
        <f t="shared" si="10"/>
        <v>-54.380497444306286</v>
      </c>
      <c r="G85">
        <f t="shared" si="11"/>
        <v>-325.85121238071224</v>
      </c>
      <c r="H85">
        <f>Main!N85</f>
        <v>5.8327479999999996</v>
      </c>
    </row>
    <row r="86" spans="1:8" x14ac:dyDescent="0.25">
      <c r="A86">
        <f>Main!$K$2</f>
        <v>0.02</v>
      </c>
      <c r="B86">
        <f>Main!V86</f>
        <v>120.46294383024906</v>
      </c>
      <c r="C86">
        <f>Main!W86</f>
        <v>194.32241726499637</v>
      </c>
      <c r="D86">
        <f t="shared" si="8"/>
        <v>98.874899266181004</v>
      </c>
      <c r="E86">
        <f t="shared" si="9"/>
        <v>67.272928692193545</v>
      </c>
      <c r="F86">
        <f t="shared" si="10"/>
        <v>-60.897521691920531</v>
      </c>
      <c r="G86">
        <f t="shared" si="11"/>
        <v>-310.85100413719147</v>
      </c>
      <c r="H86">
        <f>Main!N86</f>
        <v>5.8414619999999999</v>
      </c>
    </row>
    <row r="87" spans="1:8" x14ac:dyDescent="0.25">
      <c r="A87">
        <f>Main!$K$2</f>
        <v>0.02</v>
      </c>
      <c r="B87">
        <f>Main!V87</f>
        <v>121.68516177871037</v>
      </c>
      <c r="C87">
        <f>Main!W87</f>
        <v>193.75988543444009</v>
      </c>
      <c r="D87">
        <f t="shared" si="8"/>
        <v>100.22035784002487</v>
      </c>
      <c r="E87">
        <f t="shared" si="9"/>
        <v>66.054978258355135</v>
      </c>
      <c r="F87">
        <f t="shared" si="10"/>
        <v>-67.11454177466436</v>
      </c>
      <c r="G87">
        <f t="shared" si="11"/>
        <v>-286.72792037198747</v>
      </c>
      <c r="H87">
        <f>Main!N87</f>
        <v>5.8512969999999997</v>
      </c>
    </row>
    <row r="88" spans="1:8" x14ac:dyDescent="0.25">
      <c r="A88">
        <f>Main!$K$2</f>
        <v>0.02</v>
      </c>
      <c r="B88">
        <f>Main!V88</f>
        <v>122.89129042744139</v>
      </c>
      <c r="C88">
        <f>Main!W88</f>
        <v>193.22085135036471</v>
      </c>
      <c r="D88">
        <f t="shared" si="8"/>
        <v>101.54145740519198</v>
      </c>
      <c r="E88">
        <f t="shared" si="9"/>
        <v>64.712687422861848</v>
      </c>
      <c r="F88">
        <f t="shared" si="10"/>
        <v>-72.84910018210411</v>
      </c>
      <c r="G88">
        <f t="shared" si="11"/>
        <v>-263.8565636594592</v>
      </c>
      <c r="H88">
        <f>Main!N88</f>
        <v>5.8622240000000003</v>
      </c>
    </row>
    <row r="89" spans="1:8" x14ac:dyDescent="0.25">
      <c r="A89">
        <f>Main!$K$2</f>
        <v>0.02</v>
      </c>
      <c r="B89">
        <f>Main!V89</f>
        <v>124.07923123212218</v>
      </c>
      <c r="C89">
        <f>Main!W89</f>
        <v>192.70714967626782</v>
      </c>
      <c r="D89">
        <f t="shared" si="8"/>
        <v>102.83571115364921</v>
      </c>
      <c r="E89">
        <f t="shared" si="9"/>
        <v>63.255705419219765</v>
      </c>
      <c r="F89">
        <f t="shared" si="10"/>
        <v>-78.126231455293293</v>
      </c>
      <c r="G89">
        <f t="shared" si="11"/>
        <v>-245.48662927692533</v>
      </c>
      <c r="H89">
        <f>Main!N89</f>
        <v>5.874206</v>
      </c>
    </row>
    <row r="90" spans="1:8" x14ac:dyDescent="0.25">
      <c r="A90">
        <f>Main!$K$2</f>
        <v>0.02</v>
      </c>
      <c r="B90">
        <f>Main!V90</f>
        <v>125.24693088907108</v>
      </c>
      <c r="C90">
        <f>Main!W90</f>
        <v>192.22033223780173</v>
      </c>
      <c r="D90">
        <f t="shared" si="8"/>
        <v>104.10082526203361</v>
      </c>
      <c r="E90">
        <f t="shared" si="9"/>
        <v>61.6931807901139</v>
      </c>
      <c r="F90">
        <f t="shared" si="10"/>
        <v>-83.0359640408318</v>
      </c>
      <c r="G90">
        <f t="shared" si="11"/>
        <v>-220.86915244301508</v>
      </c>
      <c r="H90">
        <f>Main!N90</f>
        <v>5.8871929999999999</v>
      </c>
    </row>
    <row r="91" spans="1:8" x14ac:dyDescent="0.25">
      <c r="A91">
        <f>Main!$K$2</f>
        <v>0.02</v>
      </c>
      <c r="B91">
        <f>Main!V91</f>
        <v>126.39237190692508</v>
      </c>
      <c r="C91">
        <f>Main!W91</f>
        <v>191.76165555753744</v>
      </c>
      <c r="D91">
        <f t="shared" si="8"/>
        <v>105.33468887783589</v>
      </c>
      <c r="E91">
        <f t="shared" si="9"/>
        <v>60.032461509297264</v>
      </c>
      <c r="F91">
        <f t="shared" si="10"/>
        <v>-87.453347089692102</v>
      </c>
      <c r="G91">
        <f t="shared" si="11"/>
        <v>-196.5035024831252</v>
      </c>
      <c r="H91">
        <f>Main!N91</f>
        <v>5.9011230000000001</v>
      </c>
    </row>
    <row r="92" spans="1:8" x14ac:dyDescent="0.25">
      <c r="A92">
        <f>Main!$K$2</f>
        <v>0.02</v>
      </c>
      <c r="B92">
        <f>Main!V92</f>
        <v>127.51354376921802</v>
      </c>
      <c r="C92">
        <f>Main!W92</f>
        <v>191.33208341092097</v>
      </c>
      <c r="D92">
        <f t="shared" si="8"/>
        <v>106.53533810802183</v>
      </c>
      <c r="E92">
        <f t="shared" si="9"/>
        <v>58.283394567503422</v>
      </c>
      <c r="F92">
        <f t="shared" si="10"/>
        <v>-91.383417139354606</v>
      </c>
      <c r="G92">
        <f t="shared" si="11"/>
        <v>-179.88800694368479</v>
      </c>
      <c r="H92">
        <f>Main!N92</f>
        <v>5.9159240000000004</v>
      </c>
    </row>
    <row r="93" spans="1:8" x14ac:dyDescent="0.25">
      <c r="A93">
        <f>Main!$K$2</f>
        <v>0.02</v>
      </c>
      <c r="B93">
        <f>Main!V93</f>
        <v>128.6084959449617</v>
      </c>
      <c r="C93">
        <f>Main!W93</f>
        <v>190.93225674127689</v>
      </c>
      <c r="D93">
        <f t="shared" si="8"/>
        <v>107.7010059993719</v>
      </c>
      <c r="E93">
        <f t="shared" si="9"/>
        <v>56.455726224716329</v>
      </c>
      <c r="F93">
        <f t="shared" si="10"/>
        <v>-94.981177278228301</v>
      </c>
      <c r="G93">
        <f t="shared" si="11"/>
        <v>-160.77344239207036</v>
      </c>
      <c r="H93">
        <f>Main!N93</f>
        <v>5.9315110000000004</v>
      </c>
    </row>
    <row r="94" spans="1:8" x14ac:dyDescent="0.25">
      <c r="A94">
        <f>Main!$K$2</f>
        <v>0.02</v>
      </c>
      <c r="B94">
        <f>Main!V94</f>
        <v>129.67534723418828</v>
      </c>
      <c r="C94">
        <f>Main!W94</f>
        <v>190.56248933316789</v>
      </c>
      <c r="D94">
        <f t="shared" si="8"/>
        <v>108.83012052386623</v>
      </c>
      <c r="E94">
        <f t="shared" si="9"/>
        <v>54.556102679151763</v>
      </c>
      <c r="F94">
        <f t="shared" si="10"/>
        <v>-98.196646126069709</v>
      </c>
      <c r="G94">
        <f t="shared" si="11"/>
        <v>-140.4093572059395</v>
      </c>
      <c r="H94">
        <f>Main!N94</f>
        <v>5.9477859999999998</v>
      </c>
    </row>
    <row r="95" spans="1:8" x14ac:dyDescent="0.25">
      <c r="A95">
        <f>Main!$K$2</f>
        <v>0.02</v>
      </c>
      <c r="B95">
        <f>Main!V95</f>
        <v>130.71224319720443</v>
      </c>
      <c r="C95">
        <f>Main!W95</f>
        <v>190.22279226562674</v>
      </c>
      <c r="D95">
        <f t="shared" si="8"/>
        <v>109.92124257744926</v>
      </c>
      <c r="E95">
        <f t="shared" si="9"/>
        <v>52.592169756630369</v>
      </c>
      <c r="F95">
        <f t="shared" si="10"/>
        <v>-101.0048332701885</v>
      </c>
      <c r="G95">
        <f t="shared" si="11"/>
        <v>-131.16741408403243</v>
      </c>
      <c r="H95">
        <f>Main!N95</f>
        <v>5.9646420000000004</v>
      </c>
    </row>
    <row r="96" spans="1:8" x14ac:dyDescent="0.25">
      <c r="A96">
        <f>Main!$K$2</f>
        <v>0.02</v>
      </c>
      <c r="B96">
        <f>Main!V96</f>
        <v>131.71739176350707</v>
      </c>
      <c r="C96">
        <f>Main!W96</f>
        <v>189.91287148938895</v>
      </c>
      <c r="D96">
        <f t="shared" si="8"/>
        <v>110.97308597258187</v>
      </c>
      <c r="E96">
        <f t="shared" si="9"/>
        <v>50.572073091226599</v>
      </c>
      <c r="F96">
        <f t="shared" si="10"/>
        <v>-103.62818155186915</v>
      </c>
      <c r="G96">
        <f t="shared" si="11"/>
        <v>-121.42391162583976</v>
      </c>
      <c r="H96">
        <f>Main!N96</f>
        <v>5.9819620000000002</v>
      </c>
    </row>
    <row r="97" spans="1:8" x14ac:dyDescent="0.25">
      <c r="A97">
        <f>Main!$K$2</f>
        <v>0.02</v>
      </c>
      <c r="B97">
        <f>Main!V97</f>
        <v>132.68909129490609</v>
      </c>
      <c r="C97">
        <f>Main!W97</f>
        <v>189.63213344177754</v>
      </c>
      <c r="D97">
        <f t="shared" si="8"/>
        <v>111.9845274344064</v>
      </c>
      <c r="E97">
        <f t="shared" si="9"/>
        <v>48.499509460189216</v>
      </c>
      <c r="F97">
        <f t="shared" si="10"/>
        <v>-106.05665978438594</v>
      </c>
      <c r="G97">
        <f t="shared" si="11"/>
        <v>-110.42872809241544</v>
      </c>
      <c r="H97">
        <f>Main!N97</f>
        <v>5.9996179999999999</v>
      </c>
    </row>
    <row r="98" spans="1:8" x14ac:dyDescent="0.25">
      <c r="A98">
        <f>Main!$K$2</f>
        <v>0.02</v>
      </c>
      <c r="B98">
        <f>Main!V98</f>
        <v>133.6256666527315</v>
      </c>
      <c r="C98">
        <f>Main!W98</f>
        <v>189.37972986362183</v>
      </c>
      <c r="D98">
        <f t="shared" si="8"/>
        <v>112.95451762361019</v>
      </c>
      <c r="E98">
        <f t="shared" si="9"/>
        <v>46.378376264501497</v>
      </c>
      <c r="F98">
        <f t="shared" si="10"/>
        <v>-108.26523434623425</v>
      </c>
      <c r="G98">
        <f t="shared" si="11"/>
        <v>-114.05285819598987</v>
      </c>
      <c r="H98">
        <f>Main!N98</f>
        <v>6.0174770000000004</v>
      </c>
    </row>
    <row r="99" spans="1:8" x14ac:dyDescent="0.25">
      <c r="A99">
        <f>Main!$K$2</f>
        <v>0.02</v>
      </c>
      <c r="B99">
        <f>Main!V99</f>
        <v>134.52549251094774</v>
      </c>
      <c r="C99">
        <f>Main!W99</f>
        <v>189.15457449757861</v>
      </c>
      <c r="D99">
        <f t="shared" si="8"/>
        <v>113.88208514890022</v>
      </c>
      <c r="E99">
        <f t="shared" si="9"/>
        <v>44.213071577576812</v>
      </c>
      <c r="F99">
        <f t="shared" si="10"/>
        <v>-110.54629151015405</v>
      </c>
      <c r="G99">
        <f t="shared" si="11"/>
        <v>-96.674077481040399</v>
      </c>
      <c r="H99">
        <f>Main!N99</f>
        <v>6.0354010000000002</v>
      </c>
    </row>
    <row r="100" spans="1:8" x14ac:dyDescent="0.25">
      <c r="A100">
        <f>Main!$K$2</f>
        <v>0.02</v>
      </c>
      <c r="B100">
        <f>Main!V100</f>
        <v>135.38702157454458</v>
      </c>
      <c r="C100">
        <f>Main!W100</f>
        <v>188.95536116492354</v>
      </c>
      <c r="D100">
        <f t="shared" si="8"/>
        <v>114.76634658045175</v>
      </c>
      <c r="E100">
        <f t="shared" si="9"/>
        <v>42.002145747373731</v>
      </c>
      <c r="F100">
        <f t="shared" si="10"/>
        <v>-112.47977305977486</v>
      </c>
      <c r="G100">
        <f t="shared" si="11"/>
        <v>41.590395397861357</v>
      </c>
      <c r="H100">
        <f>Main!N100</f>
        <v>6.0532459999999997</v>
      </c>
    </row>
    <row r="101" spans="1:8" x14ac:dyDescent="0.25">
      <c r="A101">
        <f>Main!$K$2</f>
        <v>0.02</v>
      </c>
      <c r="B101">
        <f>Main!V101</f>
        <v>136.208689587153</v>
      </c>
      <c r="C101">
        <f>Main!W101</f>
        <v>188.7806219992807</v>
      </c>
      <c r="D101">
        <f t="shared" si="8"/>
        <v>115.60638949539923</v>
      </c>
      <c r="E101">
        <f t="shared" si="9"/>
        <v>39.752550286178234</v>
      </c>
      <c r="F101">
        <f t="shared" si="10"/>
        <v>-111.64796515181763</v>
      </c>
      <c r="G101">
        <f t="shared" si="11"/>
        <v>149.73081629321427</v>
      </c>
      <c r="H101">
        <f>Main!N101</f>
        <v>6.0708700000000002</v>
      </c>
    </row>
    <row r="102" spans="1:8" x14ac:dyDescent="0.25">
      <c r="A102">
        <f>Main!$K$2</f>
        <v>0.02</v>
      </c>
      <c r="B102">
        <f>Main!V102</f>
        <v>136.98909477206317</v>
      </c>
      <c r="C102">
        <f>Main!W102</f>
        <v>188.62872121235915</v>
      </c>
      <c r="D102">
        <f t="shared" si="8"/>
        <v>116.40144050112279</v>
      </c>
      <c r="E102">
        <f t="shared" si="9"/>
        <v>37.519590983141882</v>
      </c>
      <c r="F102">
        <f t="shared" si="10"/>
        <v>-108.65334882595334</v>
      </c>
      <c r="G102">
        <f t="shared" si="11"/>
        <v>133.23827304034808</v>
      </c>
      <c r="H102">
        <f>Main!N102</f>
        <v>6.0881340000000002</v>
      </c>
    </row>
    <row r="103" spans="1:8" x14ac:dyDescent="0.25">
      <c r="A103">
        <f>Main!$K$2</f>
        <v>0.02</v>
      </c>
      <c r="B103">
        <f>Main!V103</f>
        <v>137.72796798125486</v>
      </c>
      <c r="C103">
        <f>Main!W103</f>
        <v>188.49774692573897</v>
      </c>
      <c r="D103">
        <f t="shared" si="8"/>
        <v>117.15183232078563</v>
      </c>
      <c r="E103">
        <f t="shared" si="9"/>
        <v>35.346524006622815</v>
      </c>
      <c r="F103">
        <f t="shared" si="10"/>
        <v>-105.98858336514638</v>
      </c>
      <c r="G103">
        <f t="shared" si="11"/>
        <v>118.12005631206546</v>
      </c>
      <c r="H103">
        <f>Main!N103</f>
        <v>6.104927</v>
      </c>
    </row>
    <row r="104" spans="1:8" x14ac:dyDescent="0.25">
      <c r="A104">
        <f>Main!$K$2</f>
        <v>0.02</v>
      </c>
      <c r="B104">
        <f>Main!V104</f>
        <v>138.42595694228049</v>
      </c>
      <c r="C104">
        <f>Main!W104</f>
        <v>188.38566608872088</v>
      </c>
      <c r="D104">
        <f t="shared" si="8"/>
        <v>117.85876280091809</v>
      </c>
      <c r="E104">
        <f t="shared" si="9"/>
        <v>33.226752339319887</v>
      </c>
      <c r="F104">
        <f t="shared" si="10"/>
        <v>-103.62618223890507</v>
      </c>
      <c r="G104">
        <f t="shared" si="11"/>
        <v>105.0009907022087</v>
      </c>
      <c r="H104">
        <f>Main!N104</f>
        <v>6.1211690000000001</v>
      </c>
    </row>
    <row r="105" spans="1:8" x14ac:dyDescent="0.25">
      <c r="A105">
        <f>Main!$K$2</f>
        <v>0.02</v>
      </c>
      <c r="B105">
        <f>Main!V105</f>
        <v>139.08364801540944</v>
      </c>
      <c r="C105">
        <f>Main!W105</f>
        <v>188.29053838122252</v>
      </c>
      <c r="D105">
        <f t="shared" si="8"/>
        <v>118.52329784770448</v>
      </c>
      <c r="E105">
        <f t="shared" si="9"/>
        <v>31.154228694541786</v>
      </c>
      <c r="F105">
        <f t="shared" si="10"/>
        <v>-101.5261624248609</v>
      </c>
      <c r="G105">
        <f t="shared" si="11"/>
        <v>84.382173078267897</v>
      </c>
      <c r="H105">
        <f>Main!N105</f>
        <v>6.1367890000000003</v>
      </c>
    </row>
    <row r="106" spans="1:8" x14ac:dyDescent="0.25">
      <c r="A106">
        <f>Main!$K$2</f>
        <v>0.02</v>
      </c>
      <c r="B106">
        <f>Main!V106</f>
        <v>139.70157330080715</v>
      </c>
      <c r="C106">
        <f>Main!W106</f>
        <v>188.21052133374596</v>
      </c>
      <c r="D106">
        <f t="shared" si="8"/>
        <v>119.14638242159532</v>
      </c>
      <c r="E106">
        <f t="shared" si="9"/>
        <v>29.123705446044568</v>
      </c>
      <c r="F106">
        <f t="shared" si="10"/>
        <v>-99.838518963295542</v>
      </c>
      <c r="G106">
        <f t="shared" si="11"/>
        <v>76.885593431441634</v>
      </c>
      <c r="H106">
        <f>Main!N106</f>
        <v>6.1517239999999997</v>
      </c>
    </row>
    <row r="107" spans="1:8" x14ac:dyDescent="0.25">
      <c r="A107">
        <f>Main!$K$2</f>
        <v>0.02</v>
      </c>
      <c r="B107">
        <f>Main!V107</f>
        <v>140.28022185384086</v>
      </c>
      <c r="C107">
        <f>Main!W107</f>
        <v>188.14387345579632</v>
      </c>
      <c r="D107">
        <f t="shared" si="8"/>
        <v>119.72885653051621</v>
      </c>
      <c r="E107">
        <f t="shared" si="9"/>
        <v>27.126935066778657</v>
      </c>
      <c r="F107">
        <f t="shared" si="10"/>
        <v>-98.300807094666709</v>
      </c>
      <c r="G107">
        <f t="shared" si="11"/>
        <v>59.889303685167761</v>
      </c>
      <c r="H107">
        <f>Main!N107</f>
        <v>6.1659179999999996</v>
      </c>
    </row>
    <row r="108" spans="1:8" x14ac:dyDescent="0.25">
      <c r="A108">
        <f>Main!$K$2</f>
        <v>0.02</v>
      </c>
      <c r="B108">
        <f>Main!V108</f>
        <v>140.81997518264612</v>
      </c>
      <c r="C108">
        <f>Main!W108</f>
        <v>188.08896820567827</v>
      </c>
      <c r="D108">
        <f t="shared" si="8"/>
        <v>120.27139523185178</v>
      </c>
      <c r="E108">
        <f t="shared" si="9"/>
        <v>25.160918924885323</v>
      </c>
      <c r="F108">
        <f t="shared" si="10"/>
        <v>-97.103021020963354</v>
      </c>
      <c r="G108">
        <f t="shared" si="11"/>
        <v>48.891347544710584</v>
      </c>
      <c r="H108">
        <f>Main!N108</f>
        <v>6.1793259999999997</v>
      </c>
    </row>
    <row r="109" spans="1:8" x14ac:dyDescent="0.25">
      <c r="A109">
        <f>Main!$K$2</f>
        <v>0.02</v>
      </c>
      <c r="B109">
        <f>Main!V109</f>
        <v>141.32120548793867</v>
      </c>
      <c r="C109">
        <f>Main!W109</f>
        <v>188.0442813226565</v>
      </c>
      <c r="D109">
        <f t="shared" si="8"/>
        <v>120.77461361034949</v>
      </c>
      <c r="E109">
        <f t="shared" si="9"/>
        <v>23.218858504466056</v>
      </c>
      <c r="F109">
        <f t="shared" si="10"/>
        <v>-96.125194070069142</v>
      </c>
      <c r="G109">
        <f t="shared" si="11"/>
        <v>43.267136895508429</v>
      </c>
      <c r="H109">
        <f>Main!N109</f>
        <v>6.1919069999999996</v>
      </c>
    </row>
    <row r="110" spans="1:8" x14ac:dyDescent="0.25">
      <c r="A110">
        <f>Main!$K$2</f>
        <v>0.02</v>
      </c>
      <c r="B110">
        <f>Main!V110</f>
        <v>141.78419462227089</v>
      </c>
      <c r="C110">
        <f>Main!W110</f>
        <v>188.00840350791725</v>
      </c>
      <c r="D110">
        <f t="shared" si="8"/>
        <v>121.23899078043881</v>
      </c>
      <c r="E110">
        <f t="shared" si="9"/>
        <v>21.296354623064673</v>
      </c>
      <c r="F110">
        <f t="shared" si="10"/>
        <v>-95.259851332158973</v>
      </c>
      <c r="G110">
        <f t="shared" si="11"/>
        <v>29.767823713555686</v>
      </c>
      <c r="H110">
        <f>Main!N110</f>
        <v>6.2036290000000003</v>
      </c>
    </row>
    <row r="111" spans="1:8" x14ac:dyDescent="0.25">
      <c r="A111">
        <f>Main!$K$2</f>
        <v>0.02</v>
      </c>
      <c r="B111">
        <f>Main!V111</f>
        <v>142.20917599495382</v>
      </c>
      <c r="C111">
        <f>Main!W111</f>
        <v>187.98003590376993</v>
      </c>
      <c r="D111">
        <f t="shared" si="8"/>
        <v>121.66491787290011</v>
      </c>
      <c r="E111">
        <f t="shared" si="9"/>
        <v>19.391157596421493</v>
      </c>
      <c r="F111">
        <f t="shared" si="10"/>
        <v>-94.66449485788786</v>
      </c>
      <c r="G111">
        <f t="shared" si="11"/>
        <v>42.142540269907158</v>
      </c>
      <c r="H111">
        <f>Main!N111</f>
        <v>6.2144659999999998</v>
      </c>
    </row>
    <row r="112" spans="1:8" x14ac:dyDescent="0.25">
      <c r="A112">
        <f>Main!$K$2</f>
        <v>0.02</v>
      </c>
      <c r="B112">
        <f>Main!V112</f>
        <v>142.59637186312472</v>
      </c>
      <c r="C112">
        <f>Main!W112</f>
        <v>187.95798693909833</v>
      </c>
      <c r="D112">
        <f t="shared" si="8"/>
        <v>122.05274102482853</v>
      </c>
      <c r="E112">
        <f t="shared" si="9"/>
        <v>17.497867699263736</v>
      </c>
      <c r="F112">
        <f t="shared" si="10"/>
        <v>-93.821644052489717</v>
      </c>
      <c r="G112">
        <f t="shared" si="11"/>
        <v>172.51823954467227</v>
      </c>
      <c r="H112">
        <f>Main!N112</f>
        <v>6.2243950000000003</v>
      </c>
    </row>
    <row r="113" spans="1:8" x14ac:dyDescent="0.25">
      <c r="A113">
        <f>Main!$K$2</f>
        <v>0.02</v>
      </c>
      <c r="B113">
        <f>Main!V113</f>
        <v>142.94592534626997</v>
      </c>
      <c r="C113">
        <f>Main!W113</f>
        <v>187.94117884493517</v>
      </c>
      <c r="D113">
        <f t="shared" si="8"/>
        <v>122.40269837881381</v>
      </c>
      <c r="E113">
        <f t="shared" si="9"/>
        <v>15.621434818213942</v>
      </c>
      <c r="F113">
        <f t="shared" si="10"/>
        <v>-90.371279261596271</v>
      </c>
      <c r="G113">
        <f t="shared" si="11"/>
        <v>288.14165699841965</v>
      </c>
      <c r="H113">
        <f>Main!N113</f>
        <v>6.2333999999999996</v>
      </c>
    </row>
    <row r="114" spans="1:8" x14ac:dyDescent="0.25">
      <c r="A114">
        <f>Main!$K$2</f>
        <v>0.02</v>
      </c>
      <c r="B114">
        <f>Main!V114</f>
        <v>143.25810224822786</v>
      </c>
      <c r="C114">
        <f>Main!W114</f>
        <v>187.9286380237555</v>
      </c>
      <c r="D114">
        <f t="shared" si="8"/>
        <v>122.71512707517809</v>
      </c>
      <c r="E114">
        <f t="shared" si="9"/>
        <v>13.814009232982016</v>
      </c>
      <c r="F114">
        <f t="shared" si="10"/>
        <v>-84.608446121627878</v>
      </c>
      <c r="G114">
        <f t="shared" si="11"/>
        <v>281.26322880517307</v>
      </c>
      <c r="H114">
        <f>Main!N114</f>
        <v>6.2414709999999998</v>
      </c>
    </row>
    <row r="115" spans="1:8" x14ac:dyDescent="0.25">
      <c r="A115">
        <f>Main!$K$2</f>
        <v>0.02</v>
      </c>
      <c r="B115">
        <f>Main!V115</f>
        <v>143.53423051305884</v>
      </c>
      <c r="C115">
        <f>Main!W115</f>
        <v>187.91947713968278</v>
      </c>
      <c r="D115">
        <f t="shared" si="8"/>
        <v>122.99140725983773</v>
      </c>
      <c r="E115">
        <f t="shared" si="9"/>
        <v>12.121840310549459</v>
      </c>
      <c r="F115">
        <f t="shared" si="10"/>
        <v>-78.983181545524417</v>
      </c>
      <c r="G115">
        <f t="shared" si="11"/>
        <v>282.63508463055587</v>
      </c>
      <c r="H115">
        <f>Main!N115</f>
        <v>6.2486300000000004</v>
      </c>
    </row>
    <row r="116" spans="1:8" x14ac:dyDescent="0.25">
      <c r="A116">
        <f>Main!$K$2</f>
        <v>0.02</v>
      </c>
      <c r="B116">
        <f>Main!V116</f>
        <v>143.77657874014898</v>
      </c>
      <c r="C116">
        <f>Main!W116</f>
        <v>187.91292413792348</v>
      </c>
      <c r="D116">
        <f t="shared" si="8"/>
        <v>123.23384406604872</v>
      </c>
      <c r="E116">
        <f t="shared" si="9"/>
        <v>10.54217667963897</v>
      </c>
      <c r="F116">
        <f t="shared" si="10"/>
        <v>-73.3304798529133</v>
      </c>
      <c r="G116">
        <f t="shared" si="11"/>
        <v>275.25766148350783</v>
      </c>
      <c r="H116">
        <f>Main!N116</f>
        <v>6.2549260000000002</v>
      </c>
    </row>
    <row r="117" spans="1:8" x14ac:dyDescent="0.25">
      <c r="A117">
        <f>Main!$K$2</f>
        <v>0.02</v>
      </c>
      <c r="B117">
        <f>Main!V117</f>
        <v>143.98737262107133</v>
      </c>
      <c r="C117">
        <f>Main!W117</f>
        <v>187.90834861351857</v>
      </c>
      <c r="D117">
        <f t="shared" si="8"/>
        <v>123.4446875996415</v>
      </c>
      <c r="E117">
        <f t="shared" si="9"/>
        <v>9.0755670825807044</v>
      </c>
      <c r="F117">
        <f t="shared" si="10"/>
        <v>-67.825326623243143</v>
      </c>
      <c r="G117">
        <f t="shared" si="11"/>
        <v>279.3805367069524</v>
      </c>
      <c r="H117">
        <f>Main!N117</f>
        <v>6.2604119999999996</v>
      </c>
    </row>
    <row r="118" spans="1:8" x14ac:dyDescent="0.25">
      <c r="A118">
        <f>Main!$K$2</f>
        <v>0.02</v>
      </c>
      <c r="B118">
        <f>Main!V118</f>
        <v>144.16885735827219</v>
      </c>
      <c r="C118">
        <f>Main!W118</f>
        <v>187.90524099203225</v>
      </c>
      <c r="D118">
        <f t="shared" si="8"/>
        <v>123.62619894129311</v>
      </c>
      <c r="E118">
        <f t="shared" si="9"/>
        <v>7.7190605501158416</v>
      </c>
      <c r="F118">
        <f t="shared" si="10"/>
        <v>-62.237715889104095</v>
      </c>
      <c r="G118">
        <f t="shared" si="11"/>
        <v>273.25396493615983</v>
      </c>
      <c r="H118">
        <f>Main!N118</f>
        <v>6.2651399999999997</v>
      </c>
    </row>
    <row r="119" spans="1:8" x14ac:dyDescent="0.25">
      <c r="A119">
        <f>Main!$K$2</f>
        <v>0.02</v>
      </c>
      <c r="B119">
        <f>Main!V119</f>
        <v>144.32322505474872</v>
      </c>
      <c r="C119">
        <f>Main!W119</f>
        <v>187.90319829893866</v>
      </c>
      <c r="D119">
        <f t="shared" si="8"/>
        <v>123.78058015229543</v>
      </c>
      <c r="E119">
        <f t="shared" si="9"/>
        <v>6.4743062323337597</v>
      </c>
      <c r="F119">
        <f t="shared" si="10"/>
        <v>-56.772636590380898</v>
      </c>
      <c r="G119">
        <f t="shared" si="11"/>
        <v>273.37770220903224</v>
      </c>
      <c r="H119">
        <f>Main!N119</f>
        <v>6.2691660000000002</v>
      </c>
    </row>
    <row r="120" spans="1:8" x14ac:dyDescent="0.25">
      <c r="A120">
        <f>Main!$K$2</f>
        <v>0.02</v>
      </c>
      <c r="B120">
        <f>Main!V120</f>
        <v>144.45270473052949</v>
      </c>
      <c r="C120">
        <f>Main!W120</f>
        <v>187.90190600031974</v>
      </c>
      <c r="D120">
        <f t="shared" si="8"/>
        <v>123.9100662769421</v>
      </c>
      <c r="E120">
        <f t="shared" si="9"/>
        <v>5.3388535005261417</v>
      </c>
      <c r="F120">
        <f t="shared" si="10"/>
        <v>-51.305082546200254</v>
      </c>
      <c r="G120">
        <f t="shared" si="11"/>
        <v>275.50176459101294</v>
      </c>
      <c r="H120">
        <f>Main!N120</f>
        <v>6.2725439999999999</v>
      </c>
    </row>
    <row r="121" spans="1:8" x14ac:dyDescent="0.25">
      <c r="A121">
        <f>Main!$K$2</f>
        <v>0.02</v>
      </c>
      <c r="B121">
        <f>Main!V121</f>
        <v>144.55947894866955</v>
      </c>
      <c r="C121">
        <f>Main!W121</f>
        <v>187.90112560259269</v>
      </c>
      <c r="D121">
        <f t="shared" si="8"/>
        <v>124.01684334695263</v>
      </c>
      <c r="E121">
        <f t="shared" si="9"/>
        <v>4.3127518496021366</v>
      </c>
      <c r="F121">
        <f t="shared" si="10"/>
        <v>-45.795047254379995</v>
      </c>
      <c r="G121">
        <f t="shared" si="11"/>
        <v>275.25110278325826</v>
      </c>
      <c r="H121">
        <f>Main!N121</f>
        <v>6.2753310000000004</v>
      </c>
    </row>
    <row r="122" spans="1:8" x14ac:dyDescent="0.25">
      <c r="A122">
        <f>Main!$K$2</f>
        <v>0.02</v>
      </c>
      <c r="B122">
        <f>Main!V122</f>
        <v>144.64573283739432</v>
      </c>
      <c r="C122">
        <f>Main!W122</f>
        <v>187.90068053366235</v>
      </c>
      <c r="D122">
        <f t="shared" si="8"/>
        <v>124.10309838394467</v>
      </c>
      <c r="E122">
        <f t="shared" si="9"/>
        <v>3.3968509045145368</v>
      </c>
      <c r="F122">
        <f t="shared" si="10"/>
        <v>-40.290025198714829</v>
      </c>
      <c r="G122">
        <f t="shared" si="11"/>
        <v>269.75065099676954</v>
      </c>
      <c r="H122">
        <f>Main!N122</f>
        <v>6.2775840000000001</v>
      </c>
    </row>
    <row r="123" spans="1:8" x14ac:dyDescent="0.25">
      <c r="A123">
        <f>Main!$K$2</f>
        <v>0.02</v>
      </c>
      <c r="B123">
        <f>Main!V123</f>
        <v>144.71366944446979</v>
      </c>
      <c r="C123">
        <f>Main!W123</f>
        <v>187.90044421592063</v>
      </c>
      <c r="D123">
        <f t="shared" si="8"/>
        <v>124.17103540203496</v>
      </c>
      <c r="E123">
        <f t="shared" si="9"/>
        <v>2.5910504005402402</v>
      </c>
      <c r="F123">
        <f t="shared" si="10"/>
        <v>-34.895012178779439</v>
      </c>
      <c r="G123">
        <f t="shared" si="11"/>
        <v>277.12534477508655</v>
      </c>
      <c r="H123">
        <f>Main!N123</f>
        <v>6.2793590000000004</v>
      </c>
    </row>
    <row r="124" spans="1:8" x14ac:dyDescent="0.25">
      <c r="A124">
        <f>Main!$K$2</f>
        <v>0.02</v>
      </c>
      <c r="B124">
        <f>Main!V124</f>
        <v>144.76549032611831</v>
      </c>
      <c r="C124">
        <f>Main!W124</f>
        <v>187.90032977630804</v>
      </c>
      <c r="D124">
        <f t="shared" si="8"/>
        <v>124.22285641004576</v>
      </c>
      <c r="E124">
        <f t="shared" si="9"/>
        <v>1.8931501569646514</v>
      </c>
      <c r="F124">
        <f t="shared" si="10"/>
        <v>-29.352505283277708</v>
      </c>
      <c r="G124">
        <f t="shared" si="11"/>
        <v>269.6251687588358</v>
      </c>
      <c r="H124">
        <f>Main!N124</f>
        <v>6.2807120000000003</v>
      </c>
    </row>
    <row r="125" spans="1:8" x14ac:dyDescent="0.25">
      <c r="A125">
        <f>Main!$K$2</f>
        <v>0.02</v>
      </c>
      <c r="B125">
        <f>Main!V125</f>
        <v>144.80335329779439</v>
      </c>
      <c r="C125">
        <f>Main!W125</f>
        <v>187.90028096460662</v>
      </c>
      <c r="D125">
        <f t="shared" si="8"/>
        <v>124.26071941318506</v>
      </c>
      <c r="E125">
        <f t="shared" si="9"/>
        <v>1.3061000512990972</v>
      </c>
      <c r="F125">
        <f t="shared" si="10"/>
        <v>-23.960001908100992</v>
      </c>
      <c r="G125">
        <f t="shared" si="11"/>
        <v>277.37506807667955</v>
      </c>
      <c r="H125">
        <f>Main!N125</f>
        <v>6.2817020000000001</v>
      </c>
    </row>
    <row r="126" spans="1:8" x14ac:dyDescent="0.25">
      <c r="A126">
        <f>Main!$K$2</f>
        <v>0.02</v>
      </c>
      <c r="B126">
        <f>Main!V126</f>
        <v>144.82947529299636</v>
      </c>
      <c r="C126">
        <f>Main!W126</f>
        <v>187.90026352129084</v>
      </c>
      <c r="D126">
        <f t="shared" si="8"/>
        <v>124.28684141421104</v>
      </c>
      <c r="E126">
        <f t="shared" si="9"/>
        <v>0.82690001313707739</v>
      </c>
      <c r="F126">
        <f t="shared" si="10"/>
        <v>-18.412500546567401</v>
      </c>
      <c r="G126">
        <f t="shared" si="11"/>
        <v>269.62502226979268</v>
      </c>
      <c r="H126">
        <f>Main!N126</f>
        <v>6.2823840000000004</v>
      </c>
    </row>
    <row r="127" spans="1:8" x14ac:dyDescent="0.25">
      <c r="A127">
        <f>Main!$K$2</f>
        <v>0.02</v>
      </c>
      <c r="B127">
        <f>Main!V127</f>
        <v>144.84601329259553</v>
      </c>
      <c r="C127">
        <f>Main!W127</f>
        <v>187.90025883639416</v>
      </c>
      <c r="D127">
        <f t="shared" si="8"/>
        <v>124.30337941447378</v>
      </c>
      <c r="E127">
        <f t="shared" si="9"/>
        <v>0.45865000220572938</v>
      </c>
      <c r="F127">
        <f t="shared" si="10"/>
        <v>-13.020000101171547</v>
      </c>
      <c r="G127">
        <f t="shared" si="11"/>
        <v>275.37500460717013</v>
      </c>
      <c r="H127">
        <f>Main!N127</f>
        <v>6.2828169999999997</v>
      </c>
    </row>
    <row r="128" spans="1:8" x14ac:dyDescent="0.25">
      <c r="A128">
        <f>Main!$K$2</f>
        <v>0.02</v>
      </c>
      <c r="B128">
        <f>Main!V128</f>
        <v>144.85518629260835</v>
      </c>
      <c r="C128">
        <f>Main!W128</f>
        <v>187.90025807866687</v>
      </c>
      <c r="D128">
        <f t="shared" si="8"/>
        <v>124.3125524145179</v>
      </c>
      <c r="E128">
        <f t="shared" si="9"/>
        <v>0.19825000018229844</v>
      </c>
      <c r="F128">
        <f t="shared" si="10"/>
        <v>-7.5125000090281446</v>
      </c>
      <c r="G128">
        <f t="shared" si="11"/>
        <v>255.62500044706837</v>
      </c>
      <c r="H128">
        <f>Main!N128</f>
        <v>6.2830560000000002</v>
      </c>
    </row>
    <row r="129" spans="1:8" x14ac:dyDescent="0.25">
      <c r="A129">
        <f>Main!$K$2</f>
        <v>0.02</v>
      </c>
      <c r="B129">
        <f>Main!V129</f>
        <v>144.85915129261195</v>
      </c>
      <c r="C129">
        <f>Main!W129</f>
        <v>187.9002580594439</v>
      </c>
      <c r="D129">
        <f t="shared" si="8"/>
        <v>124.31651741452154</v>
      </c>
      <c r="E129">
        <f t="shared" si="9"/>
        <v>4.8000000001735543E-2</v>
      </c>
      <c r="F129">
        <f t="shared" si="10"/>
        <v>-2.4000000000867772</v>
      </c>
      <c r="G129">
        <f t="shared" si="11"/>
        <v>120.00000000433886</v>
      </c>
      <c r="H129">
        <f>Main!N129</f>
        <v>6.2831599999999996</v>
      </c>
    </row>
    <row r="130" spans="1:8" x14ac:dyDescent="0.25">
      <c r="A130">
        <f>Main!$K$2</f>
        <v>0.02</v>
      </c>
      <c r="B130">
        <f>Main!V130</f>
        <v>144.86011129261198</v>
      </c>
      <c r="C130">
        <f>Main!W130</f>
        <v>187.9002580638365</v>
      </c>
      <c r="D130">
        <f t="shared" si="8"/>
        <v>124.31747741452158</v>
      </c>
      <c r="E130">
        <f t="shared" si="9"/>
        <v>0</v>
      </c>
      <c r="F130">
        <f t="shared" si="10"/>
        <v>0</v>
      </c>
      <c r="G130">
        <f t="shared" si="11"/>
        <v>0</v>
      </c>
      <c r="H130">
        <f>Main!N130</f>
        <v>6.2831849999999996</v>
      </c>
    </row>
    <row r="131" spans="1:8" x14ac:dyDescent="0.25">
      <c r="A131">
        <f>Main!$K$2</f>
        <v>0.02</v>
      </c>
      <c r="B131">
        <f>Main!V131</f>
        <v>144.86011129261198</v>
      </c>
      <c r="C131">
        <f>Main!W131</f>
        <v>187.9002580638365</v>
      </c>
      <c r="D131">
        <f t="shared" si="8"/>
        <v>124.31747741452158</v>
      </c>
      <c r="E131">
        <f t="shared" si="9"/>
        <v>0</v>
      </c>
      <c r="F131">
        <f t="shared" si="10"/>
        <v>0</v>
      </c>
      <c r="G131">
        <f t="shared" si="11"/>
        <v>0</v>
      </c>
      <c r="H131">
        <f>Main!N131</f>
        <v>6.2831849999999996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Center</vt:lpstr>
      <vt:lpstr>Left</vt:lpstr>
      <vt:lpstr>Right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Team294</dc:creator>
  <cp:lastModifiedBy>Team294</cp:lastModifiedBy>
  <dcterms:created xsi:type="dcterms:W3CDTF">2019-04-10T04:52:15Z</dcterms:created>
  <dcterms:modified xsi:type="dcterms:W3CDTF">2019-04-12T07:26:57Z</dcterms:modified>
</cp:coreProperties>
</file>