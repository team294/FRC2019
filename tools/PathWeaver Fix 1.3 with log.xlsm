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am294\Desktop\Pathweaver\"/>
    </mc:Choice>
  </mc:AlternateContent>
  <bookViews>
    <workbookView xWindow="0" yWindow="0" windowWidth="14490" windowHeight="12360"/>
  </bookViews>
  <sheets>
    <sheet name="Main" sheetId="1" r:id="rId1"/>
    <sheet name="Original" sheetId="2" r:id="rId2"/>
    <sheet name="Center" sheetId="5" r:id="rId3"/>
    <sheet name="Left" sheetId="3" r:id="rId4"/>
    <sheet name="Right" sheetId="4" r:id="rId5"/>
    <sheet name="Logfile Data" sheetId="6" r:id="rId6"/>
  </sheets>
  <calcPr calcId="152511"/>
</workbook>
</file>

<file path=xl/calcChain.xml><?xml version="1.0" encoding="utf-8"?>
<calcChain xmlns="http://schemas.openxmlformats.org/spreadsheetml/2006/main">
  <c r="A5" i="4" l="1"/>
  <c r="B5" i="4"/>
  <c r="C5" i="4"/>
  <c r="D5" i="4" s="1"/>
  <c r="H5" i="4"/>
  <c r="A6" i="4"/>
  <c r="B6" i="4"/>
  <c r="C6" i="4"/>
  <c r="D6" i="4"/>
  <c r="H6" i="4"/>
  <c r="A7" i="4"/>
  <c r="B7" i="4"/>
  <c r="C7" i="4"/>
  <c r="H7" i="4"/>
  <c r="A8" i="4"/>
  <c r="B8" i="4"/>
  <c r="C8" i="4"/>
  <c r="H8" i="4"/>
  <c r="A9" i="4"/>
  <c r="B9" i="4"/>
  <c r="C9" i="4"/>
  <c r="H9" i="4"/>
  <c r="A10" i="4"/>
  <c r="B10" i="4"/>
  <c r="C10" i="4"/>
  <c r="H10" i="4"/>
  <c r="A11" i="4"/>
  <c r="B11" i="4"/>
  <c r="C11" i="4"/>
  <c r="H11" i="4"/>
  <c r="A12" i="4"/>
  <c r="B12" i="4"/>
  <c r="C12" i="4"/>
  <c r="H12" i="4"/>
  <c r="A13" i="4"/>
  <c r="B13" i="4"/>
  <c r="C13" i="4"/>
  <c r="H13" i="4"/>
  <c r="A14" i="4"/>
  <c r="B14" i="4"/>
  <c r="C14" i="4"/>
  <c r="H14" i="4"/>
  <c r="A15" i="4"/>
  <c r="B15" i="4"/>
  <c r="C15" i="4"/>
  <c r="H15" i="4"/>
  <c r="A16" i="4"/>
  <c r="B16" i="4"/>
  <c r="C16" i="4"/>
  <c r="H16" i="4"/>
  <c r="A17" i="4"/>
  <c r="B17" i="4"/>
  <c r="C17" i="4"/>
  <c r="H17" i="4"/>
  <c r="A18" i="4"/>
  <c r="B18" i="4"/>
  <c r="C18" i="4"/>
  <c r="H18" i="4"/>
  <c r="A19" i="4"/>
  <c r="B19" i="4"/>
  <c r="C19" i="4"/>
  <c r="H19" i="4"/>
  <c r="A20" i="4"/>
  <c r="B20" i="4"/>
  <c r="C20" i="4"/>
  <c r="H20" i="4"/>
  <c r="A21" i="4"/>
  <c r="B21" i="4"/>
  <c r="C21" i="4"/>
  <c r="H21" i="4"/>
  <c r="A22" i="4"/>
  <c r="B22" i="4"/>
  <c r="C22" i="4"/>
  <c r="H22" i="4"/>
  <c r="A23" i="4"/>
  <c r="B23" i="4"/>
  <c r="C23" i="4"/>
  <c r="H23" i="4"/>
  <c r="A24" i="4"/>
  <c r="B24" i="4"/>
  <c r="C24" i="4"/>
  <c r="H24" i="4"/>
  <c r="A25" i="4"/>
  <c r="B25" i="4"/>
  <c r="C25" i="4"/>
  <c r="H25" i="4"/>
  <c r="A26" i="4"/>
  <c r="B26" i="4"/>
  <c r="C26" i="4"/>
  <c r="H26" i="4"/>
  <c r="A27" i="4"/>
  <c r="B27" i="4"/>
  <c r="C27" i="4"/>
  <c r="H27" i="4"/>
  <c r="A28" i="4"/>
  <c r="B28" i="4"/>
  <c r="C28" i="4"/>
  <c r="H28" i="4"/>
  <c r="A29" i="4"/>
  <c r="B29" i="4"/>
  <c r="C29" i="4"/>
  <c r="H29" i="4"/>
  <c r="A30" i="4"/>
  <c r="B30" i="4"/>
  <c r="C30" i="4"/>
  <c r="H30" i="4"/>
  <c r="A31" i="4"/>
  <c r="B31" i="4"/>
  <c r="C31" i="4"/>
  <c r="H31" i="4"/>
  <c r="A32" i="4"/>
  <c r="B32" i="4"/>
  <c r="C32" i="4"/>
  <c r="H32" i="4"/>
  <c r="A33" i="4"/>
  <c r="B33" i="4"/>
  <c r="C33" i="4"/>
  <c r="H33" i="4"/>
  <c r="A34" i="4"/>
  <c r="B34" i="4"/>
  <c r="C34" i="4"/>
  <c r="H34" i="4"/>
  <c r="A35" i="4"/>
  <c r="B35" i="4"/>
  <c r="C35" i="4"/>
  <c r="H35" i="4"/>
  <c r="A36" i="4"/>
  <c r="B36" i="4"/>
  <c r="C36" i="4"/>
  <c r="H36" i="4"/>
  <c r="A37" i="4"/>
  <c r="B37" i="4"/>
  <c r="C37" i="4"/>
  <c r="H37" i="4"/>
  <c r="A38" i="4"/>
  <c r="B38" i="4"/>
  <c r="C38" i="4"/>
  <c r="H38" i="4"/>
  <c r="A39" i="4"/>
  <c r="B39" i="4"/>
  <c r="C39" i="4"/>
  <c r="H39" i="4"/>
  <c r="A40" i="4"/>
  <c r="B40" i="4"/>
  <c r="C40" i="4"/>
  <c r="H40" i="4"/>
  <c r="A41" i="4"/>
  <c r="B41" i="4"/>
  <c r="C41" i="4"/>
  <c r="H41" i="4"/>
  <c r="A42" i="4"/>
  <c r="B42" i="4"/>
  <c r="C42" i="4"/>
  <c r="H42" i="4"/>
  <c r="A43" i="4"/>
  <c r="B43" i="4"/>
  <c r="C43" i="4"/>
  <c r="H43" i="4"/>
  <c r="A44" i="4"/>
  <c r="B44" i="4"/>
  <c r="C44" i="4"/>
  <c r="H44" i="4"/>
  <c r="A45" i="4"/>
  <c r="B45" i="4"/>
  <c r="C45" i="4"/>
  <c r="H45" i="4"/>
  <c r="A46" i="4"/>
  <c r="B46" i="4"/>
  <c r="C46" i="4"/>
  <c r="H46" i="4"/>
  <c r="A47" i="4"/>
  <c r="B47" i="4"/>
  <c r="C47" i="4"/>
  <c r="H47" i="4"/>
  <c r="A48" i="4"/>
  <c r="B48" i="4"/>
  <c r="C48" i="4"/>
  <c r="H48" i="4"/>
  <c r="A49" i="4"/>
  <c r="B49" i="4"/>
  <c r="C49" i="4"/>
  <c r="H49" i="4"/>
  <c r="A50" i="4"/>
  <c r="B50" i="4"/>
  <c r="C50" i="4"/>
  <c r="H50" i="4"/>
  <c r="A51" i="4"/>
  <c r="B51" i="4"/>
  <c r="C51" i="4"/>
  <c r="H51" i="4"/>
  <c r="A52" i="4"/>
  <c r="B52" i="4"/>
  <c r="C52" i="4"/>
  <c r="H52" i="4"/>
  <c r="A53" i="4"/>
  <c r="B53" i="4"/>
  <c r="C53" i="4"/>
  <c r="H53" i="4"/>
  <c r="A54" i="4"/>
  <c r="B54" i="4"/>
  <c r="C54" i="4"/>
  <c r="H54" i="4"/>
  <c r="A55" i="4"/>
  <c r="B55" i="4"/>
  <c r="C55" i="4"/>
  <c r="H55" i="4"/>
  <c r="A56" i="4"/>
  <c r="B56" i="4"/>
  <c r="C56" i="4"/>
  <c r="H56" i="4"/>
  <c r="A57" i="4"/>
  <c r="B57" i="4"/>
  <c r="C57" i="4"/>
  <c r="H57" i="4"/>
  <c r="A58" i="4"/>
  <c r="B58" i="4"/>
  <c r="C58" i="4"/>
  <c r="H58" i="4"/>
  <c r="A59" i="4"/>
  <c r="B59" i="4"/>
  <c r="C59" i="4"/>
  <c r="H59" i="4"/>
  <c r="A60" i="4"/>
  <c r="B60" i="4"/>
  <c r="C60" i="4"/>
  <c r="H60" i="4"/>
  <c r="A61" i="4"/>
  <c r="B61" i="4"/>
  <c r="C61" i="4"/>
  <c r="H61" i="4"/>
  <c r="A62" i="4"/>
  <c r="B62" i="4"/>
  <c r="C62" i="4"/>
  <c r="H62" i="4"/>
  <c r="A63" i="4"/>
  <c r="B63" i="4"/>
  <c r="C63" i="4"/>
  <c r="H63" i="4"/>
  <c r="A64" i="4"/>
  <c r="B64" i="4"/>
  <c r="C64" i="4"/>
  <c r="H64" i="4"/>
  <c r="A65" i="4"/>
  <c r="B65" i="4"/>
  <c r="C65" i="4"/>
  <c r="H65" i="4"/>
  <c r="A66" i="4"/>
  <c r="B66" i="4"/>
  <c r="C66" i="4"/>
  <c r="H66" i="4"/>
  <c r="A67" i="4"/>
  <c r="B67" i="4"/>
  <c r="C67" i="4"/>
  <c r="H67" i="4"/>
  <c r="A68" i="4"/>
  <c r="B68" i="4"/>
  <c r="C68" i="4"/>
  <c r="H68" i="4"/>
  <c r="A69" i="4"/>
  <c r="B69" i="4"/>
  <c r="C69" i="4"/>
  <c r="H69" i="4"/>
  <c r="A70" i="4"/>
  <c r="B70" i="4"/>
  <c r="C70" i="4"/>
  <c r="H70" i="4"/>
  <c r="A71" i="4"/>
  <c r="B71" i="4"/>
  <c r="C71" i="4"/>
  <c r="H71" i="4"/>
  <c r="A72" i="4"/>
  <c r="B72" i="4"/>
  <c r="C72" i="4"/>
  <c r="H72" i="4"/>
  <c r="A73" i="4"/>
  <c r="B73" i="4"/>
  <c r="C73" i="4"/>
  <c r="H73" i="4"/>
  <c r="A74" i="4"/>
  <c r="B74" i="4"/>
  <c r="C74" i="4"/>
  <c r="H74" i="4"/>
  <c r="A75" i="4"/>
  <c r="B75" i="4"/>
  <c r="C75" i="4"/>
  <c r="H75" i="4"/>
  <c r="A76" i="4"/>
  <c r="B76" i="4"/>
  <c r="C76" i="4"/>
  <c r="H76" i="4"/>
  <c r="A77" i="4"/>
  <c r="B77" i="4"/>
  <c r="C77" i="4"/>
  <c r="H77" i="4"/>
  <c r="A78" i="4"/>
  <c r="B78" i="4"/>
  <c r="C78" i="4"/>
  <c r="H78" i="4"/>
  <c r="A79" i="4"/>
  <c r="B79" i="4"/>
  <c r="C79" i="4"/>
  <c r="H79" i="4"/>
  <c r="A80" i="4"/>
  <c r="B80" i="4"/>
  <c r="C80" i="4"/>
  <c r="H80" i="4"/>
  <c r="A81" i="4"/>
  <c r="B81" i="4"/>
  <c r="C81" i="4"/>
  <c r="H81" i="4"/>
  <c r="A82" i="4"/>
  <c r="B82" i="4"/>
  <c r="C82" i="4"/>
  <c r="H82" i="4"/>
  <c r="A83" i="4"/>
  <c r="B83" i="4"/>
  <c r="C83" i="4"/>
  <c r="H83" i="4"/>
  <c r="A84" i="4"/>
  <c r="B84" i="4"/>
  <c r="C84" i="4"/>
  <c r="H84" i="4"/>
  <c r="A85" i="4"/>
  <c r="B85" i="4"/>
  <c r="C85" i="4"/>
  <c r="H85" i="4"/>
  <c r="A86" i="4"/>
  <c r="B86" i="4"/>
  <c r="C86" i="4"/>
  <c r="H86" i="4"/>
  <c r="A87" i="4"/>
  <c r="B87" i="4"/>
  <c r="C87" i="4"/>
  <c r="H87" i="4"/>
  <c r="A88" i="4"/>
  <c r="B88" i="4"/>
  <c r="C88" i="4"/>
  <c r="H88" i="4"/>
  <c r="A89" i="4"/>
  <c r="B89" i="4"/>
  <c r="C89" i="4"/>
  <c r="H89" i="4"/>
  <c r="A90" i="4"/>
  <c r="B90" i="4"/>
  <c r="C90" i="4"/>
  <c r="H90" i="4"/>
  <c r="A91" i="4"/>
  <c r="B91" i="4"/>
  <c r="C91" i="4"/>
  <c r="H91" i="4"/>
  <c r="A92" i="4"/>
  <c r="B92" i="4"/>
  <c r="C92" i="4"/>
  <c r="H92" i="4"/>
  <c r="A93" i="4"/>
  <c r="B93" i="4"/>
  <c r="C93" i="4"/>
  <c r="H93" i="4"/>
  <c r="A94" i="4"/>
  <c r="B94" i="4"/>
  <c r="C94" i="4"/>
  <c r="H94" i="4"/>
  <c r="A95" i="4"/>
  <c r="B95" i="4"/>
  <c r="C95" i="4"/>
  <c r="H95" i="4"/>
  <c r="A96" i="4"/>
  <c r="B96" i="4"/>
  <c r="C96" i="4"/>
  <c r="H96" i="4"/>
  <c r="A97" i="4"/>
  <c r="B97" i="4"/>
  <c r="C97" i="4"/>
  <c r="H97" i="4"/>
  <c r="A98" i="4"/>
  <c r="B98" i="4"/>
  <c r="C98" i="4"/>
  <c r="H98" i="4"/>
  <c r="A99" i="4"/>
  <c r="B99" i="4"/>
  <c r="C99" i="4"/>
  <c r="H99" i="4"/>
  <c r="A100" i="4"/>
  <c r="B100" i="4"/>
  <c r="C100" i="4"/>
  <c r="H100" i="4"/>
  <c r="A101" i="4"/>
  <c r="B101" i="4"/>
  <c r="C101" i="4"/>
  <c r="H101" i="4"/>
  <c r="A102" i="4"/>
  <c r="B102" i="4"/>
  <c r="C102" i="4"/>
  <c r="H102" i="4"/>
  <c r="A103" i="4"/>
  <c r="B103" i="4"/>
  <c r="C103" i="4"/>
  <c r="H103" i="4"/>
  <c r="A104" i="4"/>
  <c r="B104" i="4"/>
  <c r="C104" i="4"/>
  <c r="H104" i="4"/>
  <c r="A105" i="4"/>
  <c r="B105" i="4"/>
  <c r="C105" i="4"/>
  <c r="H105" i="4"/>
  <c r="A106" i="4"/>
  <c r="B106" i="4"/>
  <c r="C106" i="4"/>
  <c r="H106" i="4"/>
  <c r="A107" i="4"/>
  <c r="B107" i="4"/>
  <c r="C107" i="4"/>
  <c r="H107" i="4"/>
  <c r="A108" i="4"/>
  <c r="B108" i="4"/>
  <c r="C108" i="4"/>
  <c r="H108" i="4"/>
  <c r="A109" i="4"/>
  <c r="B109" i="4"/>
  <c r="C109" i="4"/>
  <c r="H109" i="4"/>
  <c r="A110" i="4"/>
  <c r="B110" i="4"/>
  <c r="C110" i="4"/>
  <c r="H110" i="4"/>
  <c r="A111" i="4"/>
  <c r="B111" i="4"/>
  <c r="C111" i="4"/>
  <c r="H111" i="4"/>
  <c r="A112" i="4"/>
  <c r="B112" i="4"/>
  <c r="C112" i="4"/>
  <c r="H112" i="4"/>
  <c r="A113" i="4"/>
  <c r="B113" i="4"/>
  <c r="C113" i="4"/>
  <c r="H113" i="4"/>
  <c r="A114" i="4"/>
  <c r="B114" i="4"/>
  <c r="C114" i="4"/>
  <c r="H114" i="4"/>
  <c r="A115" i="4"/>
  <c r="B115" i="4"/>
  <c r="C115" i="4"/>
  <c r="H115" i="4"/>
  <c r="A116" i="4"/>
  <c r="B116" i="4"/>
  <c r="C116" i="4"/>
  <c r="H116" i="4"/>
  <c r="A117" i="4"/>
  <c r="B117" i="4"/>
  <c r="C117" i="4"/>
  <c r="H117" i="4"/>
  <c r="A118" i="4"/>
  <c r="B118" i="4"/>
  <c r="C118" i="4"/>
  <c r="H118" i="4"/>
  <c r="A119" i="4"/>
  <c r="B119" i="4"/>
  <c r="C119" i="4"/>
  <c r="H119" i="4"/>
  <c r="A120" i="4"/>
  <c r="B120" i="4"/>
  <c r="C120" i="4"/>
  <c r="H120" i="4"/>
  <c r="A121" i="4"/>
  <c r="B121" i="4"/>
  <c r="C121" i="4"/>
  <c r="H121" i="4"/>
  <c r="A122" i="4"/>
  <c r="B122" i="4"/>
  <c r="C122" i="4"/>
  <c r="H122" i="4"/>
  <c r="A123" i="4"/>
  <c r="B123" i="4"/>
  <c r="C123" i="4"/>
  <c r="H123" i="4"/>
  <c r="A124" i="4"/>
  <c r="B124" i="4"/>
  <c r="C124" i="4"/>
  <c r="H124" i="4"/>
  <c r="A125" i="4"/>
  <c r="B125" i="4"/>
  <c r="C125" i="4"/>
  <c r="H125" i="4"/>
  <c r="A126" i="4"/>
  <c r="B126" i="4"/>
  <c r="C126" i="4"/>
  <c r="H126" i="4"/>
  <c r="A127" i="4"/>
  <c r="B127" i="4"/>
  <c r="C127" i="4"/>
  <c r="H127" i="4"/>
  <c r="A128" i="4"/>
  <c r="B128" i="4"/>
  <c r="C128" i="4"/>
  <c r="H128" i="4"/>
  <c r="A129" i="4"/>
  <c r="B129" i="4"/>
  <c r="C129" i="4"/>
  <c r="H129" i="4"/>
  <c r="A130" i="4"/>
  <c r="B130" i="4"/>
  <c r="C130" i="4"/>
  <c r="H130" i="4"/>
  <c r="A131" i="4"/>
  <c r="B131" i="4"/>
  <c r="C131" i="4"/>
  <c r="H131" i="4"/>
  <c r="A132" i="4"/>
  <c r="B132" i="4"/>
  <c r="C132" i="4"/>
  <c r="H132" i="4"/>
  <c r="A133" i="4"/>
  <c r="B133" i="4"/>
  <c r="C133" i="4"/>
  <c r="H133" i="4"/>
  <c r="A134" i="4"/>
  <c r="B134" i="4"/>
  <c r="C134" i="4"/>
  <c r="H134" i="4"/>
  <c r="A135" i="4"/>
  <c r="B135" i="4"/>
  <c r="C135" i="4"/>
  <c r="H135" i="4"/>
  <c r="A136" i="4"/>
  <c r="B136" i="4"/>
  <c r="C136" i="4"/>
  <c r="H136" i="4"/>
  <c r="A137" i="4"/>
  <c r="B137" i="4"/>
  <c r="C137" i="4"/>
  <c r="H137" i="4"/>
  <c r="A138" i="4"/>
  <c r="B138" i="4"/>
  <c r="C138" i="4"/>
  <c r="H138" i="4"/>
  <c r="A139" i="4"/>
  <c r="B139" i="4"/>
  <c r="C139" i="4"/>
  <c r="H139" i="4"/>
  <c r="A140" i="4"/>
  <c r="B140" i="4"/>
  <c r="C140" i="4"/>
  <c r="H140" i="4"/>
  <c r="A141" i="4"/>
  <c r="B141" i="4"/>
  <c r="C141" i="4"/>
  <c r="H141" i="4"/>
  <c r="A142" i="4"/>
  <c r="B142" i="4"/>
  <c r="C142" i="4"/>
  <c r="H142" i="4"/>
  <c r="A143" i="4"/>
  <c r="B143" i="4"/>
  <c r="C143" i="4"/>
  <c r="H143" i="4"/>
  <c r="A144" i="4"/>
  <c r="B144" i="4"/>
  <c r="C144" i="4"/>
  <c r="H144" i="4"/>
  <c r="A145" i="4"/>
  <c r="B145" i="4"/>
  <c r="C145" i="4"/>
  <c r="H145" i="4"/>
  <c r="A146" i="4"/>
  <c r="B146" i="4"/>
  <c r="C146" i="4"/>
  <c r="H146" i="4"/>
  <c r="A147" i="4"/>
  <c r="B147" i="4"/>
  <c r="C147" i="4"/>
  <c r="H147" i="4"/>
  <c r="A148" i="4"/>
  <c r="B148" i="4"/>
  <c r="C148" i="4"/>
  <c r="H148" i="4"/>
  <c r="A149" i="4"/>
  <c r="B149" i="4"/>
  <c r="C149" i="4"/>
  <c r="H149" i="4"/>
  <c r="A150" i="4"/>
  <c r="B150" i="4"/>
  <c r="C150" i="4"/>
  <c r="H150" i="4"/>
  <c r="A151" i="4"/>
  <c r="B151" i="4"/>
  <c r="C151" i="4"/>
  <c r="H151" i="4"/>
  <c r="A152" i="4"/>
  <c r="B152" i="4"/>
  <c r="C152" i="4"/>
  <c r="H152" i="4"/>
  <c r="A153" i="4"/>
  <c r="B153" i="4"/>
  <c r="C153" i="4"/>
  <c r="H153" i="4"/>
  <c r="A154" i="4"/>
  <c r="B154" i="4"/>
  <c r="C154" i="4"/>
  <c r="H154" i="4"/>
  <c r="A155" i="4"/>
  <c r="B155" i="4"/>
  <c r="C155" i="4"/>
  <c r="H155" i="4"/>
  <c r="A156" i="4"/>
  <c r="B156" i="4"/>
  <c r="C156" i="4"/>
  <c r="H156" i="4"/>
  <c r="A157" i="4"/>
  <c r="B157" i="4"/>
  <c r="C157" i="4"/>
  <c r="H157" i="4"/>
  <c r="A158" i="4"/>
  <c r="B158" i="4"/>
  <c r="C158" i="4"/>
  <c r="H158" i="4"/>
  <c r="A159" i="4"/>
  <c r="B159" i="4"/>
  <c r="C159" i="4"/>
  <c r="H159" i="4"/>
  <c r="A160" i="4"/>
  <c r="B160" i="4"/>
  <c r="C160" i="4"/>
  <c r="H160" i="4"/>
  <c r="A161" i="4"/>
  <c r="B161" i="4"/>
  <c r="C161" i="4"/>
  <c r="H161" i="4"/>
  <c r="A162" i="4"/>
  <c r="B162" i="4"/>
  <c r="C162" i="4"/>
  <c r="H162" i="4"/>
  <c r="A163" i="4"/>
  <c r="B163" i="4"/>
  <c r="C163" i="4"/>
  <c r="H163" i="4"/>
  <c r="A164" i="4"/>
  <c r="B164" i="4"/>
  <c r="C164" i="4"/>
  <c r="H164" i="4"/>
  <c r="A165" i="4"/>
  <c r="B165" i="4"/>
  <c r="C165" i="4"/>
  <c r="H165" i="4"/>
  <c r="A166" i="4"/>
  <c r="B166" i="4"/>
  <c r="C166" i="4"/>
  <c r="H166" i="4"/>
  <c r="A167" i="4"/>
  <c r="B167" i="4"/>
  <c r="C167" i="4"/>
  <c r="H167" i="4"/>
  <c r="A168" i="4"/>
  <c r="B168" i="4"/>
  <c r="C168" i="4"/>
  <c r="H168" i="4"/>
  <c r="A169" i="4"/>
  <c r="B169" i="4"/>
  <c r="C169" i="4"/>
  <c r="H169" i="4"/>
  <c r="A170" i="4"/>
  <c r="B170" i="4"/>
  <c r="C170" i="4"/>
  <c r="H170" i="4"/>
  <c r="A171" i="4"/>
  <c r="B171" i="4"/>
  <c r="C171" i="4"/>
  <c r="H171" i="4"/>
  <c r="A172" i="4"/>
  <c r="B172" i="4"/>
  <c r="C172" i="4"/>
  <c r="H172" i="4"/>
  <c r="A173" i="4"/>
  <c r="B173" i="4"/>
  <c r="C173" i="4"/>
  <c r="H173" i="4"/>
  <c r="A174" i="4"/>
  <c r="B174" i="4"/>
  <c r="C174" i="4"/>
  <c r="H174" i="4"/>
  <c r="A175" i="4"/>
  <c r="B175" i="4"/>
  <c r="C175" i="4"/>
  <c r="H175" i="4"/>
  <c r="A176" i="4"/>
  <c r="B176" i="4"/>
  <c r="C176" i="4"/>
  <c r="H176" i="4"/>
  <c r="A177" i="4"/>
  <c r="B177" i="4"/>
  <c r="C177" i="4"/>
  <c r="H177" i="4"/>
  <c r="A178" i="4"/>
  <c r="B178" i="4"/>
  <c r="C178" i="4"/>
  <c r="H178" i="4"/>
  <c r="A179" i="4"/>
  <c r="B179" i="4"/>
  <c r="C179" i="4"/>
  <c r="H179" i="4"/>
  <c r="A180" i="4"/>
  <c r="B180" i="4"/>
  <c r="C180" i="4"/>
  <c r="H180" i="4"/>
  <c r="A181" i="4"/>
  <c r="B181" i="4"/>
  <c r="C181" i="4"/>
  <c r="H181" i="4"/>
  <c r="A182" i="4"/>
  <c r="B182" i="4"/>
  <c r="C182" i="4"/>
  <c r="H182" i="4"/>
  <c r="A183" i="4"/>
  <c r="B183" i="4"/>
  <c r="C183" i="4"/>
  <c r="H183" i="4"/>
  <c r="A184" i="4"/>
  <c r="B184" i="4"/>
  <c r="C184" i="4"/>
  <c r="H184" i="4"/>
  <c r="A185" i="4"/>
  <c r="B185" i="4"/>
  <c r="C185" i="4"/>
  <c r="H185" i="4"/>
  <c r="A186" i="4"/>
  <c r="B186" i="4"/>
  <c r="C186" i="4"/>
  <c r="H186" i="4"/>
  <c r="A187" i="4"/>
  <c r="B187" i="4"/>
  <c r="C187" i="4"/>
  <c r="H187" i="4"/>
  <c r="A188" i="4"/>
  <c r="B188" i="4"/>
  <c r="C188" i="4"/>
  <c r="H188" i="4"/>
  <c r="A189" i="4"/>
  <c r="B189" i="4"/>
  <c r="C189" i="4"/>
  <c r="H189" i="4"/>
  <c r="A190" i="4"/>
  <c r="B190" i="4"/>
  <c r="C190" i="4"/>
  <c r="H190" i="4"/>
  <c r="A191" i="4"/>
  <c r="B191" i="4"/>
  <c r="C191" i="4"/>
  <c r="H191" i="4"/>
  <c r="A192" i="4"/>
  <c r="B192" i="4"/>
  <c r="C192" i="4"/>
  <c r="H192" i="4"/>
  <c r="A193" i="4"/>
  <c r="B193" i="4"/>
  <c r="C193" i="4"/>
  <c r="H193" i="4"/>
  <c r="A194" i="4"/>
  <c r="B194" i="4"/>
  <c r="C194" i="4"/>
  <c r="H194" i="4"/>
  <c r="A195" i="4"/>
  <c r="B195" i="4"/>
  <c r="C195" i="4"/>
  <c r="H195" i="4"/>
  <c r="A196" i="4"/>
  <c r="B196" i="4"/>
  <c r="C196" i="4"/>
  <c r="H196" i="4"/>
  <c r="A197" i="4"/>
  <c r="B197" i="4"/>
  <c r="C197" i="4"/>
  <c r="H197" i="4"/>
  <c r="A198" i="4"/>
  <c r="B198" i="4"/>
  <c r="C198" i="4"/>
  <c r="H198" i="4"/>
  <c r="A199" i="4"/>
  <c r="B199" i="4"/>
  <c r="C199" i="4"/>
  <c r="H199" i="4"/>
  <c r="A200" i="4"/>
  <c r="B200" i="4"/>
  <c r="C200" i="4"/>
  <c r="H200" i="4"/>
  <c r="A201" i="4"/>
  <c r="B201" i="4"/>
  <c r="C201" i="4"/>
  <c r="H201" i="4"/>
  <c r="A202" i="4"/>
  <c r="B202" i="4"/>
  <c r="C202" i="4"/>
  <c r="H202" i="4"/>
  <c r="A203" i="4"/>
  <c r="B203" i="4"/>
  <c r="C203" i="4"/>
  <c r="H203" i="4"/>
  <c r="A204" i="4"/>
  <c r="B204" i="4"/>
  <c r="C204" i="4"/>
  <c r="H204" i="4"/>
  <c r="A205" i="4"/>
  <c r="B205" i="4"/>
  <c r="C205" i="4"/>
  <c r="H205" i="4"/>
  <c r="A206" i="4"/>
  <c r="B206" i="4"/>
  <c r="C206" i="4"/>
  <c r="H206" i="4"/>
  <c r="A207" i="4"/>
  <c r="B207" i="4"/>
  <c r="C207" i="4"/>
  <c r="H207" i="4"/>
  <c r="A208" i="4"/>
  <c r="B208" i="4"/>
  <c r="C208" i="4"/>
  <c r="H208" i="4"/>
  <c r="A209" i="4"/>
  <c r="B209" i="4"/>
  <c r="C209" i="4"/>
  <c r="H209" i="4"/>
  <c r="A210" i="4"/>
  <c r="B210" i="4"/>
  <c r="C210" i="4"/>
  <c r="H210" i="4"/>
  <c r="A211" i="4"/>
  <c r="B211" i="4"/>
  <c r="C211" i="4"/>
  <c r="E211" i="4"/>
  <c r="F211" i="4"/>
  <c r="H211" i="4"/>
  <c r="A5" i="3"/>
  <c r="B5" i="3"/>
  <c r="C5" i="3"/>
  <c r="D5" i="3"/>
  <c r="H5" i="3"/>
  <c r="A6" i="3"/>
  <c r="B6" i="3"/>
  <c r="C6" i="3"/>
  <c r="D6" i="3"/>
  <c r="E5" i="3" s="1"/>
  <c r="H6" i="3"/>
  <c r="A7" i="3"/>
  <c r="B7" i="3"/>
  <c r="C7" i="3"/>
  <c r="D7" i="3"/>
  <c r="E6" i="3" s="1"/>
  <c r="F5" i="3" s="1"/>
  <c r="H7" i="3"/>
  <c r="A8" i="3"/>
  <c r="B8" i="3"/>
  <c r="C8" i="3"/>
  <c r="D8" i="3"/>
  <c r="E7" i="3" s="1"/>
  <c r="F6" i="3" s="1"/>
  <c r="G5" i="3" s="1"/>
  <c r="H8" i="3"/>
  <c r="A9" i="3"/>
  <c r="B9" i="3"/>
  <c r="C9" i="3"/>
  <c r="D9" i="3"/>
  <c r="E8" i="3" s="1"/>
  <c r="F7" i="3" s="1"/>
  <c r="G6" i="3" s="1"/>
  <c r="H9" i="3"/>
  <c r="A10" i="3"/>
  <c r="B10" i="3"/>
  <c r="C10" i="3"/>
  <c r="D10" i="3"/>
  <c r="E9" i="3" s="1"/>
  <c r="F8" i="3" s="1"/>
  <c r="G7" i="3" s="1"/>
  <c r="H10" i="3"/>
  <c r="A11" i="3"/>
  <c r="B11" i="3"/>
  <c r="C11" i="3"/>
  <c r="D11" i="3"/>
  <c r="E10" i="3" s="1"/>
  <c r="F9" i="3" s="1"/>
  <c r="G8" i="3" s="1"/>
  <c r="H11" i="3"/>
  <c r="A12" i="3"/>
  <c r="B12" i="3"/>
  <c r="C12" i="3"/>
  <c r="D12" i="3"/>
  <c r="E11" i="3" s="1"/>
  <c r="F10" i="3" s="1"/>
  <c r="G9" i="3" s="1"/>
  <c r="H12" i="3"/>
  <c r="A13" i="3"/>
  <c r="B13" i="3"/>
  <c r="C13" i="3"/>
  <c r="D13" i="3"/>
  <c r="E12" i="3" s="1"/>
  <c r="H13" i="3"/>
  <c r="A14" i="3"/>
  <c r="B14" i="3"/>
  <c r="C14" i="3"/>
  <c r="D14" i="3"/>
  <c r="E13" i="3" s="1"/>
  <c r="F12" i="3" s="1"/>
  <c r="H14" i="3"/>
  <c r="A15" i="3"/>
  <c r="B15" i="3"/>
  <c r="C15" i="3"/>
  <c r="D15" i="3"/>
  <c r="E14" i="3" s="1"/>
  <c r="F13" i="3" s="1"/>
  <c r="G12" i="3" s="1"/>
  <c r="H15" i="3"/>
  <c r="A16" i="3"/>
  <c r="B16" i="3"/>
  <c r="C16" i="3"/>
  <c r="D16" i="3"/>
  <c r="E15" i="3" s="1"/>
  <c r="F14" i="3" s="1"/>
  <c r="G13" i="3" s="1"/>
  <c r="H16" i="3"/>
  <c r="A17" i="3"/>
  <c r="B17" i="3"/>
  <c r="C17" i="3"/>
  <c r="D17" i="3"/>
  <c r="E16" i="3" s="1"/>
  <c r="H17" i="3"/>
  <c r="A18" i="3"/>
  <c r="B18" i="3"/>
  <c r="C18" i="3"/>
  <c r="D18" i="3"/>
  <c r="E17" i="3" s="1"/>
  <c r="F16" i="3" s="1"/>
  <c r="H18" i="3"/>
  <c r="A19" i="3"/>
  <c r="B19" i="3"/>
  <c r="C19" i="3"/>
  <c r="D19" i="3"/>
  <c r="E18" i="3" s="1"/>
  <c r="F17" i="3" s="1"/>
  <c r="G16" i="3" s="1"/>
  <c r="H19" i="3"/>
  <c r="A20" i="3"/>
  <c r="B20" i="3"/>
  <c r="C20" i="3"/>
  <c r="D20" i="3"/>
  <c r="E19" i="3" s="1"/>
  <c r="F18" i="3" s="1"/>
  <c r="G17" i="3" s="1"/>
  <c r="H20" i="3"/>
  <c r="A21" i="3"/>
  <c r="B21" i="3"/>
  <c r="C21" i="3"/>
  <c r="D21" i="3"/>
  <c r="E20" i="3" s="1"/>
  <c r="H21" i="3"/>
  <c r="A22" i="3"/>
  <c r="B22" i="3"/>
  <c r="C22" i="3"/>
  <c r="D22" i="3"/>
  <c r="E21" i="3" s="1"/>
  <c r="F20" i="3" s="1"/>
  <c r="H22" i="3"/>
  <c r="A23" i="3"/>
  <c r="B23" i="3"/>
  <c r="C23" i="3"/>
  <c r="D23" i="3"/>
  <c r="E22" i="3" s="1"/>
  <c r="F21" i="3" s="1"/>
  <c r="G20" i="3" s="1"/>
  <c r="H23" i="3"/>
  <c r="A24" i="3"/>
  <c r="B24" i="3"/>
  <c r="C24" i="3"/>
  <c r="D24" i="3"/>
  <c r="E23" i="3" s="1"/>
  <c r="F22" i="3" s="1"/>
  <c r="G21" i="3" s="1"/>
  <c r="H24" i="3"/>
  <c r="A25" i="3"/>
  <c r="B25" i="3"/>
  <c r="C25" i="3"/>
  <c r="D25" i="3"/>
  <c r="E24" i="3" s="1"/>
  <c r="H25" i="3"/>
  <c r="A26" i="3"/>
  <c r="B26" i="3"/>
  <c r="C26" i="3"/>
  <c r="D26" i="3"/>
  <c r="E25" i="3" s="1"/>
  <c r="F24" i="3" s="1"/>
  <c r="H26" i="3"/>
  <c r="A27" i="3"/>
  <c r="B27" i="3"/>
  <c r="C27" i="3"/>
  <c r="D27" i="3"/>
  <c r="E26" i="3" s="1"/>
  <c r="F25" i="3" s="1"/>
  <c r="G24" i="3" s="1"/>
  <c r="H27" i="3"/>
  <c r="A28" i="3"/>
  <c r="B28" i="3"/>
  <c r="C28" i="3"/>
  <c r="D28" i="3"/>
  <c r="E27" i="3" s="1"/>
  <c r="F26" i="3" s="1"/>
  <c r="G25" i="3" s="1"/>
  <c r="H28" i="3"/>
  <c r="A29" i="3"/>
  <c r="B29" i="3"/>
  <c r="C29" i="3"/>
  <c r="D29" i="3"/>
  <c r="E28" i="3" s="1"/>
  <c r="H29" i="3"/>
  <c r="A30" i="3"/>
  <c r="B30" i="3"/>
  <c r="C30" i="3"/>
  <c r="D30" i="3"/>
  <c r="E29" i="3" s="1"/>
  <c r="F28" i="3" s="1"/>
  <c r="H30" i="3"/>
  <c r="A31" i="3"/>
  <c r="B31" i="3"/>
  <c r="C31" i="3"/>
  <c r="D31" i="3"/>
  <c r="E30" i="3" s="1"/>
  <c r="F29" i="3" s="1"/>
  <c r="G28" i="3" s="1"/>
  <c r="H31" i="3"/>
  <c r="A32" i="3"/>
  <c r="B32" i="3"/>
  <c r="C32" i="3"/>
  <c r="D32" i="3"/>
  <c r="E31" i="3" s="1"/>
  <c r="F30" i="3" s="1"/>
  <c r="G29" i="3" s="1"/>
  <c r="H32" i="3"/>
  <c r="A33" i="3"/>
  <c r="B33" i="3"/>
  <c r="C33" i="3"/>
  <c r="D33" i="3"/>
  <c r="E32" i="3" s="1"/>
  <c r="H33" i="3"/>
  <c r="A34" i="3"/>
  <c r="B34" i="3"/>
  <c r="C34" i="3"/>
  <c r="D34" i="3"/>
  <c r="E33" i="3" s="1"/>
  <c r="F32" i="3" s="1"/>
  <c r="H34" i="3"/>
  <c r="A35" i="3"/>
  <c r="B35" i="3"/>
  <c r="C35" i="3"/>
  <c r="D35" i="3"/>
  <c r="E34" i="3" s="1"/>
  <c r="F33" i="3" s="1"/>
  <c r="G32" i="3" s="1"/>
  <c r="H35" i="3"/>
  <c r="A36" i="3"/>
  <c r="B36" i="3"/>
  <c r="C36" i="3"/>
  <c r="D36" i="3"/>
  <c r="E35" i="3" s="1"/>
  <c r="F34" i="3" s="1"/>
  <c r="G33" i="3" s="1"/>
  <c r="H36" i="3"/>
  <c r="A37" i="3"/>
  <c r="B37" i="3"/>
  <c r="C37" i="3"/>
  <c r="D37" i="3"/>
  <c r="E36" i="3" s="1"/>
  <c r="H37" i="3"/>
  <c r="A38" i="3"/>
  <c r="B38" i="3"/>
  <c r="C38" i="3"/>
  <c r="D38" i="3"/>
  <c r="E37" i="3" s="1"/>
  <c r="F36" i="3" s="1"/>
  <c r="H38" i="3"/>
  <c r="A39" i="3"/>
  <c r="B39" i="3"/>
  <c r="C39" i="3"/>
  <c r="D39" i="3"/>
  <c r="E38" i="3" s="1"/>
  <c r="F37" i="3" s="1"/>
  <c r="G36" i="3" s="1"/>
  <c r="H39" i="3"/>
  <c r="A40" i="3"/>
  <c r="B40" i="3"/>
  <c r="C40" i="3"/>
  <c r="D40" i="3"/>
  <c r="E39" i="3" s="1"/>
  <c r="F38" i="3" s="1"/>
  <c r="G37" i="3" s="1"/>
  <c r="H40" i="3"/>
  <c r="A41" i="3"/>
  <c r="B41" i="3"/>
  <c r="C41" i="3"/>
  <c r="D41" i="3"/>
  <c r="E40" i="3" s="1"/>
  <c r="H41" i="3"/>
  <c r="A42" i="3"/>
  <c r="B42" i="3"/>
  <c r="C42" i="3"/>
  <c r="D42" i="3"/>
  <c r="E41" i="3" s="1"/>
  <c r="F40" i="3" s="1"/>
  <c r="H42" i="3"/>
  <c r="A43" i="3"/>
  <c r="B43" i="3"/>
  <c r="C43" i="3"/>
  <c r="D43" i="3"/>
  <c r="E42" i="3" s="1"/>
  <c r="F41" i="3" s="1"/>
  <c r="G40" i="3" s="1"/>
  <c r="H43" i="3"/>
  <c r="A44" i="3"/>
  <c r="B44" i="3"/>
  <c r="C44" i="3"/>
  <c r="H44" i="3"/>
  <c r="A45" i="3"/>
  <c r="B45" i="3"/>
  <c r="C45" i="3"/>
  <c r="H45" i="3"/>
  <c r="A46" i="3"/>
  <c r="B46" i="3"/>
  <c r="C46" i="3"/>
  <c r="H46" i="3"/>
  <c r="A47" i="3"/>
  <c r="B47" i="3"/>
  <c r="C47" i="3"/>
  <c r="H47" i="3"/>
  <c r="A48" i="3"/>
  <c r="B48" i="3"/>
  <c r="C48" i="3"/>
  <c r="H48" i="3"/>
  <c r="A49" i="3"/>
  <c r="B49" i="3"/>
  <c r="C49" i="3"/>
  <c r="H49" i="3"/>
  <c r="A50" i="3"/>
  <c r="B50" i="3"/>
  <c r="C50" i="3"/>
  <c r="H50" i="3"/>
  <c r="A51" i="3"/>
  <c r="B51" i="3"/>
  <c r="C51" i="3"/>
  <c r="H51" i="3"/>
  <c r="A52" i="3"/>
  <c r="B52" i="3"/>
  <c r="C52" i="3"/>
  <c r="H52" i="3"/>
  <c r="A53" i="3"/>
  <c r="B53" i="3"/>
  <c r="C53" i="3"/>
  <c r="H53" i="3"/>
  <c r="A54" i="3"/>
  <c r="B54" i="3"/>
  <c r="C54" i="3"/>
  <c r="H54" i="3"/>
  <c r="A55" i="3"/>
  <c r="B55" i="3"/>
  <c r="C55" i="3"/>
  <c r="H55" i="3"/>
  <c r="A56" i="3"/>
  <c r="B56" i="3"/>
  <c r="C56" i="3"/>
  <c r="H56" i="3"/>
  <c r="A57" i="3"/>
  <c r="B57" i="3"/>
  <c r="C57" i="3"/>
  <c r="H57" i="3"/>
  <c r="A58" i="3"/>
  <c r="B58" i="3"/>
  <c r="C58" i="3"/>
  <c r="H58" i="3"/>
  <c r="A59" i="3"/>
  <c r="B59" i="3"/>
  <c r="C59" i="3"/>
  <c r="H59" i="3"/>
  <c r="A60" i="3"/>
  <c r="B60" i="3"/>
  <c r="C60" i="3"/>
  <c r="H60" i="3"/>
  <c r="A61" i="3"/>
  <c r="B61" i="3"/>
  <c r="C61" i="3"/>
  <c r="H61" i="3"/>
  <c r="A62" i="3"/>
  <c r="B62" i="3"/>
  <c r="C62" i="3"/>
  <c r="H62" i="3"/>
  <c r="A63" i="3"/>
  <c r="B63" i="3"/>
  <c r="C63" i="3"/>
  <c r="H63" i="3"/>
  <c r="A64" i="3"/>
  <c r="B64" i="3"/>
  <c r="C64" i="3"/>
  <c r="H64" i="3"/>
  <c r="A65" i="3"/>
  <c r="B65" i="3"/>
  <c r="C65" i="3"/>
  <c r="H65" i="3"/>
  <c r="A66" i="3"/>
  <c r="B66" i="3"/>
  <c r="C66" i="3"/>
  <c r="H66" i="3"/>
  <c r="A67" i="3"/>
  <c r="B67" i="3"/>
  <c r="C67" i="3"/>
  <c r="H67" i="3"/>
  <c r="A68" i="3"/>
  <c r="B68" i="3"/>
  <c r="C68" i="3"/>
  <c r="H68" i="3"/>
  <c r="A69" i="3"/>
  <c r="B69" i="3"/>
  <c r="C69" i="3"/>
  <c r="H69" i="3"/>
  <c r="A70" i="3"/>
  <c r="B70" i="3"/>
  <c r="C70" i="3"/>
  <c r="H70" i="3"/>
  <c r="A71" i="3"/>
  <c r="B71" i="3"/>
  <c r="C71" i="3"/>
  <c r="H71" i="3"/>
  <c r="A72" i="3"/>
  <c r="B72" i="3"/>
  <c r="C72" i="3"/>
  <c r="H72" i="3"/>
  <c r="A73" i="3"/>
  <c r="B73" i="3"/>
  <c r="C73" i="3"/>
  <c r="H73" i="3"/>
  <c r="A74" i="3"/>
  <c r="B74" i="3"/>
  <c r="C74" i="3"/>
  <c r="H74" i="3"/>
  <c r="A75" i="3"/>
  <c r="B75" i="3"/>
  <c r="C75" i="3"/>
  <c r="H75" i="3"/>
  <c r="A76" i="3"/>
  <c r="B76" i="3"/>
  <c r="C76" i="3"/>
  <c r="H76" i="3"/>
  <c r="A77" i="3"/>
  <c r="B77" i="3"/>
  <c r="C77" i="3"/>
  <c r="H77" i="3"/>
  <c r="A78" i="3"/>
  <c r="B78" i="3"/>
  <c r="C78" i="3"/>
  <c r="H78" i="3"/>
  <c r="A79" i="3"/>
  <c r="B79" i="3"/>
  <c r="C79" i="3"/>
  <c r="H79" i="3"/>
  <c r="A80" i="3"/>
  <c r="B80" i="3"/>
  <c r="C80" i="3"/>
  <c r="H80" i="3"/>
  <c r="A81" i="3"/>
  <c r="B81" i="3"/>
  <c r="C81" i="3"/>
  <c r="H81" i="3"/>
  <c r="A82" i="3"/>
  <c r="B82" i="3"/>
  <c r="C82" i="3"/>
  <c r="H82" i="3"/>
  <c r="A83" i="3"/>
  <c r="B83" i="3"/>
  <c r="C83" i="3"/>
  <c r="H83" i="3"/>
  <c r="A84" i="3"/>
  <c r="B84" i="3"/>
  <c r="C84" i="3"/>
  <c r="H84" i="3"/>
  <c r="A85" i="3"/>
  <c r="B85" i="3"/>
  <c r="C85" i="3"/>
  <c r="H85" i="3"/>
  <c r="A86" i="3"/>
  <c r="B86" i="3"/>
  <c r="C86" i="3"/>
  <c r="H86" i="3"/>
  <c r="A87" i="3"/>
  <c r="B87" i="3"/>
  <c r="C87" i="3"/>
  <c r="H87" i="3"/>
  <c r="A88" i="3"/>
  <c r="B88" i="3"/>
  <c r="C88" i="3"/>
  <c r="H88" i="3"/>
  <c r="A89" i="3"/>
  <c r="B89" i="3"/>
  <c r="C89" i="3"/>
  <c r="H89" i="3"/>
  <c r="A90" i="3"/>
  <c r="B90" i="3"/>
  <c r="C90" i="3"/>
  <c r="H90" i="3"/>
  <c r="A91" i="3"/>
  <c r="B91" i="3"/>
  <c r="C91" i="3"/>
  <c r="H91" i="3"/>
  <c r="A92" i="3"/>
  <c r="B92" i="3"/>
  <c r="C92" i="3"/>
  <c r="H92" i="3"/>
  <c r="A93" i="3"/>
  <c r="B93" i="3"/>
  <c r="C93" i="3"/>
  <c r="H93" i="3"/>
  <c r="A94" i="3"/>
  <c r="B94" i="3"/>
  <c r="C94" i="3"/>
  <c r="H94" i="3"/>
  <c r="A95" i="3"/>
  <c r="B95" i="3"/>
  <c r="C95" i="3"/>
  <c r="H95" i="3"/>
  <c r="A96" i="3"/>
  <c r="B96" i="3"/>
  <c r="C96" i="3"/>
  <c r="H96" i="3"/>
  <c r="A97" i="3"/>
  <c r="B97" i="3"/>
  <c r="C97" i="3"/>
  <c r="H97" i="3"/>
  <c r="A98" i="3"/>
  <c r="B98" i="3"/>
  <c r="C98" i="3"/>
  <c r="H98" i="3"/>
  <c r="A99" i="3"/>
  <c r="B99" i="3"/>
  <c r="C99" i="3"/>
  <c r="H99" i="3"/>
  <c r="A100" i="3"/>
  <c r="B100" i="3"/>
  <c r="C100" i="3"/>
  <c r="H100" i="3"/>
  <c r="A101" i="3"/>
  <c r="B101" i="3"/>
  <c r="C101" i="3"/>
  <c r="H101" i="3"/>
  <c r="A102" i="3"/>
  <c r="B102" i="3"/>
  <c r="C102" i="3"/>
  <c r="H102" i="3"/>
  <c r="A103" i="3"/>
  <c r="B103" i="3"/>
  <c r="C103" i="3"/>
  <c r="H103" i="3"/>
  <c r="A104" i="3"/>
  <c r="B104" i="3"/>
  <c r="C104" i="3"/>
  <c r="H104" i="3"/>
  <c r="A105" i="3"/>
  <c r="B105" i="3"/>
  <c r="C105" i="3"/>
  <c r="H105" i="3"/>
  <c r="A106" i="3"/>
  <c r="B106" i="3"/>
  <c r="C106" i="3"/>
  <c r="H106" i="3"/>
  <c r="A107" i="3"/>
  <c r="B107" i="3"/>
  <c r="C107" i="3"/>
  <c r="H107" i="3"/>
  <c r="A108" i="3"/>
  <c r="B108" i="3"/>
  <c r="C108" i="3"/>
  <c r="H108" i="3"/>
  <c r="A109" i="3"/>
  <c r="B109" i="3"/>
  <c r="C109" i="3"/>
  <c r="H109" i="3"/>
  <c r="A110" i="3"/>
  <c r="B110" i="3"/>
  <c r="C110" i="3"/>
  <c r="H110" i="3"/>
  <c r="A111" i="3"/>
  <c r="B111" i="3"/>
  <c r="C111" i="3"/>
  <c r="H111" i="3"/>
  <c r="A112" i="3"/>
  <c r="B112" i="3"/>
  <c r="C112" i="3"/>
  <c r="H112" i="3"/>
  <c r="A113" i="3"/>
  <c r="B113" i="3"/>
  <c r="C113" i="3"/>
  <c r="H113" i="3"/>
  <c r="A114" i="3"/>
  <c r="B114" i="3"/>
  <c r="C114" i="3"/>
  <c r="H114" i="3"/>
  <c r="A115" i="3"/>
  <c r="B115" i="3"/>
  <c r="C115" i="3"/>
  <c r="H115" i="3"/>
  <c r="A116" i="3"/>
  <c r="B116" i="3"/>
  <c r="C116" i="3"/>
  <c r="H116" i="3"/>
  <c r="A117" i="3"/>
  <c r="B117" i="3"/>
  <c r="C117" i="3"/>
  <c r="H117" i="3"/>
  <c r="A118" i="3"/>
  <c r="B118" i="3"/>
  <c r="C118" i="3"/>
  <c r="H118" i="3"/>
  <c r="A119" i="3"/>
  <c r="B119" i="3"/>
  <c r="C119" i="3"/>
  <c r="H119" i="3"/>
  <c r="A120" i="3"/>
  <c r="B120" i="3"/>
  <c r="C120" i="3"/>
  <c r="H120" i="3"/>
  <c r="A121" i="3"/>
  <c r="B121" i="3"/>
  <c r="C121" i="3"/>
  <c r="H121" i="3"/>
  <c r="A122" i="3"/>
  <c r="B122" i="3"/>
  <c r="C122" i="3"/>
  <c r="H122" i="3"/>
  <c r="A123" i="3"/>
  <c r="B123" i="3"/>
  <c r="C123" i="3"/>
  <c r="H123" i="3"/>
  <c r="A124" i="3"/>
  <c r="B124" i="3"/>
  <c r="C124" i="3"/>
  <c r="H124" i="3"/>
  <c r="A125" i="3"/>
  <c r="B125" i="3"/>
  <c r="C125" i="3"/>
  <c r="H125" i="3"/>
  <c r="A126" i="3"/>
  <c r="B126" i="3"/>
  <c r="C126" i="3"/>
  <c r="H126" i="3"/>
  <c r="A127" i="3"/>
  <c r="B127" i="3"/>
  <c r="C127" i="3"/>
  <c r="H127" i="3"/>
  <c r="A128" i="3"/>
  <c r="B128" i="3"/>
  <c r="C128" i="3"/>
  <c r="H128" i="3"/>
  <c r="A129" i="3"/>
  <c r="B129" i="3"/>
  <c r="C129" i="3"/>
  <c r="H129" i="3"/>
  <c r="A130" i="3"/>
  <c r="B130" i="3"/>
  <c r="C130" i="3"/>
  <c r="H130" i="3"/>
  <c r="A131" i="3"/>
  <c r="B131" i="3"/>
  <c r="C131" i="3"/>
  <c r="H131" i="3"/>
  <c r="A132" i="3"/>
  <c r="B132" i="3"/>
  <c r="C132" i="3"/>
  <c r="H132" i="3"/>
  <c r="A133" i="3"/>
  <c r="B133" i="3"/>
  <c r="C133" i="3"/>
  <c r="H133" i="3"/>
  <c r="A134" i="3"/>
  <c r="B134" i="3"/>
  <c r="C134" i="3"/>
  <c r="H134" i="3"/>
  <c r="A135" i="3"/>
  <c r="B135" i="3"/>
  <c r="C135" i="3"/>
  <c r="H135" i="3"/>
  <c r="A136" i="3"/>
  <c r="B136" i="3"/>
  <c r="C136" i="3"/>
  <c r="H136" i="3"/>
  <c r="A137" i="3"/>
  <c r="B137" i="3"/>
  <c r="C137" i="3"/>
  <c r="H137" i="3"/>
  <c r="A138" i="3"/>
  <c r="B138" i="3"/>
  <c r="C138" i="3"/>
  <c r="H138" i="3"/>
  <c r="A139" i="3"/>
  <c r="B139" i="3"/>
  <c r="C139" i="3"/>
  <c r="H139" i="3"/>
  <c r="A140" i="3"/>
  <c r="B140" i="3"/>
  <c r="C140" i="3"/>
  <c r="H140" i="3"/>
  <c r="A141" i="3"/>
  <c r="B141" i="3"/>
  <c r="C141" i="3"/>
  <c r="H141" i="3"/>
  <c r="A142" i="3"/>
  <c r="B142" i="3"/>
  <c r="C142" i="3"/>
  <c r="H142" i="3"/>
  <c r="A143" i="3"/>
  <c r="B143" i="3"/>
  <c r="C143" i="3"/>
  <c r="H143" i="3"/>
  <c r="A144" i="3"/>
  <c r="B144" i="3"/>
  <c r="C144" i="3"/>
  <c r="H144" i="3"/>
  <c r="A145" i="3"/>
  <c r="B145" i="3"/>
  <c r="C145" i="3"/>
  <c r="H145" i="3"/>
  <c r="A146" i="3"/>
  <c r="B146" i="3"/>
  <c r="C146" i="3"/>
  <c r="H146" i="3"/>
  <c r="A147" i="3"/>
  <c r="B147" i="3"/>
  <c r="C147" i="3"/>
  <c r="H147" i="3"/>
  <c r="A148" i="3"/>
  <c r="B148" i="3"/>
  <c r="C148" i="3"/>
  <c r="H148" i="3"/>
  <c r="A149" i="3"/>
  <c r="B149" i="3"/>
  <c r="C149" i="3"/>
  <c r="H149" i="3"/>
  <c r="A150" i="3"/>
  <c r="B150" i="3"/>
  <c r="C150" i="3"/>
  <c r="H150" i="3"/>
  <c r="A151" i="3"/>
  <c r="B151" i="3"/>
  <c r="C151" i="3"/>
  <c r="H151" i="3"/>
  <c r="A152" i="3"/>
  <c r="B152" i="3"/>
  <c r="C152" i="3"/>
  <c r="H152" i="3"/>
  <c r="A153" i="3"/>
  <c r="B153" i="3"/>
  <c r="C153" i="3"/>
  <c r="H153" i="3"/>
  <c r="A154" i="3"/>
  <c r="B154" i="3"/>
  <c r="C154" i="3"/>
  <c r="H154" i="3"/>
  <c r="A155" i="3"/>
  <c r="B155" i="3"/>
  <c r="C155" i="3"/>
  <c r="H155" i="3"/>
  <c r="A156" i="3"/>
  <c r="B156" i="3"/>
  <c r="C156" i="3"/>
  <c r="H156" i="3"/>
  <c r="A157" i="3"/>
  <c r="B157" i="3"/>
  <c r="C157" i="3"/>
  <c r="H157" i="3"/>
  <c r="A158" i="3"/>
  <c r="B158" i="3"/>
  <c r="C158" i="3"/>
  <c r="H158" i="3"/>
  <c r="A159" i="3"/>
  <c r="B159" i="3"/>
  <c r="C159" i="3"/>
  <c r="H159" i="3"/>
  <c r="A160" i="3"/>
  <c r="B160" i="3"/>
  <c r="C160" i="3"/>
  <c r="H160" i="3"/>
  <c r="A161" i="3"/>
  <c r="B161" i="3"/>
  <c r="C161" i="3"/>
  <c r="H161" i="3"/>
  <c r="A162" i="3"/>
  <c r="B162" i="3"/>
  <c r="C162" i="3"/>
  <c r="H162" i="3"/>
  <c r="A163" i="3"/>
  <c r="B163" i="3"/>
  <c r="C163" i="3"/>
  <c r="H163" i="3"/>
  <c r="A164" i="3"/>
  <c r="B164" i="3"/>
  <c r="C164" i="3"/>
  <c r="H164" i="3"/>
  <c r="A165" i="3"/>
  <c r="B165" i="3"/>
  <c r="C165" i="3"/>
  <c r="H165" i="3"/>
  <c r="A166" i="3"/>
  <c r="B166" i="3"/>
  <c r="C166" i="3"/>
  <c r="H166" i="3"/>
  <c r="A167" i="3"/>
  <c r="B167" i="3"/>
  <c r="C167" i="3"/>
  <c r="H167" i="3"/>
  <c r="A168" i="3"/>
  <c r="B168" i="3"/>
  <c r="C168" i="3"/>
  <c r="H168" i="3"/>
  <c r="A169" i="3"/>
  <c r="B169" i="3"/>
  <c r="C169" i="3"/>
  <c r="H169" i="3"/>
  <c r="A170" i="3"/>
  <c r="B170" i="3"/>
  <c r="C170" i="3"/>
  <c r="H170" i="3"/>
  <c r="A171" i="3"/>
  <c r="B171" i="3"/>
  <c r="C171" i="3"/>
  <c r="H171" i="3"/>
  <c r="A172" i="3"/>
  <c r="B172" i="3"/>
  <c r="C172" i="3"/>
  <c r="H172" i="3"/>
  <c r="A173" i="3"/>
  <c r="B173" i="3"/>
  <c r="C173" i="3"/>
  <c r="H173" i="3"/>
  <c r="A174" i="3"/>
  <c r="B174" i="3"/>
  <c r="C174" i="3"/>
  <c r="H174" i="3"/>
  <c r="A175" i="3"/>
  <c r="B175" i="3"/>
  <c r="C175" i="3"/>
  <c r="H175" i="3"/>
  <c r="A176" i="3"/>
  <c r="B176" i="3"/>
  <c r="C176" i="3"/>
  <c r="H176" i="3"/>
  <c r="A177" i="3"/>
  <c r="B177" i="3"/>
  <c r="C177" i="3"/>
  <c r="H177" i="3"/>
  <c r="A178" i="3"/>
  <c r="B178" i="3"/>
  <c r="C178" i="3"/>
  <c r="H178" i="3"/>
  <c r="A179" i="3"/>
  <c r="B179" i="3"/>
  <c r="C179" i="3"/>
  <c r="H179" i="3"/>
  <c r="A180" i="3"/>
  <c r="B180" i="3"/>
  <c r="C180" i="3"/>
  <c r="H180" i="3"/>
  <c r="A181" i="3"/>
  <c r="B181" i="3"/>
  <c r="C181" i="3"/>
  <c r="H181" i="3"/>
  <c r="A182" i="3"/>
  <c r="B182" i="3"/>
  <c r="C182" i="3"/>
  <c r="H182" i="3"/>
  <c r="A183" i="3"/>
  <c r="B183" i="3"/>
  <c r="C183" i="3"/>
  <c r="H183" i="3"/>
  <c r="A184" i="3"/>
  <c r="B184" i="3"/>
  <c r="C184" i="3"/>
  <c r="H184" i="3"/>
  <c r="A185" i="3"/>
  <c r="B185" i="3"/>
  <c r="C185" i="3"/>
  <c r="H185" i="3"/>
  <c r="A186" i="3"/>
  <c r="B186" i="3"/>
  <c r="C186" i="3"/>
  <c r="H186" i="3"/>
  <c r="A187" i="3"/>
  <c r="B187" i="3"/>
  <c r="C187" i="3"/>
  <c r="H187" i="3"/>
  <c r="A188" i="3"/>
  <c r="B188" i="3"/>
  <c r="C188" i="3"/>
  <c r="H188" i="3"/>
  <c r="A189" i="3"/>
  <c r="B189" i="3"/>
  <c r="C189" i="3"/>
  <c r="H189" i="3"/>
  <c r="A190" i="3"/>
  <c r="B190" i="3"/>
  <c r="C190" i="3"/>
  <c r="H190" i="3"/>
  <c r="A191" i="3"/>
  <c r="B191" i="3"/>
  <c r="C191" i="3"/>
  <c r="H191" i="3"/>
  <c r="A192" i="3"/>
  <c r="B192" i="3"/>
  <c r="C192" i="3"/>
  <c r="H192" i="3"/>
  <c r="A193" i="3"/>
  <c r="B193" i="3"/>
  <c r="C193" i="3"/>
  <c r="H193" i="3"/>
  <c r="A194" i="3"/>
  <c r="B194" i="3"/>
  <c r="C194" i="3"/>
  <c r="H194" i="3"/>
  <c r="A195" i="3"/>
  <c r="B195" i="3"/>
  <c r="C195" i="3"/>
  <c r="H195" i="3"/>
  <c r="A196" i="3"/>
  <c r="B196" i="3"/>
  <c r="C196" i="3"/>
  <c r="H196" i="3"/>
  <c r="A197" i="3"/>
  <c r="B197" i="3"/>
  <c r="C197" i="3"/>
  <c r="H197" i="3"/>
  <c r="A198" i="3"/>
  <c r="B198" i="3"/>
  <c r="C198" i="3"/>
  <c r="H198" i="3"/>
  <c r="A199" i="3"/>
  <c r="B199" i="3"/>
  <c r="C199" i="3"/>
  <c r="H199" i="3"/>
  <c r="A200" i="3"/>
  <c r="B200" i="3"/>
  <c r="C200" i="3"/>
  <c r="H200" i="3"/>
  <c r="A201" i="3"/>
  <c r="B201" i="3"/>
  <c r="C201" i="3"/>
  <c r="H201" i="3"/>
  <c r="A202" i="3"/>
  <c r="B202" i="3"/>
  <c r="C202" i="3"/>
  <c r="H202" i="3"/>
  <c r="A203" i="3"/>
  <c r="B203" i="3"/>
  <c r="C203" i="3"/>
  <c r="H203" i="3"/>
  <c r="A204" i="3"/>
  <c r="B204" i="3"/>
  <c r="C204" i="3"/>
  <c r="H204" i="3"/>
  <c r="A205" i="3"/>
  <c r="B205" i="3"/>
  <c r="C205" i="3"/>
  <c r="H205" i="3"/>
  <c r="A206" i="3"/>
  <c r="B206" i="3"/>
  <c r="C206" i="3"/>
  <c r="H206" i="3"/>
  <c r="A207" i="3"/>
  <c r="B207" i="3"/>
  <c r="C207" i="3"/>
  <c r="H207" i="3"/>
  <c r="A208" i="3"/>
  <c r="B208" i="3"/>
  <c r="C208" i="3"/>
  <c r="H208" i="3"/>
  <c r="A209" i="3"/>
  <c r="B209" i="3"/>
  <c r="C209" i="3"/>
  <c r="H209" i="3"/>
  <c r="A210" i="3"/>
  <c r="B210" i="3"/>
  <c r="C210" i="3"/>
  <c r="H210" i="3"/>
  <c r="A211" i="3"/>
  <c r="B211" i="3"/>
  <c r="C211" i="3"/>
  <c r="E211" i="3"/>
  <c r="H211" i="3"/>
  <c r="A5" i="5"/>
  <c r="B5" i="5"/>
  <c r="C5" i="5"/>
  <c r="D5" i="5"/>
  <c r="D6" i="5" s="1"/>
  <c r="E5" i="5" s="1"/>
  <c r="H5" i="5"/>
  <c r="A6" i="5"/>
  <c r="B6" i="5"/>
  <c r="C6" i="5"/>
  <c r="H6" i="5"/>
  <c r="A7" i="5"/>
  <c r="B7" i="5"/>
  <c r="C7" i="5"/>
  <c r="H7" i="5"/>
  <c r="A8" i="5"/>
  <c r="B8" i="5"/>
  <c r="C8" i="5"/>
  <c r="H8" i="5"/>
  <c r="A9" i="5"/>
  <c r="B9" i="5"/>
  <c r="C9" i="5"/>
  <c r="H9" i="5"/>
  <c r="A10" i="5"/>
  <c r="B10" i="5"/>
  <c r="C10" i="5"/>
  <c r="H10" i="5"/>
  <c r="A11" i="5"/>
  <c r="B11" i="5"/>
  <c r="C11" i="5"/>
  <c r="H11" i="5"/>
  <c r="A12" i="5"/>
  <c r="B12" i="5"/>
  <c r="C12" i="5"/>
  <c r="H12" i="5"/>
  <c r="A13" i="5"/>
  <c r="B13" i="5"/>
  <c r="C13" i="5"/>
  <c r="H13" i="5"/>
  <c r="A14" i="5"/>
  <c r="B14" i="5"/>
  <c r="C14" i="5"/>
  <c r="H14" i="5"/>
  <c r="A15" i="5"/>
  <c r="B15" i="5"/>
  <c r="C15" i="5"/>
  <c r="H15" i="5"/>
  <c r="A16" i="5"/>
  <c r="B16" i="5"/>
  <c r="C16" i="5"/>
  <c r="H16" i="5"/>
  <c r="A17" i="5"/>
  <c r="B17" i="5"/>
  <c r="C17" i="5"/>
  <c r="H17" i="5"/>
  <c r="A18" i="5"/>
  <c r="B18" i="5"/>
  <c r="C18" i="5"/>
  <c r="H18" i="5"/>
  <c r="A19" i="5"/>
  <c r="B19" i="5"/>
  <c r="C19" i="5"/>
  <c r="H19" i="5"/>
  <c r="A20" i="5"/>
  <c r="B20" i="5"/>
  <c r="C20" i="5"/>
  <c r="H20" i="5"/>
  <c r="A21" i="5"/>
  <c r="B21" i="5"/>
  <c r="C21" i="5"/>
  <c r="H21" i="5"/>
  <c r="A22" i="5"/>
  <c r="B22" i="5"/>
  <c r="C22" i="5"/>
  <c r="H22" i="5"/>
  <c r="A23" i="5"/>
  <c r="B23" i="5"/>
  <c r="C23" i="5"/>
  <c r="H23" i="5"/>
  <c r="A24" i="5"/>
  <c r="B24" i="5"/>
  <c r="C24" i="5"/>
  <c r="H24" i="5"/>
  <c r="A25" i="5"/>
  <c r="B25" i="5"/>
  <c r="C25" i="5"/>
  <c r="H25" i="5"/>
  <c r="A26" i="5"/>
  <c r="B26" i="5"/>
  <c r="C26" i="5"/>
  <c r="H26" i="5"/>
  <c r="A27" i="5"/>
  <c r="B27" i="5"/>
  <c r="C27" i="5"/>
  <c r="H27" i="5"/>
  <c r="A28" i="5"/>
  <c r="B28" i="5"/>
  <c r="C28" i="5"/>
  <c r="H28" i="5"/>
  <c r="A29" i="5"/>
  <c r="B29" i="5"/>
  <c r="C29" i="5"/>
  <c r="H29" i="5"/>
  <c r="A30" i="5"/>
  <c r="B30" i="5"/>
  <c r="C30" i="5"/>
  <c r="H30" i="5"/>
  <c r="A31" i="5"/>
  <c r="B31" i="5"/>
  <c r="C31" i="5"/>
  <c r="H31" i="5"/>
  <c r="A32" i="5"/>
  <c r="B32" i="5"/>
  <c r="C32" i="5"/>
  <c r="H32" i="5"/>
  <c r="A33" i="5"/>
  <c r="B33" i="5"/>
  <c r="C33" i="5"/>
  <c r="H33" i="5"/>
  <c r="A34" i="5"/>
  <c r="B34" i="5"/>
  <c r="C34" i="5"/>
  <c r="H34" i="5"/>
  <c r="A35" i="5"/>
  <c r="B35" i="5"/>
  <c r="C35" i="5"/>
  <c r="H35" i="5"/>
  <c r="A36" i="5"/>
  <c r="B36" i="5"/>
  <c r="C36" i="5"/>
  <c r="H36" i="5"/>
  <c r="A37" i="5"/>
  <c r="B37" i="5"/>
  <c r="C37" i="5"/>
  <c r="H37" i="5"/>
  <c r="A38" i="5"/>
  <c r="B38" i="5"/>
  <c r="C38" i="5"/>
  <c r="H38" i="5"/>
  <c r="A39" i="5"/>
  <c r="B39" i="5"/>
  <c r="C39" i="5"/>
  <c r="H39" i="5"/>
  <c r="A40" i="5"/>
  <c r="B40" i="5"/>
  <c r="C40" i="5"/>
  <c r="H40" i="5"/>
  <c r="A41" i="5"/>
  <c r="B41" i="5"/>
  <c r="C41" i="5"/>
  <c r="H41" i="5"/>
  <c r="A42" i="5"/>
  <c r="B42" i="5"/>
  <c r="C42" i="5"/>
  <c r="H42" i="5"/>
  <c r="A43" i="5"/>
  <c r="B43" i="5"/>
  <c r="C43" i="5"/>
  <c r="H43" i="5"/>
  <c r="A44" i="5"/>
  <c r="B44" i="5"/>
  <c r="C44" i="5"/>
  <c r="H44" i="5"/>
  <c r="A45" i="5"/>
  <c r="B45" i="5"/>
  <c r="C45" i="5"/>
  <c r="H45" i="5"/>
  <c r="A46" i="5"/>
  <c r="B46" i="5"/>
  <c r="C46" i="5"/>
  <c r="H46" i="5"/>
  <c r="A47" i="5"/>
  <c r="B47" i="5"/>
  <c r="C47" i="5"/>
  <c r="H47" i="5"/>
  <c r="A48" i="5"/>
  <c r="B48" i="5"/>
  <c r="C48" i="5"/>
  <c r="H48" i="5"/>
  <c r="A49" i="5"/>
  <c r="B49" i="5"/>
  <c r="C49" i="5"/>
  <c r="H49" i="5"/>
  <c r="A50" i="5"/>
  <c r="B50" i="5"/>
  <c r="C50" i="5"/>
  <c r="H50" i="5"/>
  <c r="A51" i="5"/>
  <c r="B51" i="5"/>
  <c r="C51" i="5"/>
  <c r="H51" i="5"/>
  <c r="A52" i="5"/>
  <c r="B52" i="5"/>
  <c r="C52" i="5"/>
  <c r="H52" i="5"/>
  <c r="A53" i="5"/>
  <c r="B53" i="5"/>
  <c r="C53" i="5"/>
  <c r="H53" i="5"/>
  <c r="A54" i="5"/>
  <c r="B54" i="5"/>
  <c r="C54" i="5"/>
  <c r="H54" i="5"/>
  <c r="A55" i="5"/>
  <c r="B55" i="5"/>
  <c r="C55" i="5"/>
  <c r="H55" i="5"/>
  <c r="A56" i="5"/>
  <c r="B56" i="5"/>
  <c r="C56" i="5"/>
  <c r="H56" i="5"/>
  <c r="A57" i="5"/>
  <c r="B57" i="5"/>
  <c r="C57" i="5"/>
  <c r="H57" i="5"/>
  <c r="A58" i="5"/>
  <c r="B58" i="5"/>
  <c r="C58" i="5"/>
  <c r="H58" i="5"/>
  <c r="A59" i="5"/>
  <c r="B59" i="5"/>
  <c r="C59" i="5"/>
  <c r="H59" i="5"/>
  <c r="A60" i="5"/>
  <c r="B60" i="5"/>
  <c r="C60" i="5"/>
  <c r="H60" i="5"/>
  <c r="A61" i="5"/>
  <c r="B61" i="5"/>
  <c r="C61" i="5"/>
  <c r="H61" i="5"/>
  <c r="A62" i="5"/>
  <c r="B62" i="5"/>
  <c r="C62" i="5"/>
  <c r="H62" i="5"/>
  <c r="A63" i="5"/>
  <c r="B63" i="5"/>
  <c r="C63" i="5"/>
  <c r="H63" i="5"/>
  <c r="A64" i="5"/>
  <c r="B64" i="5"/>
  <c r="C64" i="5"/>
  <c r="H64" i="5"/>
  <c r="A65" i="5"/>
  <c r="B65" i="5"/>
  <c r="C65" i="5"/>
  <c r="H65" i="5"/>
  <c r="A66" i="5"/>
  <c r="B66" i="5"/>
  <c r="C66" i="5"/>
  <c r="H66" i="5"/>
  <c r="A67" i="5"/>
  <c r="B67" i="5"/>
  <c r="C67" i="5"/>
  <c r="H67" i="5"/>
  <c r="A68" i="5"/>
  <c r="B68" i="5"/>
  <c r="C68" i="5"/>
  <c r="H68" i="5"/>
  <c r="A69" i="5"/>
  <c r="B69" i="5"/>
  <c r="C69" i="5"/>
  <c r="H69" i="5"/>
  <c r="A70" i="5"/>
  <c r="B70" i="5"/>
  <c r="C70" i="5"/>
  <c r="H70" i="5"/>
  <c r="A71" i="5"/>
  <c r="B71" i="5"/>
  <c r="C71" i="5"/>
  <c r="H71" i="5"/>
  <c r="A72" i="5"/>
  <c r="B72" i="5"/>
  <c r="C72" i="5"/>
  <c r="H72" i="5"/>
  <c r="A73" i="5"/>
  <c r="B73" i="5"/>
  <c r="C73" i="5"/>
  <c r="H73" i="5"/>
  <c r="A74" i="5"/>
  <c r="B74" i="5"/>
  <c r="C74" i="5"/>
  <c r="H74" i="5"/>
  <c r="A75" i="5"/>
  <c r="B75" i="5"/>
  <c r="C75" i="5"/>
  <c r="H75" i="5"/>
  <c r="A76" i="5"/>
  <c r="B76" i="5"/>
  <c r="C76" i="5"/>
  <c r="H76" i="5"/>
  <c r="A77" i="5"/>
  <c r="B77" i="5"/>
  <c r="C77" i="5"/>
  <c r="H77" i="5"/>
  <c r="A78" i="5"/>
  <c r="B78" i="5"/>
  <c r="C78" i="5"/>
  <c r="H78" i="5"/>
  <c r="A79" i="5"/>
  <c r="B79" i="5"/>
  <c r="C79" i="5"/>
  <c r="H79" i="5"/>
  <c r="A80" i="5"/>
  <c r="B80" i="5"/>
  <c r="C80" i="5"/>
  <c r="H80" i="5"/>
  <c r="A81" i="5"/>
  <c r="B81" i="5"/>
  <c r="C81" i="5"/>
  <c r="H81" i="5"/>
  <c r="A82" i="5"/>
  <c r="B82" i="5"/>
  <c r="C82" i="5"/>
  <c r="H82" i="5"/>
  <c r="A83" i="5"/>
  <c r="B83" i="5"/>
  <c r="C83" i="5"/>
  <c r="H83" i="5"/>
  <c r="A84" i="5"/>
  <c r="B84" i="5"/>
  <c r="C84" i="5"/>
  <c r="H84" i="5"/>
  <c r="A85" i="5"/>
  <c r="B85" i="5"/>
  <c r="C85" i="5"/>
  <c r="H85" i="5"/>
  <c r="A86" i="5"/>
  <c r="B86" i="5"/>
  <c r="C86" i="5"/>
  <c r="H86" i="5"/>
  <c r="A87" i="5"/>
  <c r="B87" i="5"/>
  <c r="C87" i="5"/>
  <c r="H87" i="5"/>
  <c r="A88" i="5"/>
  <c r="B88" i="5"/>
  <c r="C88" i="5"/>
  <c r="H88" i="5"/>
  <c r="A89" i="5"/>
  <c r="B89" i="5"/>
  <c r="C89" i="5"/>
  <c r="H89" i="5"/>
  <c r="A90" i="5"/>
  <c r="B90" i="5"/>
  <c r="C90" i="5"/>
  <c r="H90" i="5"/>
  <c r="A91" i="5"/>
  <c r="B91" i="5"/>
  <c r="C91" i="5"/>
  <c r="H91" i="5"/>
  <c r="A92" i="5"/>
  <c r="B92" i="5"/>
  <c r="C92" i="5"/>
  <c r="H92" i="5"/>
  <c r="A93" i="5"/>
  <c r="B93" i="5"/>
  <c r="C93" i="5"/>
  <c r="H93" i="5"/>
  <c r="A94" i="5"/>
  <c r="B94" i="5"/>
  <c r="C94" i="5"/>
  <c r="H94" i="5"/>
  <c r="A95" i="5"/>
  <c r="B95" i="5"/>
  <c r="C95" i="5"/>
  <c r="H95" i="5"/>
  <c r="A96" i="5"/>
  <c r="B96" i="5"/>
  <c r="C96" i="5"/>
  <c r="H96" i="5"/>
  <c r="A97" i="5"/>
  <c r="B97" i="5"/>
  <c r="C97" i="5"/>
  <c r="H97" i="5"/>
  <c r="A98" i="5"/>
  <c r="B98" i="5"/>
  <c r="C98" i="5"/>
  <c r="H98" i="5"/>
  <c r="A99" i="5"/>
  <c r="B99" i="5"/>
  <c r="C99" i="5"/>
  <c r="H99" i="5"/>
  <c r="A100" i="5"/>
  <c r="B100" i="5"/>
  <c r="C100" i="5"/>
  <c r="H100" i="5"/>
  <c r="A101" i="5"/>
  <c r="B101" i="5"/>
  <c r="C101" i="5"/>
  <c r="H101" i="5"/>
  <c r="A102" i="5"/>
  <c r="B102" i="5"/>
  <c r="C102" i="5"/>
  <c r="H102" i="5"/>
  <c r="A103" i="5"/>
  <c r="B103" i="5"/>
  <c r="C103" i="5"/>
  <c r="H103" i="5"/>
  <c r="A104" i="5"/>
  <c r="B104" i="5"/>
  <c r="C104" i="5"/>
  <c r="H104" i="5"/>
  <c r="A105" i="5"/>
  <c r="B105" i="5"/>
  <c r="C105" i="5"/>
  <c r="H105" i="5"/>
  <c r="A106" i="5"/>
  <c r="B106" i="5"/>
  <c r="C106" i="5"/>
  <c r="H106" i="5"/>
  <c r="A107" i="5"/>
  <c r="B107" i="5"/>
  <c r="C107" i="5"/>
  <c r="H107" i="5"/>
  <c r="A108" i="5"/>
  <c r="B108" i="5"/>
  <c r="C108" i="5"/>
  <c r="H108" i="5"/>
  <c r="A109" i="5"/>
  <c r="B109" i="5"/>
  <c r="C109" i="5"/>
  <c r="H109" i="5"/>
  <c r="A110" i="5"/>
  <c r="B110" i="5"/>
  <c r="C110" i="5"/>
  <c r="H110" i="5"/>
  <c r="A111" i="5"/>
  <c r="B111" i="5"/>
  <c r="C111" i="5"/>
  <c r="H111" i="5"/>
  <c r="A112" i="5"/>
  <c r="B112" i="5"/>
  <c r="C112" i="5"/>
  <c r="H112" i="5"/>
  <c r="A113" i="5"/>
  <c r="B113" i="5"/>
  <c r="C113" i="5"/>
  <c r="H113" i="5"/>
  <c r="A114" i="5"/>
  <c r="B114" i="5"/>
  <c r="C114" i="5"/>
  <c r="H114" i="5"/>
  <c r="A115" i="5"/>
  <c r="B115" i="5"/>
  <c r="C115" i="5"/>
  <c r="H115" i="5"/>
  <c r="A116" i="5"/>
  <c r="B116" i="5"/>
  <c r="C116" i="5"/>
  <c r="H116" i="5"/>
  <c r="A117" i="5"/>
  <c r="B117" i="5"/>
  <c r="C117" i="5"/>
  <c r="H117" i="5"/>
  <c r="A118" i="5"/>
  <c r="B118" i="5"/>
  <c r="C118" i="5"/>
  <c r="H118" i="5"/>
  <c r="A119" i="5"/>
  <c r="B119" i="5"/>
  <c r="C119" i="5"/>
  <c r="H119" i="5"/>
  <c r="A120" i="5"/>
  <c r="B120" i="5"/>
  <c r="C120" i="5"/>
  <c r="H120" i="5"/>
  <c r="A121" i="5"/>
  <c r="B121" i="5"/>
  <c r="C121" i="5"/>
  <c r="H121" i="5"/>
  <c r="A122" i="5"/>
  <c r="B122" i="5"/>
  <c r="C122" i="5"/>
  <c r="H122" i="5"/>
  <c r="A123" i="5"/>
  <c r="B123" i="5"/>
  <c r="C123" i="5"/>
  <c r="H123" i="5"/>
  <c r="A124" i="5"/>
  <c r="B124" i="5"/>
  <c r="C124" i="5"/>
  <c r="H124" i="5"/>
  <c r="A125" i="5"/>
  <c r="B125" i="5"/>
  <c r="C125" i="5"/>
  <c r="H125" i="5"/>
  <c r="A126" i="5"/>
  <c r="B126" i="5"/>
  <c r="C126" i="5"/>
  <c r="H126" i="5"/>
  <c r="A127" i="5"/>
  <c r="B127" i="5"/>
  <c r="C127" i="5"/>
  <c r="H127" i="5"/>
  <c r="A128" i="5"/>
  <c r="B128" i="5"/>
  <c r="C128" i="5"/>
  <c r="H128" i="5"/>
  <c r="A129" i="5"/>
  <c r="B129" i="5"/>
  <c r="C129" i="5"/>
  <c r="H129" i="5"/>
  <c r="A130" i="5"/>
  <c r="B130" i="5"/>
  <c r="C130" i="5"/>
  <c r="H130" i="5"/>
  <c r="A131" i="5"/>
  <c r="B131" i="5"/>
  <c r="C131" i="5"/>
  <c r="H131" i="5"/>
  <c r="A132" i="5"/>
  <c r="B132" i="5"/>
  <c r="C132" i="5"/>
  <c r="H132" i="5"/>
  <c r="A133" i="5"/>
  <c r="B133" i="5"/>
  <c r="C133" i="5"/>
  <c r="H133" i="5"/>
  <c r="A134" i="5"/>
  <c r="B134" i="5"/>
  <c r="C134" i="5"/>
  <c r="H134" i="5"/>
  <c r="A135" i="5"/>
  <c r="B135" i="5"/>
  <c r="C135" i="5"/>
  <c r="H135" i="5"/>
  <c r="A136" i="5"/>
  <c r="B136" i="5"/>
  <c r="C136" i="5"/>
  <c r="H136" i="5"/>
  <c r="A137" i="5"/>
  <c r="B137" i="5"/>
  <c r="C137" i="5"/>
  <c r="H137" i="5"/>
  <c r="A138" i="5"/>
  <c r="B138" i="5"/>
  <c r="C138" i="5"/>
  <c r="H138" i="5"/>
  <c r="A139" i="5"/>
  <c r="B139" i="5"/>
  <c r="C139" i="5"/>
  <c r="H139" i="5"/>
  <c r="A140" i="5"/>
  <c r="B140" i="5"/>
  <c r="C140" i="5"/>
  <c r="H140" i="5"/>
  <c r="A141" i="5"/>
  <c r="B141" i="5"/>
  <c r="C141" i="5"/>
  <c r="H141" i="5"/>
  <c r="A142" i="5"/>
  <c r="B142" i="5"/>
  <c r="C142" i="5"/>
  <c r="H142" i="5"/>
  <c r="A143" i="5"/>
  <c r="B143" i="5"/>
  <c r="C143" i="5"/>
  <c r="H143" i="5"/>
  <c r="A144" i="5"/>
  <c r="B144" i="5"/>
  <c r="C144" i="5"/>
  <c r="H144" i="5"/>
  <c r="A145" i="5"/>
  <c r="B145" i="5"/>
  <c r="C145" i="5"/>
  <c r="H145" i="5"/>
  <c r="A146" i="5"/>
  <c r="B146" i="5"/>
  <c r="C146" i="5"/>
  <c r="H146" i="5"/>
  <c r="A147" i="5"/>
  <c r="B147" i="5"/>
  <c r="C147" i="5"/>
  <c r="H147" i="5"/>
  <c r="A148" i="5"/>
  <c r="B148" i="5"/>
  <c r="C148" i="5"/>
  <c r="H148" i="5"/>
  <c r="A149" i="5"/>
  <c r="B149" i="5"/>
  <c r="C149" i="5"/>
  <c r="H149" i="5"/>
  <c r="A150" i="5"/>
  <c r="B150" i="5"/>
  <c r="C150" i="5"/>
  <c r="H150" i="5"/>
  <c r="A151" i="5"/>
  <c r="B151" i="5"/>
  <c r="C151" i="5"/>
  <c r="H151" i="5"/>
  <c r="A152" i="5"/>
  <c r="B152" i="5"/>
  <c r="C152" i="5"/>
  <c r="H152" i="5"/>
  <c r="A153" i="5"/>
  <c r="B153" i="5"/>
  <c r="C153" i="5"/>
  <c r="H153" i="5"/>
  <c r="A154" i="5"/>
  <c r="B154" i="5"/>
  <c r="C154" i="5"/>
  <c r="H154" i="5"/>
  <c r="A155" i="5"/>
  <c r="B155" i="5"/>
  <c r="C155" i="5"/>
  <c r="H155" i="5"/>
  <c r="A156" i="5"/>
  <c r="B156" i="5"/>
  <c r="C156" i="5"/>
  <c r="H156" i="5"/>
  <c r="A157" i="5"/>
  <c r="B157" i="5"/>
  <c r="C157" i="5"/>
  <c r="H157" i="5"/>
  <c r="A158" i="5"/>
  <c r="B158" i="5"/>
  <c r="C158" i="5"/>
  <c r="H158" i="5"/>
  <c r="A159" i="5"/>
  <c r="B159" i="5"/>
  <c r="C159" i="5"/>
  <c r="H159" i="5"/>
  <c r="A160" i="5"/>
  <c r="B160" i="5"/>
  <c r="C160" i="5"/>
  <c r="H160" i="5"/>
  <c r="A161" i="5"/>
  <c r="B161" i="5"/>
  <c r="C161" i="5"/>
  <c r="H161" i="5"/>
  <c r="A162" i="5"/>
  <c r="B162" i="5"/>
  <c r="C162" i="5"/>
  <c r="H162" i="5"/>
  <c r="A163" i="5"/>
  <c r="B163" i="5"/>
  <c r="C163" i="5"/>
  <c r="H163" i="5"/>
  <c r="A164" i="5"/>
  <c r="B164" i="5"/>
  <c r="C164" i="5"/>
  <c r="H164" i="5"/>
  <c r="A165" i="5"/>
  <c r="B165" i="5"/>
  <c r="C165" i="5"/>
  <c r="H165" i="5"/>
  <c r="A166" i="5"/>
  <c r="B166" i="5"/>
  <c r="C166" i="5"/>
  <c r="H166" i="5"/>
  <c r="A167" i="5"/>
  <c r="B167" i="5"/>
  <c r="C167" i="5"/>
  <c r="H167" i="5"/>
  <c r="A168" i="5"/>
  <c r="B168" i="5"/>
  <c r="C168" i="5"/>
  <c r="H168" i="5"/>
  <c r="A169" i="5"/>
  <c r="B169" i="5"/>
  <c r="C169" i="5"/>
  <c r="H169" i="5"/>
  <c r="A170" i="5"/>
  <c r="B170" i="5"/>
  <c r="C170" i="5"/>
  <c r="H170" i="5"/>
  <c r="A171" i="5"/>
  <c r="B171" i="5"/>
  <c r="C171" i="5"/>
  <c r="H171" i="5"/>
  <c r="A172" i="5"/>
  <c r="B172" i="5"/>
  <c r="C172" i="5"/>
  <c r="H172" i="5"/>
  <c r="A173" i="5"/>
  <c r="B173" i="5"/>
  <c r="C173" i="5"/>
  <c r="H173" i="5"/>
  <c r="A174" i="5"/>
  <c r="B174" i="5"/>
  <c r="C174" i="5"/>
  <c r="H174" i="5"/>
  <c r="A175" i="5"/>
  <c r="B175" i="5"/>
  <c r="C175" i="5"/>
  <c r="H175" i="5"/>
  <c r="A176" i="5"/>
  <c r="B176" i="5"/>
  <c r="C176" i="5"/>
  <c r="H176" i="5"/>
  <c r="A177" i="5"/>
  <c r="B177" i="5"/>
  <c r="C177" i="5"/>
  <c r="H177" i="5"/>
  <c r="A178" i="5"/>
  <c r="B178" i="5"/>
  <c r="C178" i="5"/>
  <c r="H178" i="5"/>
  <c r="A179" i="5"/>
  <c r="B179" i="5"/>
  <c r="C179" i="5"/>
  <c r="H179" i="5"/>
  <c r="A180" i="5"/>
  <c r="B180" i="5"/>
  <c r="C180" i="5"/>
  <c r="H180" i="5"/>
  <c r="A181" i="5"/>
  <c r="B181" i="5"/>
  <c r="C181" i="5"/>
  <c r="H181" i="5"/>
  <c r="A182" i="5"/>
  <c r="B182" i="5"/>
  <c r="C182" i="5"/>
  <c r="H182" i="5"/>
  <c r="A183" i="5"/>
  <c r="B183" i="5"/>
  <c r="C183" i="5"/>
  <c r="H183" i="5"/>
  <c r="A184" i="5"/>
  <c r="B184" i="5"/>
  <c r="C184" i="5"/>
  <c r="H184" i="5"/>
  <c r="A185" i="5"/>
  <c r="B185" i="5"/>
  <c r="C185" i="5"/>
  <c r="H185" i="5"/>
  <c r="A186" i="5"/>
  <c r="B186" i="5"/>
  <c r="C186" i="5"/>
  <c r="H186" i="5"/>
  <c r="A187" i="5"/>
  <c r="B187" i="5"/>
  <c r="C187" i="5"/>
  <c r="H187" i="5"/>
  <c r="A188" i="5"/>
  <c r="B188" i="5"/>
  <c r="C188" i="5"/>
  <c r="H188" i="5"/>
  <c r="A189" i="5"/>
  <c r="B189" i="5"/>
  <c r="C189" i="5"/>
  <c r="H189" i="5"/>
  <c r="A190" i="5"/>
  <c r="B190" i="5"/>
  <c r="C190" i="5"/>
  <c r="H190" i="5"/>
  <c r="A191" i="5"/>
  <c r="B191" i="5"/>
  <c r="C191" i="5"/>
  <c r="H191" i="5"/>
  <c r="A192" i="5"/>
  <c r="B192" i="5"/>
  <c r="C192" i="5"/>
  <c r="H192" i="5"/>
  <c r="A193" i="5"/>
  <c r="B193" i="5"/>
  <c r="C193" i="5"/>
  <c r="H193" i="5"/>
  <c r="A194" i="5"/>
  <c r="B194" i="5"/>
  <c r="C194" i="5"/>
  <c r="H194" i="5"/>
  <c r="A195" i="5"/>
  <c r="B195" i="5"/>
  <c r="C195" i="5"/>
  <c r="H195" i="5"/>
  <c r="A196" i="5"/>
  <c r="B196" i="5"/>
  <c r="C196" i="5"/>
  <c r="H196" i="5"/>
  <c r="A197" i="5"/>
  <c r="B197" i="5"/>
  <c r="C197" i="5"/>
  <c r="H197" i="5"/>
  <c r="A198" i="5"/>
  <c r="B198" i="5"/>
  <c r="C198" i="5"/>
  <c r="H198" i="5"/>
  <c r="A199" i="5"/>
  <c r="B199" i="5"/>
  <c r="C199" i="5"/>
  <c r="H199" i="5"/>
  <c r="A200" i="5"/>
  <c r="B200" i="5"/>
  <c r="C200" i="5"/>
  <c r="H200" i="5"/>
  <c r="A201" i="5"/>
  <c r="B201" i="5"/>
  <c r="C201" i="5"/>
  <c r="H201" i="5"/>
  <c r="A202" i="5"/>
  <c r="B202" i="5"/>
  <c r="C202" i="5"/>
  <c r="H202" i="5"/>
  <c r="A203" i="5"/>
  <c r="B203" i="5"/>
  <c r="C203" i="5"/>
  <c r="H203" i="5"/>
  <c r="A204" i="5"/>
  <c r="B204" i="5"/>
  <c r="C204" i="5"/>
  <c r="H204" i="5"/>
  <c r="A205" i="5"/>
  <c r="B205" i="5"/>
  <c r="C205" i="5"/>
  <c r="H205" i="5"/>
  <c r="A206" i="5"/>
  <c r="B206" i="5"/>
  <c r="C206" i="5"/>
  <c r="H206" i="5"/>
  <c r="A207" i="5"/>
  <c r="B207" i="5"/>
  <c r="C207" i="5"/>
  <c r="H207" i="5"/>
  <c r="A208" i="5"/>
  <c r="B208" i="5"/>
  <c r="C208" i="5"/>
  <c r="H208" i="5"/>
  <c r="A209" i="5"/>
  <c r="B209" i="5"/>
  <c r="C209" i="5"/>
  <c r="H209" i="5"/>
  <c r="A210" i="5"/>
  <c r="B210" i="5"/>
  <c r="C210" i="5"/>
  <c r="H210" i="5"/>
  <c r="A211" i="5"/>
  <c r="B211" i="5"/>
  <c r="C211" i="5"/>
  <c r="E211" i="5"/>
  <c r="F211" i="5"/>
  <c r="G211" i="5"/>
  <c r="H211" i="5"/>
  <c r="L6" i="1"/>
  <c r="M6" i="1"/>
  <c r="N6" i="1"/>
  <c r="O6" i="1"/>
  <c r="L7" i="1"/>
  <c r="M7" i="1"/>
  <c r="N7" i="1"/>
  <c r="O7" i="1"/>
  <c r="L8" i="1"/>
  <c r="M8" i="1"/>
  <c r="N8" i="1"/>
  <c r="O8" i="1"/>
  <c r="L9" i="1"/>
  <c r="M9" i="1"/>
  <c r="N9" i="1"/>
  <c r="O9" i="1"/>
  <c r="L10" i="1"/>
  <c r="M10" i="1"/>
  <c r="N10" i="1"/>
  <c r="O10" i="1"/>
  <c r="L11" i="1"/>
  <c r="M11" i="1"/>
  <c r="N11" i="1"/>
  <c r="O11" i="1"/>
  <c r="L12" i="1"/>
  <c r="M12" i="1"/>
  <c r="N12" i="1"/>
  <c r="O12" i="1"/>
  <c r="L13" i="1"/>
  <c r="M13" i="1"/>
  <c r="N13" i="1"/>
  <c r="O13" i="1"/>
  <c r="L14" i="1"/>
  <c r="M14" i="1"/>
  <c r="N14" i="1"/>
  <c r="O14" i="1"/>
  <c r="L15" i="1"/>
  <c r="M15" i="1"/>
  <c r="N15" i="1"/>
  <c r="O15" i="1"/>
  <c r="L16" i="1"/>
  <c r="M16" i="1"/>
  <c r="N16" i="1"/>
  <c r="O16" i="1"/>
  <c r="L17" i="1"/>
  <c r="M17" i="1"/>
  <c r="N17" i="1"/>
  <c r="O17" i="1"/>
  <c r="L18" i="1"/>
  <c r="M18" i="1"/>
  <c r="N18" i="1"/>
  <c r="O18" i="1"/>
  <c r="L19" i="1"/>
  <c r="M19" i="1"/>
  <c r="N19" i="1"/>
  <c r="O19" i="1"/>
  <c r="L20" i="1"/>
  <c r="M20" i="1"/>
  <c r="N20" i="1"/>
  <c r="O20" i="1"/>
  <c r="L21" i="1"/>
  <c r="M21" i="1"/>
  <c r="N21" i="1"/>
  <c r="O21" i="1"/>
  <c r="L22" i="1"/>
  <c r="M22" i="1"/>
  <c r="N22" i="1"/>
  <c r="O22" i="1"/>
  <c r="L23" i="1"/>
  <c r="M23" i="1"/>
  <c r="N23" i="1"/>
  <c r="O23" i="1"/>
  <c r="L24" i="1"/>
  <c r="M24" i="1"/>
  <c r="N24" i="1"/>
  <c r="O24" i="1"/>
  <c r="L25" i="1"/>
  <c r="M25" i="1"/>
  <c r="N25" i="1"/>
  <c r="O25" i="1"/>
  <c r="L26" i="1"/>
  <c r="M26" i="1"/>
  <c r="N26" i="1"/>
  <c r="O26" i="1"/>
  <c r="L27" i="1"/>
  <c r="M27" i="1"/>
  <c r="N27" i="1"/>
  <c r="O27" i="1"/>
  <c r="L28" i="1"/>
  <c r="M28" i="1"/>
  <c r="N28" i="1"/>
  <c r="O28" i="1"/>
  <c r="L29" i="1"/>
  <c r="M29" i="1"/>
  <c r="N29" i="1"/>
  <c r="O29" i="1"/>
  <c r="L30" i="1"/>
  <c r="M30" i="1"/>
  <c r="N30" i="1"/>
  <c r="O30" i="1"/>
  <c r="L31" i="1"/>
  <c r="M31" i="1"/>
  <c r="N31" i="1"/>
  <c r="O31" i="1"/>
  <c r="L32" i="1"/>
  <c r="M32" i="1"/>
  <c r="N32" i="1"/>
  <c r="O32" i="1"/>
  <c r="L33" i="1"/>
  <c r="M33" i="1"/>
  <c r="N33" i="1"/>
  <c r="O33" i="1"/>
  <c r="L34" i="1"/>
  <c r="M34" i="1"/>
  <c r="N34" i="1"/>
  <c r="O34" i="1"/>
  <c r="L35" i="1"/>
  <c r="M35" i="1"/>
  <c r="N35" i="1"/>
  <c r="O35" i="1"/>
  <c r="L36" i="1"/>
  <c r="M36" i="1"/>
  <c r="N36" i="1"/>
  <c r="O36" i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L47" i="1"/>
  <c r="M47" i="1"/>
  <c r="N47" i="1"/>
  <c r="O47" i="1"/>
  <c r="L48" i="1"/>
  <c r="M48" i="1"/>
  <c r="N48" i="1"/>
  <c r="O48" i="1"/>
  <c r="L49" i="1"/>
  <c r="M49" i="1"/>
  <c r="N49" i="1"/>
  <c r="O49" i="1"/>
  <c r="L50" i="1"/>
  <c r="M50" i="1"/>
  <c r="N50" i="1"/>
  <c r="O50" i="1"/>
  <c r="L51" i="1"/>
  <c r="M51" i="1"/>
  <c r="N51" i="1"/>
  <c r="O51" i="1"/>
  <c r="L52" i="1"/>
  <c r="M52" i="1"/>
  <c r="N52" i="1"/>
  <c r="O52" i="1"/>
  <c r="L53" i="1"/>
  <c r="M53" i="1"/>
  <c r="N53" i="1"/>
  <c r="O53" i="1"/>
  <c r="L54" i="1"/>
  <c r="M54" i="1"/>
  <c r="N54" i="1"/>
  <c r="O54" i="1"/>
  <c r="L55" i="1"/>
  <c r="M55" i="1"/>
  <c r="N55" i="1"/>
  <c r="O55" i="1"/>
  <c r="L56" i="1"/>
  <c r="M56" i="1"/>
  <c r="N56" i="1"/>
  <c r="O56" i="1"/>
  <c r="L57" i="1"/>
  <c r="M57" i="1"/>
  <c r="N57" i="1"/>
  <c r="O57" i="1"/>
  <c r="L58" i="1"/>
  <c r="M58" i="1"/>
  <c r="N58" i="1"/>
  <c r="O58" i="1"/>
  <c r="L59" i="1"/>
  <c r="M59" i="1"/>
  <c r="N59" i="1"/>
  <c r="O59" i="1"/>
  <c r="L60" i="1"/>
  <c r="M60" i="1"/>
  <c r="N60" i="1"/>
  <c r="O60" i="1"/>
  <c r="L61" i="1"/>
  <c r="M61" i="1"/>
  <c r="N61" i="1"/>
  <c r="O61" i="1"/>
  <c r="L62" i="1"/>
  <c r="M62" i="1"/>
  <c r="N62" i="1"/>
  <c r="O62" i="1"/>
  <c r="L63" i="1"/>
  <c r="M63" i="1"/>
  <c r="N63" i="1"/>
  <c r="O63" i="1"/>
  <c r="L64" i="1"/>
  <c r="M64" i="1"/>
  <c r="N64" i="1"/>
  <c r="O64" i="1"/>
  <c r="L65" i="1"/>
  <c r="M65" i="1"/>
  <c r="N65" i="1"/>
  <c r="O65" i="1"/>
  <c r="L66" i="1"/>
  <c r="M66" i="1"/>
  <c r="N66" i="1"/>
  <c r="O66" i="1"/>
  <c r="L67" i="1"/>
  <c r="M67" i="1"/>
  <c r="N67" i="1"/>
  <c r="O67" i="1"/>
  <c r="L68" i="1"/>
  <c r="M68" i="1"/>
  <c r="N68" i="1"/>
  <c r="O68" i="1"/>
  <c r="L69" i="1"/>
  <c r="M69" i="1"/>
  <c r="N69" i="1"/>
  <c r="O69" i="1"/>
  <c r="L70" i="1"/>
  <c r="M70" i="1"/>
  <c r="N70" i="1"/>
  <c r="O70" i="1"/>
  <c r="L71" i="1"/>
  <c r="M71" i="1"/>
  <c r="N71" i="1"/>
  <c r="O71" i="1"/>
  <c r="L72" i="1"/>
  <c r="M72" i="1"/>
  <c r="N72" i="1"/>
  <c r="O72" i="1"/>
  <c r="L73" i="1"/>
  <c r="M73" i="1"/>
  <c r="N73" i="1"/>
  <c r="O73" i="1"/>
  <c r="L74" i="1"/>
  <c r="M74" i="1"/>
  <c r="N74" i="1"/>
  <c r="O74" i="1"/>
  <c r="L75" i="1"/>
  <c r="M75" i="1"/>
  <c r="N75" i="1"/>
  <c r="O75" i="1"/>
  <c r="L76" i="1"/>
  <c r="M76" i="1"/>
  <c r="N76" i="1"/>
  <c r="O76" i="1"/>
  <c r="L77" i="1"/>
  <c r="M77" i="1"/>
  <c r="N77" i="1"/>
  <c r="O77" i="1"/>
  <c r="L78" i="1"/>
  <c r="M78" i="1"/>
  <c r="N78" i="1"/>
  <c r="O78" i="1"/>
  <c r="L79" i="1"/>
  <c r="M79" i="1"/>
  <c r="N79" i="1"/>
  <c r="O79" i="1"/>
  <c r="L80" i="1"/>
  <c r="M80" i="1"/>
  <c r="N80" i="1"/>
  <c r="O80" i="1"/>
  <c r="L81" i="1"/>
  <c r="M81" i="1"/>
  <c r="N81" i="1"/>
  <c r="O81" i="1"/>
  <c r="L82" i="1"/>
  <c r="M82" i="1"/>
  <c r="N82" i="1"/>
  <c r="O82" i="1"/>
  <c r="L83" i="1"/>
  <c r="M83" i="1"/>
  <c r="N83" i="1"/>
  <c r="O83" i="1"/>
  <c r="L84" i="1"/>
  <c r="M84" i="1"/>
  <c r="N84" i="1"/>
  <c r="O84" i="1"/>
  <c r="L85" i="1"/>
  <c r="M85" i="1"/>
  <c r="N85" i="1"/>
  <c r="O85" i="1"/>
  <c r="L86" i="1"/>
  <c r="M86" i="1"/>
  <c r="N86" i="1"/>
  <c r="O86" i="1"/>
  <c r="L87" i="1"/>
  <c r="M87" i="1"/>
  <c r="N87" i="1"/>
  <c r="O87" i="1"/>
  <c r="L88" i="1"/>
  <c r="M88" i="1"/>
  <c r="N88" i="1"/>
  <c r="O88" i="1"/>
  <c r="L89" i="1"/>
  <c r="M89" i="1"/>
  <c r="N89" i="1"/>
  <c r="O89" i="1"/>
  <c r="L90" i="1"/>
  <c r="M90" i="1"/>
  <c r="N90" i="1"/>
  <c r="O90" i="1"/>
  <c r="L91" i="1"/>
  <c r="M91" i="1"/>
  <c r="N91" i="1"/>
  <c r="O91" i="1"/>
  <c r="L92" i="1"/>
  <c r="M92" i="1"/>
  <c r="N92" i="1"/>
  <c r="O92" i="1"/>
  <c r="L93" i="1"/>
  <c r="M93" i="1"/>
  <c r="N93" i="1"/>
  <c r="O93" i="1"/>
  <c r="L94" i="1"/>
  <c r="M94" i="1"/>
  <c r="N94" i="1"/>
  <c r="O94" i="1"/>
  <c r="L95" i="1"/>
  <c r="M95" i="1"/>
  <c r="N95" i="1"/>
  <c r="O95" i="1"/>
  <c r="L96" i="1"/>
  <c r="M96" i="1"/>
  <c r="N96" i="1"/>
  <c r="O96" i="1"/>
  <c r="L97" i="1"/>
  <c r="M97" i="1"/>
  <c r="N97" i="1"/>
  <c r="O97" i="1"/>
  <c r="L98" i="1"/>
  <c r="M98" i="1"/>
  <c r="N98" i="1"/>
  <c r="O98" i="1"/>
  <c r="L99" i="1"/>
  <c r="M99" i="1"/>
  <c r="N99" i="1"/>
  <c r="O99" i="1"/>
  <c r="L100" i="1"/>
  <c r="M100" i="1"/>
  <c r="N100" i="1"/>
  <c r="O100" i="1"/>
  <c r="L101" i="1"/>
  <c r="M101" i="1"/>
  <c r="N101" i="1"/>
  <c r="O101" i="1"/>
  <c r="L102" i="1"/>
  <c r="M102" i="1"/>
  <c r="N102" i="1"/>
  <c r="O102" i="1"/>
  <c r="L103" i="1"/>
  <c r="M103" i="1"/>
  <c r="N103" i="1"/>
  <c r="O103" i="1"/>
  <c r="L104" i="1"/>
  <c r="M104" i="1"/>
  <c r="N104" i="1"/>
  <c r="O104" i="1"/>
  <c r="L105" i="1"/>
  <c r="M105" i="1"/>
  <c r="N105" i="1"/>
  <c r="O105" i="1"/>
  <c r="L106" i="1"/>
  <c r="M106" i="1"/>
  <c r="N106" i="1"/>
  <c r="O106" i="1"/>
  <c r="L107" i="1"/>
  <c r="M107" i="1"/>
  <c r="N107" i="1"/>
  <c r="O107" i="1"/>
  <c r="L108" i="1"/>
  <c r="M108" i="1"/>
  <c r="N108" i="1"/>
  <c r="O108" i="1"/>
  <c r="L109" i="1"/>
  <c r="M109" i="1"/>
  <c r="N109" i="1"/>
  <c r="O109" i="1"/>
  <c r="L110" i="1"/>
  <c r="M110" i="1"/>
  <c r="N110" i="1"/>
  <c r="O110" i="1"/>
  <c r="L111" i="1"/>
  <c r="M111" i="1"/>
  <c r="N111" i="1"/>
  <c r="O111" i="1"/>
  <c r="L112" i="1"/>
  <c r="M112" i="1"/>
  <c r="N112" i="1"/>
  <c r="O112" i="1"/>
  <c r="L113" i="1"/>
  <c r="M113" i="1"/>
  <c r="N113" i="1"/>
  <c r="O113" i="1"/>
  <c r="L114" i="1"/>
  <c r="M114" i="1"/>
  <c r="N114" i="1"/>
  <c r="O114" i="1"/>
  <c r="L115" i="1"/>
  <c r="M115" i="1"/>
  <c r="N115" i="1"/>
  <c r="O115" i="1"/>
  <c r="L116" i="1"/>
  <c r="M116" i="1"/>
  <c r="N116" i="1"/>
  <c r="O116" i="1"/>
  <c r="L117" i="1"/>
  <c r="M117" i="1"/>
  <c r="N117" i="1"/>
  <c r="O117" i="1"/>
  <c r="L118" i="1"/>
  <c r="M118" i="1"/>
  <c r="N118" i="1"/>
  <c r="O118" i="1"/>
  <c r="L119" i="1"/>
  <c r="M119" i="1"/>
  <c r="N119" i="1"/>
  <c r="O119" i="1"/>
  <c r="L120" i="1"/>
  <c r="M120" i="1"/>
  <c r="N120" i="1"/>
  <c r="O120" i="1"/>
  <c r="L121" i="1"/>
  <c r="M121" i="1"/>
  <c r="N121" i="1"/>
  <c r="O121" i="1"/>
  <c r="L122" i="1"/>
  <c r="M122" i="1"/>
  <c r="N122" i="1"/>
  <c r="O122" i="1"/>
  <c r="L123" i="1"/>
  <c r="M123" i="1"/>
  <c r="N123" i="1"/>
  <c r="O123" i="1"/>
  <c r="L124" i="1"/>
  <c r="M124" i="1"/>
  <c r="N124" i="1"/>
  <c r="O124" i="1"/>
  <c r="L125" i="1"/>
  <c r="M125" i="1"/>
  <c r="N125" i="1"/>
  <c r="O125" i="1"/>
  <c r="L126" i="1"/>
  <c r="M126" i="1"/>
  <c r="N126" i="1"/>
  <c r="O126" i="1"/>
  <c r="L127" i="1"/>
  <c r="M127" i="1"/>
  <c r="N127" i="1"/>
  <c r="O127" i="1"/>
  <c r="L128" i="1"/>
  <c r="M128" i="1"/>
  <c r="N128" i="1"/>
  <c r="O128" i="1"/>
  <c r="L129" i="1"/>
  <c r="M129" i="1"/>
  <c r="N129" i="1"/>
  <c r="O129" i="1"/>
  <c r="L130" i="1"/>
  <c r="M130" i="1"/>
  <c r="N130" i="1"/>
  <c r="O130" i="1"/>
  <c r="L131" i="1"/>
  <c r="M131" i="1"/>
  <c r="N131" i="1"/>
  <c r="O131" i="1"/>
  <c r="L132" i="1"/>
  <c r="M132" i="1"/>
  <c r="N132" i="1"/>
  <c r="O132" i="1"/>
  <c r="L133" i="1"/>
  <c r="M133" i="1"/>
  <c r="N133" i="1"/>
  <c r="O133" i="1"/>
  <c r="L134" i="1"/>
  <c r="M134" i="1"/>
  <c r="N134" i="1"/>
  <c r="O134" i="1"/>
  <c r="L135" i="1"/>
  <c r="M135" i="1"/>
  <c r="N135" i="1"/>
  <c r="O135" i="1"/>
  <c r="L136" i="1"/>
  <c r="M136" i="1"/>
  <c r="N136" i="1"/>
  <c r="O136" i="1"/>
  <c r="L137" i="1"/>
  <c r="M137" i="1"/>
  <c r="N137" i="1"/>
  <c r="O137" i="1"/>
  <c r="L138" i="1"/>
  <c r="M138" i="1"/>
  <c r="N138" i="1"/>
  <c r="O138" i="1"/>
  <c r="L139" i="1"/>
  <c r="M139" i="1"/>
  <c r="N139" i="1"/>
  <c r="O139" i="1"/>
  <c r="L140" i="1"/>
  <c r="M140" i="1"/>
  <c r="N140" i="1"/>
  <c r="O140" i="1"/>
  <c r="L141" i="1"/>
  <c r="M141" i="1"/>
  <c r="N141" i="1"/>
  <c r="O141" i="1"/>
  <c r="L142" i="1"/>
  <c r="M142" i="1"/>
  <c r="N142" i="1"/>
  <c r="O142" i="1"/>
  <c r="L143" i="1"/>
  <c r="M143" i="1"/>
  <c r="N143" i="1"/>
  <c r="O143" i="1"/>
  <c r="L144" i="1"/>
  <c r="M144" i="1"/>
  <c r="N144" i="1"/>
  <c r="O144" i="1"/>
  <c r="L145" i="1"/>
  <c r="M145" i="1"/>
  <c r="N145" i="1"/>
  <c r="O145" i="1"/>
  <c r="L146" i="1"/>
  <c r="M146" i="1"/>
  <c r="N146" i="1"/>
  <c r="O146" i="1"/>
  <c r="L147" i="1"/>
  <c r="M147" i="1"/>
  <c r="N147" i="1"/>
  <c r="O147" i="1"/>
  <c r="L148" i="1"/>
  <c r="M148" i="1"/>
  <c r="N148" i="1"/>
  <c r="O148" i="1"/>
  <c r="L149" i="1"/>
  <c r="M149" i="1"/>
  <c r="N149" i="1"/>
  <c r="O149" i="1"/>
  <c r="L150" i="1"/>
  <c r="M150" i="1"/>
  <c r="N150" i="1"/>
  <c r="O150" i="1"/>
  <c r="L151" i="1"/>
  <c r="M151" i="1"/>
  <c r="N151" i="1"/>
  <c r="O151" i="1"/>
  <c r="L152" i="1"/>
  <c r="M152" i="1"/>
  <c r="N152" i="1"/>
  <c r="O152" i="1"/>
  <c r="L153" i="1"/>
  <c r="M153" i="1"/>
  <c r="N153" i="1"/>
  <c r="O153" i="1"/>
  <c r="L154" i="1"/>
  <c r="M154" i="1"/>
  <c r="N154" i="1"/>
  <c r="O154" i="1"/>
  <c r="L155" i="1"/>
  <c r="M155" i="1"/>
  <c r="N155" i="1"/>
  <c r="O155" i="1"/>
  <c r="L156" i="1"/>
  <c r="M156" i="1"/>
  <c r="N156" i="1"/>
  <c r="O156" i="1"/>
  <c r="L157" i="1"/>
  <c r="M157" i="1"/>
  <c r="N157" i="1"/>
  <c r="O157" i="1"/>
  <c r="L158" i="1"/>
  <c r="M158" i="1"/>
  <c r="N158" i="1"/>
  <c r="O158" i="1"/>
  <c r="L159" i="1"/>
  <c r="M159" i="1"/>
  <c r="N159" i="1"/>
  <c r="O159" i="1"/>
  <c r="L160" i="1"/>
  <c r="M160" i="1"/>
  <c r="N160" i="1"/>
  <c r="O160" i="1"/>
  <c r="L161" i="1"/>
  <c r="M161" i="1"/>
  <c r="N161" i="1"/>
  <c r="O161" i="1"/>
  <c r="L162" i="1"/>
  <c r="M162" i="1"/>
  <c r="N162" i="1"/>
  <c r="O162" i="1"/>
  <c r="L163" i="1"/>
  <c r="M163" i="1"/>
  <c r="N163" i="1"/>
  <c r="O163" i="1"/>
  <c r="L164" i="1"/>
  <c r="M164" i="1"/>
  <c r="N164" i="1"/>
  <c r="O164" i="1"/>
  <c r="L165" i="1"/>
  <c r="M165" i="1"/>
  <c r="N165" i="1"/>
  <c r="O165" i="1"/>
  <c r="L166" i="1"/>
  <c r="M166" i="1"/>
  <c r="N166" i="1"/>
  <c r="O166" i="1"/>
  <c r="L167" i="1"/>
  <c r="M167" i="1"/>
  <c r="N167" i="1"/>
  <c r="O167" i="1"/>
  <c r="L168" i="1"/>
  <c r="M168" i="1"/>
  <c r="N168" i="1"/>
  <c r="O168" i="1"/>
  <c r="L169" i="1"/>
  <c r="M169" i="1"/>
  <c r="N169" i="1"/>
  <c r="O169" i="1"/>
  <c r="L170" i="1"/>
  <c r="M170" i="1"/>
  <c r="N170" i="1"/>
  <c r="O170" i="1"/>
  <c r="L171" i="1"/>
  <c r="M171" i="1"/>
  <c r="N171" i="1"/>
  <c r="O171" i="1"/>
  <c r="L172" i="1"/>
  <c r="M172" i="1"/>
  <c r="N172" i="1"/>
  <c r="O172" i="1"/>
  <c r="L173" i="1"/>
  <c r="M173" i="1"/>
  <c r="N173" i="1"/>
  <c r="O173" i="1"/>
  <c r="L174" i="1"/>
  <c r="M174" i="1"/>
  <c r="N174" i="1"/>
  <c r="O174" i="1"/>
  <c r="L175" i="1"/>
  <c r="M175" i="1"/>
  <c r="N175" i="1"/>
  <c r="O175" i="1"/>
  <c r="L176" i="1"/>
  <c r="M176" i="1"/>
  <c r="N176" i="1"/>
  <c r="O176" i="1"/>
  <c r="L177" i="1"/>
  <c r="M177" i="1"/>
  <c r="N177" i="1"/>
  <c r="O177" i="1"/>
  <c r="L178" i="1"/>
  <c r="M178" i="1"/>
  <c r="N178" i="1"/>
  <c r="O178" i="1"/>
  <c r="L179" i="1"/>
  <c r="M179" i="1"/>
  <c r="N179" i="1"/>
  <c r="O179" i="1"/>
  <c r="L180" i="1"/>
  <c r="M180" i="1"/>
  <c r="N180" i="1"/>
  <c r="O180" i="1"/>
  <c r="L181" i="1"/>
  <c r="M181" i="1"/>
  <c r="N181" i="1"/>
  <c r="O181" i="1"/>
  <c r="L182" i="1"/>
  <c r="M182" i="1"/>
  <c r="N182" i="1"/>
  <c r="O182" i="1"/>
  <c r="L183" i="1"/>
  <c r="M183" i="1"/>
  <c r="N183" i="1"/>
  <c r="O183" i="1"/>
  <c r="L184" i="1"/>
  <c r="M184" i="1"/>
  <c r="N184" i="1"/>
  <c r="O184" i="1"/>
  <c r="L185" i="1"/>
  <c r="M185" i="1"/>
  <c r="N185" i="1"/>
  <c r="O185" i="1"/>
  <c r="L186" i="1"/>
  <c r="M186" i="1"/>
  <c r="N186" i="1"/>
  <c r="O186" i="1"/>
  <c r="L187" i="1"/>
  <c r="M187" i="1"/>
  <c r="N187" i="1"/>
  <c r="O187" i="1"/>
  <c r="L188" i="1"/>
  <c r="M188" i="1"/>
  <c r="N188" i="1"/>
  <c r="O188" i="1"/>
  <c r="L189" i="1"/>
  <c r="M189" i="1"/>
  <c r="N189" i="1"/>
  <c r="O189" i="1"/>
  <c r="L190" i="1"/>
  <c r="M190" i="1"/>
  <c r="N190" i="1"/>
  <c r="O190" i="1"/>
  <c r="L191" i="1"/>
  <c r="M191" i="1"/>
  <c r="N191" i="1"/>
  <c r="O191" i="1"/>
  <c r="L192" i="1"/>
  <c r="M192" i="1"/>
  <c r="N192" i="1"/>
  <c r="O192" i="1"/>
  <c r="L193" i="1"/>
  <c r="M193" i="1"/>
  <c r="N193" i="1"/>
  <c r="O193" i="1"/>
  <c r="L194" i="1"/>
  <c r="M194" i="1"/>
  <c r="N194" i="1"/>
  <c r="O194" i="1"/>
  <c r="L195" i="1"/>
  <c r="M195" i="1"/>
  <c r="N195" i="1"/>
  <c r="O195" i="1"/>
  <c r="L196" i="1"/>
  <c r="M196" i="1"/>
  <c r="N196" i="1"/>
  <c r="O196" i="1"/>
  <c r="L197" i="1"/>
  <c r="M197" i="1"/>
  <c r="N197" i="1"/>
  <c r="O197" i="1"/>
  <c r="L198" i="1"/>
  <c r="M198" i="1"/>
  <c r="N198" i="1"/>
  <c r="O198" i="1"/>
  <c r="L199" i="1"/>
  <c r="M199" i="1"/>
  <c r="N199" i="1"/>
  <c r="O199" i="1"/>
  <c r="L200" i="1"/>
  <c r="M200" i="1"/>
  <c r="N200" i="1"/>
  <c r="O200" i="1"/>
  <c r="L201" i="1"/>
  <c r="M201" i="1"/>
  <c r="N201" i="1"/>
  <c r="O201" i="1"/>
  <c r="L202" i="1"/>
  <c r="M202" i="1"/>
  <c r="N202" i="1"/>
  <c r="O202" i="1"/>
  <c r="L203" i="1"/>
  <c r="M203" i="1"/>
  <c r="N203" i="1"/>
  <c r="O203" i="1"/>
  <c r="L204" i="1"/>
  <c r="M204" i="1"/>
  <c r="N204" i="1"/>
  <c r="O204" i="1"/>
  <c r="L205" i="1"/>
  <c r="M205" i="1"/>
  <c r="N205" i="1"/>
  <c r="O205" i="1"/>
  <c r="L206" i="1"/>
  <c r="M206" i="1"/>
  <c r="N206" i="1"/>
  <c r="O206" i="1"/>
  <c r="L207" i="1"/>
  <c r="M207" i="1"/>
  <c r="N207" i="1"/>
  <c r="O207" i="1"/>
  <c r="L208" i="1"/>
  <c r="M208" i="1"/>
  <c r="N208" i="1"/>
  <c r="O208" i="1"/>
  <c r="L209" i="1"/>
  <c r="M209" i="1"/>
  <c r="N209" i="1"/>
  <c r="O209" i="1"/>
  <c r="L210" i="1"/>
  <c r="M210" i="1"/>
  <c r="N210" i="1"/>
  <c r="O210" i="1"/>
  <c r="L211" i="1"/>
  <c r="M211" i="1"/>
  <c r="N211" i="1"/>
  <c r="O211" i="1"/>
  <c r="E5" i="4" l="1"/>
  <c r="D7" i="4"/>
  <c r="G211" i="4"/>
  <c r="F211" i="3"/>
  <c r="F39" i="3"/>
  <c r="G38" i="3" s="1"/>
  <c r="F35" i="3"/>
  <c r="G34" i="3" s="1"/>
  <c r="F31" i="3"/>
  <c r="G30" i="3" s="1"/>
  <c r="F27" i="3"/>
  <c r="G26" i="3" s="1"/>
  <c r="F23" i="3"/>
  <c r="G22" i="3" s="1"/>
  <c r="F19" i="3"/>
  <c r="G18" i="3" s="1"/>
  <c r="F15" i="3"/>
  <c r="G14" i="3" s="1"/>
  <c r="F11" i="3"/>
  <c r="G10" i="3" s="1"/>
  <c r="D44" i="3"/>
  <c r="G39" i="3"/>
  <c r="G35" i="3"/>
  <c r="G31" i="3"/>
  <c r="G27" i="3"/>
  <c r="G23" i="3"/>
  <c r="G19" i="3"/>
  <c r="G15" i="3"/>
  <c r="G11" i="3"/>
  <c r="D7" i="5"/>
  <c r="Q6" i="1"/>
  <c r="R6" i="1"/>
  <c r="E6" i="4" l="1"/>
  <c r="F5" i="4" s="1"/>
  <c r="D8" i="4"/>
  <c r="E43" i="3"/>
  <c r="F42" i="3" s="1"/>
  <c r="G41" i="3" s="1"/>
  <c r="D45" i="3"/>
  <c r="G211" i="3"/>
  <c r="E6" i="5"/>
  <c r="F5" i="5" s="1"/>
  <c r="D8" i="5"/>
  <c r="X6" i="1"/>
  <c r="U6" i="1"/>
  <c r="R7" i="1"/>
  <c r="W6" i="1"/>
  <c r="T6" i="1"/>
  <c r="Q7" i="1"/>
  <c r="G2" i="6"/>
  <c r="G3" i="6" s="1"/>
  <c r="G4" i="6" s="1"/>
  <c r="G5" i="6" s="1"/>
  <c r="G6" i="6" s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293" i="6" s="1"/>
  <c r="E7" i="4" l="1"/>
  <c r="F6" i="4" s="1"/>
  <c r="G5" i="4" s="1"/>
  <c r="D9" i="4"/>
  <c r="E44" i="3"/>
  <c r="F43" i="3" s="1"/>
  <c r="G42" i="3" s="1"/>
  <c r="D46" i="3"/>
  <c r="E7" i="5"/>
  <c r="F6" i="5" s="1"/>
  <c r="G5" i="5" s="1"/>
  <c r="D9" i="5"/>
  <c r="U7" i="1"/>
  <c r="R8" i="1"/>
  <c r="X7" i="1"/>
  <c r="T7" i="1"/>
  <c r="Q8" i="1"/>
  <c r="W7" i="1"/>
  <c r="E8" i="4" l="1"/>
  <c r="F7" i="4" s="1"/>
  <c r="G6" i="4" s="1"/>
  <c r="D10" i="4"/>
  <c r="E45" i="3"/>
  <c r="F44" i="3" s="1"/>
  <c r="G43" i="3" s="1"/>
  <c r="D47" i="3"/>
  <c r="E8" i="5"/>
  <c r="F7" i="5" s="1"/>
  <c r="G6" i="5" s="1"/>
  <c r="D10" i="5"/>
  <c r="X8" i="1"/>
  <c r="R9" i="1"/>
  <c r="U8" i="1"/>
  <c r="W8" i="1"/>
  <c r="T8" i="1"/>
  <c r="Q9" i="1"/>
  <c r="L4" i="1"/>
  <c r="M4" i="1"/>
  <c r="N4" i="1"/>
  <c r="O4" i="1"/>
  <c r="H4" i="5" s="1"/>
  <c r="L5" i="1"/>
  <c r="M5" i="1"/>
  <c r="N5" i="1"/>
  <c r="O5" i="1"/>
  <c r="O3" i="1"/>
  <c r="H3" i="5" s="1"/>
  <c r="L3" i="1"/>
  <c r="L2" i="1" s="1"/>
  <c r="M3" i="1"/>
  <c r="M2" i="1" s="1"/>
  <c r="N3" i="1"/>
  <c r="E9" i="4" l="1"/>
  <c r="F8" i="4" s="1"/>
  <c r="G7" i="4" s="1"/>
  <c r="D11" i="4"/>
  <c r="E46" i="3"/>
  <c r="F45" i="3" s="1"/>
  <c r="G44" i="3" s="1"/>
  <c r="D48" i="3"/>
  <c r="E9" i="5"/>
  <c r="F8" i="5" s="1"/>
  <c r="G7" i="5" s="1"/>
  <c r="D11" i="5"/>
  <c r="T9" i="1"/>
  <c r="Q10" i="1"/>
  <c r="W9" i="1"/>
  <c r="U9" i="1"/>
  <c r="R10" i="1"/>
  <c r="X9" i="1"/>
  <c r="O2" i="1"/>
  <c r="H2" i="5" s="1"/>
  <c r="E10" i="4" l="1"/>
  <c r="F9" i="4" s="1"/>
  <c r="G8" i="4" s="1"/>
  <c r="D12" i="4"/>
  <c r="E47" i="3"/>
  <c r="F46" i="3" s="1"/>
  <c r="G45" i="3" s="1"/>
  <c r="D49" i="3"/>
  <c r="E10" i="5"/>
  <c r="F9" i="5" s="1"/>
  <c r="G8" i="5" s="1"/>
  <c r="D12" i="5"/>
  <c r="W10" i="1"/>
  <c r="T10" i="1"/>
  <c r="Q11" i="1"/>
  <c r="X10" i="1"/>
  <c r="U10" i="1"/>
  <c r="R11" i="1"/>
  <c r="K2" i="1"/>
  <c r="H4" i="4"/>
  <c r="R2" i="1"/>
  <c r="Q2" i="1"/>
  <c r="H3" i="3"/>
  <c r="E11" i="4" l="1"/>
  <c r="F10" i="4" s="1"/>
  <c r="G9" i="4" s="1"/>
  <c r="D13" i="4"/>
  <c r="E48" i="3"/>
  <c r="F47" i="3" s="1"/>
  <c r="G46" i="3" s="1"/>
  <c r="D50" i="3"/>
  <c r="E11" i="5"/>
  <c r="F10" i="5" s="1"/>
  <c r="G9" i="5" s="1"/>
  <c r="D13" i="5"/>
  <c r="T11" i="1"/>
  <c r="Q12" i="1"/>
  <c r="W11" i="1"/>
  <c r="U11" i="1"/>
  <c r="R12" i="1"/>
  <c r="X11" i="1"/>
  <c r="A3" i="5"/>
  <c r="A2" i="5"/>
  <c r="A4" i="5"/>
  <c r="H2" i="6"/>
  <c r="H3" i="6" s="1"/>
  <c r="H4" i="6" s="1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B2" i="5"/>
  <c r="R3" i="1"/>
  <c r="C3" i="5" s="1"/>
  <c r="I2" i="6"/>
  <c r="I3" i="6" s="1"/>
  <c r="I4" i="6" s="1"/>
  <c r="I5" i="6" s="1"/>
  <c r="I6" i="6" s="1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I42" i="6" s="1"/>
  <c r="I43" i="6" s="1"/>
  <c r="I44" i="6" s="1"/>
  <c r="I45" i="6" s="1"/>
  <c r="I46" i="6" s="1"/>
  <c r="I47" i="6" s="1"/>
  <c r="I48" i="6" s="1"/>
  <c r="I49" i="6" s="1"/>
  <c r="I50" i="6" s="1"/>
  <c r="I51" i="6" s="1"/>
  <c r="I52" i="6" s="1"/>
  <c r="I53" i="6" s="1"/>
  <c r="I54" i="6" s="1"/>
  <c r="I55" i="6" s="1"/>
  <c r="I56" i="6" s="1"/>
  <c r="I57" i="6" s="1"/>
  <c r="I58" i="6" s="1"/>
  <c r="I59" i="6" s="1"/>
  <c r="I60" i="6" s="1"/>
  <c r="I61" i="6" s="1"/>
  <c r="I62" i="6" s="1"/>
  <c r="I63" i="6" s="1"/>
  <c r="I64" i="6" s="1"/>
  <c r="I65" i="6" s="1"/>
  <c r="I66" i="6" s="1"/>
  <c r="I67" i="6" s="1"/>
  <c r="I68" i="6" s="1"/>
  <c r="I69" i="6" s="1"/>
  <c r="I70" i="6" s="1"/>
  <c r="I71" i="6" s="1"/>
  <c r="I72" i="6" s="1"/>
  <c r="I73" i="6" s="1"/>
  <c r="I74" i="6" s="1"/>
  <c r="I75" i="6" s="1"/>
  <c r="I76" i="6" s="1"/>
  <c r="I77" i="6" s="1"/>
  <c r="I78" i="6" s="1"/>
  <c r="I79" i="6" s="1"/>
  <c r="I80" i="6" s="1"/>
  <c r="I81" i="6" s="1"/>
  <c r="I82" i="6" s="1"/>
  <c r="I83" i="6" s="1"/>
  <c r="I84" i="6" s="1"/>
  <c r="I85" i="6" s="1"/>
  <c r="I86" i="6" s="1"/>
  <c r="I87" i="6" s="1"/>
  <c r="I88" i="6" s="1"/>
  <c r="I89" i="6" s="1"/>
  <c r="I90" i="6" s="1"/>
  <c r="I91" i="6" s="1"/>
  <c r="I92" i="6" s="1"/>
  <c r="I93" i="6" s="1"/>
  <c r="I94" i="6" s="1"/>
  <c r="I95" i="6" s="1"/>
  <c r="I96" i="6" s="1"/>
  <c r="I97" i="6" s="1"/>
  <c r="I98" i="6" s="1"/>
  <c r="I99" i="6" s="1"/>
  <c r="I100" i="6" s="1"/>
  <c r="I101" i="6" s="1"/>
  <c r="I102" i="6" s="1"/>
  <c r="I103" i="6" s="1"/>
  <c r="I104" i="6" s="1"/>
  <c r="I105" i="6" s="1"/>
  <c r="I106" i="6" s="1"/>
  <c r="I107" i="6" s="1"/>
  <c r="I108" i="6" s="1"/>
  <c r="I109" i="6" s="1"/>
  <c r="I110" i="6" s="1"/>
  <c r="I111" i="6" s="1"/>
  <c r="I112" i="6" s="1"/>
  <c r="I113" i="6" s="1"/>
  <c r="I114" i="6" s="1"/>
  <c r="I115" i="6" s="1"/>
  <c r="I116" i="6" s="1"/>
  <c r="I117" i="6" s="1"/>
  <c r="I118" i="6" s="1"/>
  <c r="I119" i="6" s="1"/>
  <c r="I120" i="6" s="1"/>
  <c r="I121" i="6" s="1"/>
  <c r="I122" i="6" s="1"/>
  <c r="I123" i="6" s="1"/>
  <c r="I124" i="6" s="1"/>
  <c r="I125" i="6" s="1"/>
  <c r="I126" i="6" s="1"/>
  <c r="I127" i="6" s="1"/>
  <c r="I128" i="6" s="1"/>
  <c r="I129" i="6" s="1"/>
  <c r="I130" i="6" s="1"/>
  <c r="I131" i="6" s="1"/>
  <c r="I132" i="6" s="1"/>
  <c r="I133" i="6" s="1"/>
  <c r="I134" i="6" s="1"/>
  <c r="I135" i="6" s="1"/>
  <c r="I136" i="6" s="1"/>
  <c r="I137" i="6" s="1"/>
  <c r="I138" i="6" s="1"/>
  <c r="I139" i="6" s="1"/>
  <c r="I140" i="6" s="1"/>
  <c r="I141" i="6" s="1"/>
  <c r="I142" i="6" s="1"/>
  <c r="I143" i="6" s="1"/>
  <c r="I144" i="6" s="1"/>
  <c r="I145" i="6" s="1"/>
  <c r="I146" i="6" s="1"/>
  <c r="I147" i="6" s="1"/>
  <c r="I148" i="6" s="1"/>
  <c r="I149" i="6" s="1"/>
  <c r="I150" i="6" s="1"/>
  <c r="I151" i="6" s="1"/>
  <c r="I152" i="6" s="1"/>
  <c r="I153" i="6" s="1"/>
  <c r="I154" i="6" s="1"/>
  <c r="I155" i="6" s="1"/>
  <c r="I156" i="6" s="1"/>
  <c r="I157" i="6" s="1"/>
  <c r="I158" i="6" s="1"/>
  <c r="I159" i="6" s="1"/>
  <c r="I160" i="6" s="1"/>
  <c r="I161" i="6" s="1"/>
  <c r="I162" i="6" s="1"/>
  <c r="I163" i="6" s="1"/>
  <c r="I164" i="6" s="1"/>
  <c r="I165" i="6" s="1"/>
  <c r="I166" i="6" s="1"/>
  <c r="I167" i="6" s="1"/>
  <c r="I168" i="6" s="1"/>
  <c r="I169" i="6" s="1"/>
  <c r="I170" i="6" s="1"/>
  <c r="I171" i="6" s="1"/>
  <c r="I172" i="6" s="1"/>
  <c r="I173" i="6" s="1"/>
  <c r="I174" i="6" s="1"/>
  <c r="I175" i="6" s="1"/>
  <c r="I176" i="6" s="1"/>
  <c r="I177" i="6" s="1"/>
  <c r="I178" i="6" s="1"/>
  <c r="I179" i="6" s="1"/>
  <c r="I180" i="6" s="1"/>
  <c r="I181" i="6" s="1"/>
  <c r="I182" i="6" s="1"/>
  <c r="I183" i="6" s="1"/>
  <c r="C2" i="5"/>
  <c r="Q3" i="1"/>
  <c r="H2" i="4"/>
  <c r="H4" i="3"/>
  <c r="A3" i="4"/>
  <c r="A4" i="4"/>
  <c r="A2" i="4"/>
  <c r="A3" i="3"/>
  <c r="A4" i="3"/>
  <c r="U3" i="1"/>
  <c r="C3" i="3" s="1"/>
  <c r="H3" i="4"/>
  <c r="A2" i="3"/>
  <c r="E12" i="4" l="1"/>
  <c r="F11" i="4" s="1"/>
  <c r="G10" i="4" s="1"/>
  <c r="D14" i="4"/>
  <c r="E49" i="3"/>
  <c r="F48" i="3" s="1"/>
  <c r="G47" i="3" s="1"/>
  <c r="D51" i="3"/>
  <c r="E12" i="5"/>
  <c r="F11" i="5" s="1"/>
  <c r="G10" i="5" s="1"/>
  <c r="D14" i="5"/>
  <c r="W12" i="1"/>
  <c r="T12" i="1"/>
  <c r="Q13" i="1"/>
  <c r="X12" i="1"/>
  <c r="U12" i="1"/>
  <c r="R13" i="1"/>
  <c r="R4" i="1"/>
  <c r="R5" i="1" s="1"/>
  <c r="Q4" i="1"/>
  <c r="B4" i="5" s="1"/>
  <c r="B3" i="5"/>
  <c r="D3" i="5" s="1"/>
  <c r="C4" i="5"/>
  <c r="Q5" i="1"/>
  <c r="W4" i="1"/>
  <c r="B4" i="4" s="1"/>
  <c r="T2" i="1"/>
  <c r="B2" i="3" s="1"/>
  <c r="U2" i="1"/>
  <c r="C2" i="3" s="1"/>
  <c r="W2" i="1"/>
  <c r="B2" i="4" s="1"/>
  <c r="X2" i="1"/>
  <c r="C2" i="4" s="1"/>
  <c r="H2" i="3"/>
  <c r="T4" i="1"/>
  <c r="B4" i="3" s="1"/>
  <c r="X3" i="1"/>
  <c r="C3" i="4" s="1"/>
  <c r="T3" i="1"/>
  <c r="B3" i="3" s="1"/>
  <c r="W3" i="1"/>
  <c r="B3" i="4" s="1"/>
  <c r="E13" i="4" l="1"/>
  <c r="F12" i="4" s="1"/>
  <c r="G11" i="4" s="1"/>
  <c r="D15" i="4"/>
  <c r="E50" i="3"/>
  <c r="F49" i="3" s="1"/>
  <c r="G48" i="3" s="1"/>
  <c r="D52" i="3"/>
  <c r="E13" i="5"/>
  <c r="F12" i="5" s="1"/>
  <c r="G11" i="5" s="1"/>
  <c r="D15" i="5"/>
  <c r="T13" i="1"/>
  <c r="Q14" i="1"/>
  <c r="W13" i="1"/>
  <c r="U13" i="1"/>
  <c r="R14" i="1"/>
  <c r="X13" i="1"/>
  <c r="E2" i="5"/>
  <c r="D4" i="5"/>
  <c r="T5" i="1"/>
  <c r="D3" i="4"/>
  <c r="E2" i="4" s="1"/>
  <c r="D3" i="3"/>
  <c r="E2" i="3" s="1"/>
  <c r="W5" i="1"/>
  <c r="X4" i="1"/>
  <c r="C4" i="4" s="1"/>
  <c r="U4" i="1"/>
  <c r="C4" i="3" s="1"/>
  <c r="E14" i="4" l="1"/>
  <c r="F13" i="4" s="1"/>
  <c r="G12" i="4" s="1"/>
  <c r="D16" i="4"/>
  <c r="E51" i="3"/>
  <c r="F50" i="3" s="1"/>
  <c r="G49" i="3" s="1"/>
  <c r="D53" i="3"/>
  <c r="E14" i="5"/>
  <c r="F13" i="5" s="1"/>
  <c r="G12" i="5" s="1"/>
  <c r="D16" i="5"/>
  <c r="W14" i="1"/>
  <c r="T14" i="1"/>
  <c r="Q15" i="1"/>
  <c r="X14" i="1"/>
  <c r="U14" i="1"/>
  <c r="R15" i="1"/>
  <c r="E3" i="5"/>
  <c r="F2" i="5" s="1"/>
  <c r="D4" i="4"/>
  <c r="D4" i="3"/>
  <c r="U5" i="1"/>
  <c r="X5" i="1"/>
  <c r="E15" i="4" l="1"/>
  <c r="F14" i="4" s="1"/>
  <c r="G13" i="4" s="1"/>
  <c r="D17" i="4"/>
  <c r="E52" i="3"/>
  <c r="F51" i="3" s="1"/>
  <c r="G50" i="3" s="1"/>
  <c r="D54" i="3"/>
  <c r="E15" i="5"/>
  <c r="F14" i="5" s="1"/>
  <c r="G13" i="5" s="1"/>
  <c r="D17" i="5"/>
  <c r="T15" i="1"/>
  <c r="Q16" i="1"/>
  <c r="W15" i="1"/>
  <c r="U15" i="1"/>
  <c r="R16" i="1"/>
  <c r="X15" i="1"/>
  <c r="E4" i="5"/>
  <c r="F3" i="5" s="1"/>
  <c r="G2" i="5" s="1"/>
  <c r="E3" i="4"/>
  <c r="E3" i="3"/>
  <c r="E16" i="4" l="1"/>
  <c r="F15" i="4" s="1"/>
  <c r="G14" i="4" s="1"/>
  <c r="D18" i="4"/>
  <c r="E53" i="3"/>
  <c r="F52" i="3" s="1"/>
  <c r="G51" i="3" s="1"/>
  <c r="D55" i="3"/>
  <c r="E16" i="5"/>
  <c r="F15" i="5" s="1"/>
  <c r="G14" i="5" s="1"/>
  <c r="D18" i="5"/>
  <c r="W16" i="1"/>
  <c r="T16" i="1"/>
  <c r="Q17" i="1"/>
  <c r="X16" i="1"/>
  <c r="R17" i="1"/>
  <c r="U16" i="1"/>
  <c r="F4" i="5"/>
  <c r="G3" i="5" s="1"/>
  <c r="F2" i="3"/>
  <c r="F2" i="4"/>
  <c r="E4" i="4"/>
  <c r="F3" i="4" s="1"/>
  <c r="E4" i="3"/>
  <c r="F3" i="3" s="1"/>
  <c r="E17" i="4" l="1"/>
  <c r="F16" i="4" s="1"/>
  <c r="G15" i="4" s="1"/>
  <c r="D19" i="4"/>
  <c r="E54" i="3"/>
  <c r="F53" i="3" s="1"/>
  <c r="G52" i="3" s="1"/>
  <c r="D56" i="3"/>
  <c r="E17" i="5"/>
  <c r="F16" i="5" s="1"/>
  <c r="G15" i="5" s="1"/>
  <c r="D19" i="5"/>
  <c r="T17" i="1"/>
  <c r="Q18" i="1"/>
  <c r="W17" i="1"/>
  <c r="U17" i="1"/>
  <c r="R18" i="1"/>
  <c r="X17" i="1"/>
  <c r="G4" i="5"/>
  <c r="G2" i="3"/>
  <c r="G2" i="4"/>
  <c r="F4" i="4"/>
  <c r="G3" i="4" s="1"/>
  <c r="F4" i="3"/>
  <c r="G3" i="3" s="1"/>
  <c r="E18" i="4" l="1"/>
  <c r="F17" i="4" s="1"/>
  <c r="G16" i="4" s="1"/>
  <c r="D20" i="4"/>
  <c r="E55" i="3"/>
  <c r="F54" i="3" s="1"/>
  <c r="G53" i="3" s="1"/>
  <c r="D57" i="3"/>
  <c r="E18" i="5"/>
  <c r="F17" i="5" s="1"/>
  <c r="G16" i="5" s="1"/>
  <c r="D20" i="5"/>
  <c r="W18" i="1"/>
  <c r="T18" i="1"/>
  <c r="Q19" i="1"/>
  <c r="X18" i="1"/>
  <c r="U18" i="1"/>
  <c r="R19" i="1"/>
  <c r="G4" i="4"/>
  <c r="G4" i="3"/>
  <c r="E19" i="4" l="1"/>
  <c r="F18" i="4" s="1"/>
  <c r="G17" i="4" s="1"/>
  <c r="D21" i="4"/>
  <c r="E56" i="3"/>
  <c r="F55" i="3" s="1"/>
  <c r="G54" i="3" s="1"/>
  <c r="D58" i="3"/>
  <c r="E19" i="5"/>
  <c r="F18" i="5" s="1"/>
  <c r="G17" i="5" s="1"/>
  <c r="D21" i="5"/>
  <c r="T19" i="1"/>
  <c r="Q20" i="1"/>
  <c r="W19" i="1"/>
  <c r="U19" i="1"/>
  <c r="R20" i="1"/>
  <c r="X19" i="1"/>
  <c r="E20" i="4" l="1"/>
  <c r="F19" i="4" s="1"/>
  <c r="G18" i="4" s="1"/>
  <c r="D22" i="4"/>
  <c r="E57" i="3"/>
  <c r="F56" i="3" s="1"/>
  <c r="G55" i="3" s="1"/>
  <c r="D59" i="3"/>
  <c r="E20" i="5"/>
  <c r="F19" i="5" s="1"/>
  <c r="G18" i="5" s="1"/>
  <c r="D22" i="5"/>
  <c r="W20" i="1"/>
  <c r="T20" i="1"/>
  <c r="Q21" i="1"/>
  <c r="X20" i="1"/>
  <c r="U20" i="1"/>
  <c r="R21" i="1"/>
  <c r="E21" i="4" l="1"/>
  <c r="F20" i="4" s="1"/>
  <c r="G19" i="4" s="1"/>
  <c r="D23" i="4"/>
  <c r="E58" i="3"/>
  <c r="F57" i="3" s="1"/>
  <c r="G56" i="3" s="1"/>
  <c r="D60" i="3"/>
  <c r="E21" i="5"/>
  <c r="F20" i="5" s="1"/>
  <c r="G19" i="5" s="1"/>
  <c r="D23" i="5"/>
  <c r="T21" i="1"/>
  <c r="Q22" i="1"/>
  <c r="W21" i="1"/>
  <c r="U21" i="1"/>
  <c r="R22" i="1"/>
  <c r="X21" i="1"/>
  <c r="E22" i="4" l="1"/>
  <c r="F21" i="4" s="1"/>
  <c r="G20" i="4" s="1"/>
  <c r="D24" i="4"/>
  <c r="E59" i="3"/>
  <c r="F58" i="3" s="1"/>
  <c r="G57" i="3" s="1"/>
  <c r="D61" i="3"/>
  <c r="E22" i="5"/>
  <c r="F21" i="5" s="1"/>
  <c r="G20" i="5" s="1"/>
  <c r="D24" i="5"/>
  <c r="W22" i="1"/>
  <c r="T22" i="1"/>
  <c r="Q23" i="1"/>
  <c r="X22" i="1"/>
  <c r="U22" i="1"/>
  <c r="R23" i="1"/>
  <c r="E23" i="4" l="1"/>
  <c r="F22" i="4" s="1"/>
  <c r="G21" i="4" s="1"/>
  <c r="D25" i="4"/>
  <c r="E60" i="3"/>
  <c r="F59" i="3" s="1"/>
  <c r="G58" i="3" s="1"/>
  <c r="D62" i="3"/>
  <c r="E23" i="5"/>
  <c r="F22" i="5" s="1"/>
  <c r="G21" i="5" s="1"/>
  <c r="D25" i="5"/>
  <c r="T23" i="1"/>
  <c r="Q24" i="1"/>
  <c r="W23" i="1"/>
  <c r="U23" i="1"/>
  <c r="R24" i="1"/>
  <c r="X23" i="1"/>
  <c r="E24" i="4" l="1"/>
  <c r="F23" i="4" s="1"/>
  <c r="G22" i="4" s="1"/>
  <c r="D26" i="4"/>
  <c r="E61" i="3"/>
  <c r="F60" i="3" s="1"/>
  <c r="G59" i="3" s="1"/>
  <c r="D63" i="3"/>
  <c r="E24" i="5"/>
  <c r="F23" i="5" s="1"/>
  <c r="G22" i="5" s="1"/>
  <c r="D26" i="5"/>
  <c r="W24" i="1"/>
  <c r="T24" i="1"/>
  <c r="Q25" i="1"/>
  <c r="X24" i="1"/>
  <c r="R25" i="1"/>
  <c r="U24" i="1"/>
  <c r="E25" i="4" l="1"/>
  <c r="F24" i="4" s="1"/>
  <c r="G23" i="4" s="1"/>
  <c r="D27" i="4"/>
  <c r="E62" i="3"/>
  <c r="F61" i="3" s="1"/>
  <c r="G60" i="3" s="1"/>
  <c r="D64" i="3"/>
  <c r="E25" i="5"/>
  <c r="F24" i="5" s="1"/>
  <c r="G23" i="5" s="1"/>
  <c r="D27" i="5"/>
  <c r="T25" i="1"/>
  <c r="Q26" i="1"/>
  <c r="W25" i="1"/>
  <c r="U25" i="1"/>
  <c r="R26" i="1"/>
  <c r="X25" i="1"/>
  <c r="E26" i="4" l="1"/>
  <c r="F25" i="4" s="1"/>
  <c r="G24" i="4" s="1"/>
  <c r="D28" i="4"/>
  <c r="E63" i="3"/>
  <c r="F62" i="3" s="1"/>
  <c r="G61" i="3" s="1"/>
  <c r="D65" i="3"/>
  <c r="E26" i="5"/>
  <c r="F25" i="5" s="1"/>
  <c r="G24" i="5" s="1"/>
  <c r="D28" i="5"/>
  <c r="W26" i="1"/>
  <c r="T26" i="1"/>
  <c r="Q27" i="1"/>
  <c r="X26" i="1"/>
  <c r="U26" i="1"/>
  <c r="R27" i="1"/>
  <c r="E27" i="4" l="1"/>
  <c r="F26" i="4" s="1"/>
  <c r="G25" i="4" s="1"/>
  <c r="D29" i="4"/>
  <c r="E64" i="3"/>
  <c r="F63" i="3" s="1"/>
  <c r="G62" i="3" s="1"/>
  <c r="D66" i="3"/>
  <c r="E27" i="5"/>
  <c r="F26" i="5" s="1"/>
  <c r="G25" i="5" s="1"/>
  <c r="D29" i="5"/>
  <c r="T27" i="1"/>
  <c r="Q28" i="1"/>
  <c r="W27" i="1"/>
  <c r="U27" i="1"/>
  <c r="R28" i="1"/>
  <c r="X27" i="1"/>
  <c r="E28" i="4" l="1"/>
  <c r="F27" i="4" s="1"/>
  <c r="G26" i="4" s="1"/>
  <c r="D30" i="4"/>
  <c r="E65" i="3"/>
  <c r="F64" i="3" s="1"/>
  <c r="G63" i="3" s="1"/>
  <c r="D67" i="3"/>
  <c r="E28" i="5"/>
  <c r="F27" i="5" s="1"/>
  <c r="G26" i="5" s="1"/>
  <c r="D30" i="5"/>
  <c r="W28" i="1"/>
  <c r="T28" i="1"/>
  <c r="Q29" i="1"/>
  <c r="X28" i="1"/>
  <c r="U28" i="1"/>
  <c r="R29" i="1"/>
  <c r="E29" i="4" l="1"/>
  <c r="F28" i="4" s="1"/>
  <c r="G27" i="4" s="1"/>
  <c r="D31" i="4"/>
  <c r="E66" i="3"/>
  <c r="F65" i="3" s="1"/>
  <c r="G64" i="3" s="1"/>
  <c r="D68" i="3"/>
  <c r="E29" i="5"/>
  <c r="F28" i="5" s="1"/>
  <c r="G27" i="5" s="1"/>
  <c r="D31" i="5"/>
  <c r="T29" i="1"/>
  <c r="Q30" i="1"/>
  <c r="W29" i="1"/>
  <c r="U29" i="1"/>
  <c r="R30" i="1"/>
  <c r="X29" i="1"/>
  <c r="E30" i="4" l="1"/>
  <c r="F29" i="4" s="1"/>
  <c r="G28" i="4" s="1"/>
  <c r="D32" i="4"/>
  <c r="E67" i="3"/>
  <c r="F66" i="3" s="1"/>
  <c r="G65" i="3" s="1"/>
  <c r="D69" i="3"/>
  <c r="E30" i="5"/>
  <c r="F29" i="5" s="1"/>
  <c r="G28" i="5" s="1"/>
  <c r="D32" i="5"/>
  <c r="W30" i="1"/>
  <c r="T30" i="1"/>
  <c r="Q31" i="1"/>
  <c r="X30" i="1"/>
  <c r="U30" i="1"/>
  <c r="R31" i="1"/>
  <c r="E31" i="4" l="1"/>
  <c r="F30" i="4" s="1"/>
  <c r="G29" i="4" s="1"/>
  <c r="D33" i="4"/>
  <c r="E68" i="3"/>
  <c r="F67" i="3" s="1"/>
  <c r="G66" i="3" s="1"/>
  <c r="D70" i="3"/>
  <c r="E31" i="5"/>
  <c r="F30" i="5" s="1"/>
  <c r="G29" i="5" s="1"/>
  <c r="D33" i="5"/>
  <c r="T31" i="1"/>
  <c r="Q32" i="1"/>
  <c r="W31" i="1"/>
  <c r="U31" i="1"/>
  <c r="R32" i="1"/>
  <c r="X31" i="1"/>
  <c r="E32" i="4" l="1"/>
  <c r="F31" i="4" s="1"/>
  <c r="G30" i="4" s="1"/>
  <c r="D34" i="4"/>
  <c r="E69" i="3"/>
  <c r="F68" i="3" s="1"/>
  <c r="G67" i="3" s="1"/>
  <c r="D71" i="3"/>
  <c r="E32" i="5"/>
  <c r="F31" i="5" s="1"/>
  <c r="G30" i="5" s="1"/>
  <c r="D34" i="5"/>
  <c r="X32" i="1"/>
  <c r="R33" i="1"/>
  <c r="U32" i="1"/>
  <c r="W32" i="1"/>
  <c r="T32" i="1"/>
  <c r="Q33" i="1"/>
  <c r="E33" i="4" l="1"/>
  <c r="F32" i="4" s="1"/>
  <c r="G31" i="4" s="1"/>
  <c r="D35" i="4"/>
  <c r="E70" i="3"/>
  <c r="F69" i="3" s="1"/>
  <c r="G68" i="3" s="1"/>
  <c r="D72" i="3"/>
  <c r="E33" i="5"/>
  <c r="F32" i="5" s="1"/>
  <c r="G31" i="5" s="1"/>
  <c r="D35" i="5"/>
  <c r="T33" i="1"/>
  <c r="Q34" i="1"/>
  <c r="W33" i="1"/>
  <c r="U33" i="1"/>
  <c r="R34" i="1"/>
  <c r="X33" i="1"/>
  <c r="E34" i="4" l="1"/>
  <c r="F33" i="4" s="1"/>
  <c r="G32" i="4" s="1"/>
  <c r="D36" i="4"/>
  <c r="E71" i="3"/>
  <c r="F70" i="3" s="1"/>
  <c r="G69" i="3" s="1"/>
  <c r="D73" i="3"/>
  <c r="E34" i="5"/>
  <c r="F33" i="5" s="1"/>
  <c r="G32" i="5" s="1"/>
  <c r="D36" i="5"/>
  <c r="W34" i="1"/>
  <c r="T34" i="1"/>
  <c r="Q35" i="1"/>
  <c r="X34" i="1"/>
  <c r="U34" i="1"/>
  <c r="R35" i="1"/>
  <c r="E35" i="4" l="1"/>
  <c r="F34" i="4" s="1"/>
  <c r="G33" i="4" s="1"/>
  <c r="D37" i="4"/>
  <c r="E72" i="3"/>
  <c r="F71" i="3" s="1"/>
  <c r="G70" i="3" s="1"/>
  <c r="D74" i="3"/>
  <c r="E35" i="5"/>
  <c r="F34" i="5" s="1"/>
  <c r="G33" i="5" s="1"/>
  <c r="D37" i="5"/>
  <c r="T35" i="1"/>
  <c r="Q36" i="1"/>
  <c r="W35" i="1"/>
  <c r="U35" i="1"/>
  <c r="R36" i="1"/>
  <c r="X35" i="1"/>
  <c r="E36" i="4" l="1"/>
  <c r="F35" i="4" s="1"/>
  <c r="G34" i="4" s="1"/>
  <c r="D38" i="4"/>
  <c r="E73" i="3"/>
  <c r="F72" i="3" s="1"/>
  <c r="G71" i="3" s="1"/>
  <c r="D75" i="3"/>
  <c r="E36" i="5"/>
  <c r="F35" i="5" s="1"/>
  <c r="G34" i="5" s="1"/>
  <c r="D38" i="5"/>
  <c r="W36" i="1"/>
  <c r="T36" i="1"/>
  <c r="Q37" i="1"/>
  <c r="X36" i="1"/>
  <c r="U36" i="1"/>
  <c r="R37" i="1"/>
  <c r="E37" i="4" l="1"/>
  <c r="F36" i="4" s="1"/>
  <c r="G35" i="4" s="1"/>
  <c r="D39" i="4"/>
  <c r="E74" i="3"/>
  <c r="F73" i="3" s="1"/>
  <c r="G72" i="3" s="1"/>
  <c r="D76" i="3"/>
  <c r="E37" i="5"/>
  <c r="F36" i="5" s="1"/>
  <c r="G35" i="5" s="1"/>
  <c r="D39" i="5"/>
  <c r="T37" i="1"/>
  <c r="Q38" i="1"/>
  <c r="W37" i="1"/>
  <c r="U37" i="1"/>
  <c r="R38" i="1"/>
  <c r="X37" i="1"/>
  <c r="E38" i="4" l="1"/>
  <c r="F37" i="4" s="1"/>
  <c r="G36" i="4" s="1"/>
  <c r="D40" i="4"/>
  <c r="E75" i="3"/>
  <c r="F74" i="3" s="1"/>
  <c r="G73" i="3" s="1"/>
  <c r="D77" i="3"/>
  <c r="E38" i="5"/>
  <c r="F37" i="5" s="1"/>
  <c r="G36" i="5" s="1"/>
  <c r="D40" i="5"/>
  <c r="W38" i="1"/>
  <c r="T38" i="1"/>
  <c r="Q39" i="1"/>
  <c r="X38" i="1"/>
  <c r="U38" i="1"/>
  <c r="R39" i="1"/>
  <c r="E39" i="4" l="1"/>
  <c r="F38" i="4" s="1"/>
  <c r="G37" i="4" s="1"/>
  <c r="D41" i="4"/>
  <c r="E76" i="3"/>
  <c r="F75" i="3" s="1"/>
  <c r="G74" i="3" s="1"/>
  <c r="D78" i="3"/>
  <c r="E39" i="5"/>
  <c r="F38" i="5" s="1"/>
  <c r="G37" i="5" s="1"/>
  <c r="D41" i="5"/>
  <c r="T39" i="1"/>
  <c r="Q40" i="1"/>
  <c r="W39" i="1"/>
  <c r="U39" i="1"/>
  <c r="R40" i="1"/>
  <c r="X39" i="1"/>
  <c r="E40" i="4" l="1"/>
  <c r="F39" i="4" s="1"/>
  <c r="G38" i="4" s="1"/>
  <c r="D42" i="4"/>
  <c r="E77" i="3"/>
  <c r="F76" i="3" s="1"/>
  <c r="G75" i="3" s="1"/>
  <c r="D79" i="3"/>
  <c r="E40" i="5"/>
  <c r="F39" i="5" s="1"/>
  <c r="G38" i="5" s="1"/>
  <c r="D42" i="5"/>
  <c r="W40" i="1"/>
  <c r="T40" i="1"/>
  <c r="Q41" i="1"/>
  <c r="X40" i="1"/>
  <c r="R41" i="1"/>
  <c r="U40" i="1"/>
  <c r="E41" i="4" l="1"/>
  <c r="F40" i="4" s="1"/>
  <c r="G39" i="4" s="1"/>
  <c r="D43" i="4"/>
  <c r="E78" i="3"/>
  <c r="F77" i="3" s="1"/>
  <c r="G76" i="3" s="1"/>
  <c r="D80" i="3"/>
  <c r="E41" i="5"/>
  <c r="F40" i="5" s="1"/>
  <c r="G39" i="5" s="1"/>
  <c r="D43" i="5"/>
  <c r="T41" i="1"/>
  <c r="Q42" i="1"/>
  <c r="W41" i="1"/>
  <c r="U41" i="1"/>
  <c r="R42" i="1"/>
  <c r="X41" i="1"/>
  <c r="E42" i="4" l="1"/>
  <c r="F41" i="4" s="1"/>
  <c r="G40" i="4" s="1"/>
  <c r="D44" i="4"/>
  <c r="E79" i="3"/>
  <c r="F78" i="3" s="1"/>
  <c r="G77" i="3" s="1"/>
  <c r="D81" i="3"/>
  <c r="E42" i="5"/>
  <c r="F41" i="5" s="1"/>
  <c r="G40" i="5" s="1"/>
  <c r="D44" i="5"/>
  <c r="W42" i="1"/>
  <c r="T42" i="1"/>
  <c r="Q43" i="1"/>
  <c r="X42" i="1"/>
  <c r="U42" i="1"/>
  <c r="R43" i="1"/>
  <c r="E43" i="4" l="1"/>
  <c r="F42" i="4" s="1"/>
  <c r="G41" i="4" s="1"/>
  <c r="D45" i="4"/>
  <c r="E80" i="3"/>
  <c r="F79" i="3" s="1"/>
  <c r="G78" i="3" s="1"/>
  <c r="D82" i="3"/>
  <c r="E43" i="5"/>
  <c r="F42" i="5" s="1"/>
  <c r="G41" i="5" s="1"/>
  <c r="D45" i="5"/>
  <c r="T43" i="1"/>
  <c r="Q44" i="1"/>
  <c r="W43" i="1"/>
  <c r="U43" i="1"/>
  <c r="R44" i="1"/>
  <c r="X43" i="1"/>
  <c r="E44" i="4" l="1"/>
  <c r="F43" i="4" s="1"/>
  <c r="G42" i="4" s="1"/>
  <c r="D46" i="4"/>
  <c r="E81" i="3"/>
  <c r="F80" i="3" s="1"/>
  <c r="G79" i="3" s="1"/>
  <c r="D83" i="3"/>
  <c r="E44" i="5"/>
  <c r="F43" i="5" s="1"/>
  <c r="G42" i="5" s="1"/>
  <c r="D46" i="5"/>
  <c r="W44" i="1"/>
  <c r="T44" i="1"/>
  <c r="Q45" i="1"/>
  <c r="X44" i="1"/>
  <c r="U44" i="1"/>
  <c r="R45" i="1"/>
  <c r="E45" i="4" l="1"/>
  <c r="F44" i="4" s="1"/>
  <c r="G43" i="4" s="1"/>
  <c r="D47" i="4"/>
  <c r="E82" i="3"/>
  <c r="F81" i="3" s="1"/>
  <c r="G80" i="3" s="1"/>
  <c r="D84" i="3"/>
  <c r="E45" i="5"/>
  <c r="F44" i="5" s="1"/>
  <c r="G43" i="5" s="1"/>
  <c r="D47" i="5"/>
  <c r="T45" i="1"/>
  <c r="Q46" i="1"/>
  <c r="W45" i="1"/>
  <c r="U45" i="1"/>
  <c r="R46" i="1"/>
  <c r="X45" i="1"/>
  <c r="E46" i="4" l="1"/>
  <c r="F45" i="4" s="1"/>
  <c r="G44" i="4" s="1"/>
  <c r="D48" i="4"/>
  <c r="E83" i="3"/>
  <c r="F82" i="3" s="1"/>
  <c r="G81" i="3" s="1"/>
  <c r="D85" i="3"/>
  <c r="E46" i="5"/>
  <c r="F45" i="5" s="1"/>
  <c r="G44" i="5" s="1"/>
  <c r="D48" i="5"/>
  <c r="W46" i="1"/>
  <c r="T46" i="1"/>
  <c r="Q47" i="1"/>
  <c r="X46" i="1"/>
  <c r="U46" i="1"/>
  <c r="R47" i="1"/>
  <c r="E47" i="4" l="1"/>
  <c r="F46" i="4" s="1"/>
  <c r="G45" i="4" s="1"/>
  <c r="D49" i="4"/>
  <c r="E84" i="3"/>
  <c r="F83" i="3" s="1"/>
  <c r="G82" i="3" s="1"/>
  <c r="D86" i="3"/>
  <c r="E47" i="5"/>
  <c r="F46" i="5" s="1"/>
  <c r="G45" i="5" s="1"/>
  <c r="D49" i="5"/>
  <c r="T47" i="1"/>
  <c r="Q48" i="1"/>
  <c r="W47" i="1"/>
  <c r="U47" i="1"/>
  <c r="R48" i="1"/>
  <c r="X47" i="1"/>
  <c r="E48" i="4" l="1"/>
  <c r="F47" i="4" s="1"/>
  <c r="G46" i="4" s="1"/>
  <c r="D50" i="4"/>
  <c r="E85" i="3"/>
  <c r="F84" i="3" s="1"/>
  <c r="G83" i="3" s="1"/>
  <c r="D87" i="3"/>
  <c r="E48" i="5"/>
  <c r="F47" i="5" s="1"/>
  <c r="G46" i="5" s="1"/>
  <c r="D50" i="5"/>
  <c r="W48" i="1"/>
  <c r="T48" i="1"/>
  <c r="Q49" i="1"/>
  <c r="X48" i="1"/>
  <c r="R49" i="1"/>
  <c r="U48" i="1"/>
  <c r="E49" i="4" l="1"/>
  <c r="F48" i="4" s="1"/>
  <c r="G47" i="4" s="1"/>
  <c r="D51" i="4"/>
  <c r="E86" i="3"/>
  <c r="F85" i="3" s="1"/>
  <c r="G84" i="3" s="1"/>
  <c r="D88" i="3"/>
  <c r="E49" i="5"/>
  <c r="F48" i="5" s="1"/>
  <c r="G47" i="5" s="1"/>
  <c r="D51" i="5"/>
  <c r="T49" i="1"/>
  <c r="Q50" i="1"/>
  <c r="W49" i="1"/>
  <c r="U49" i="1"/>
  <c r="R50" i="1"/>
  <c r="X49" i="1"/>
  <c r="E50" i="4" l="1"/>
  <c r="F49" i="4" s="1"/>
  <c r="G48" i="4" s="1"/>
  <c r="D52" i="4"/>
  <c r="E87" i="3"/>
  <c r="F86" i="3" s="1"/>
  <c r="G85" i="3" s="1"/>
  <c r="D89" i="3"/>
  <c r="E50" i="5"/>
  <c r="F49" i="5" s="1"/>
  <c r="G48" i="5" s="1"/>
  <c r="D52" i="5"/>
  <c r="W50" i="1"/>
  <c r="T50" i="1"/>
  <c r="Q51" i="1"/>
  <c r="X50" i="1"/>
  <c r="U50" i="1"/>
  <c r="R51" i="1"/>
  <c r="E51" i="4" l="1"/>
  <c r="F50" i="4" s="1"/>
  <c r="G49" i="4" s="1"/>
  <c r="D53" i="4"/>
  <c r="E88" i="3"/>
  <c r="F87" i="3" s="1"/>
  <c r="G86" i="3" s="1"/>
  <c r="D90" i="3"/>
  <c r="E51" i="5"/>
  <c r="F50" i="5" s="1"/>
  <c r="G49" i="5" s="1"/>
  <c r="D53" i="5"/>
  <c r="T51" i="1"/>
  <c r="Q52" i="1"/>
  <c r="W51" i="1"/>
  <c r="U51" i="1"/>
  <c r="X51" i="1"/>
  <c r="R52" i="1"/>
  <c r="E52" i="4" l="1"/>
  <c r="F51" i="4" s="1"/>
  <c r="G50" i="4" s="1"/>
  <c r="D54" i="4"/>
  <c r="E89" i="3"/>
  <c r="F88" i="3" s="1"/>
  <c r="G87" i="3" s="1"/>
  <c r="D91" i="3"/>
  <c r="E52" i="5"/>
  <c r="F51" i="5" s="1"/>
  <c r="G50" i="5" s="1"/>
  <c r="D54" i="5"/>
  <c r="R53" i="1"/>
  <c r="U52" i="1"/>
  <c r="X52" i="1"/>
  <c r="W52" i="1"/>
  <c r="T52" i="1"/>
  <c r="Q53" i="1"/>
  <c r="E53" i="4" l="1"/>
  <c r="F52" i="4" s="1"/>
  <c r="G51" i="4" s="1"/>
  <c r="D55" i="4"/>
  <c r="D92" i="3"/>
  <c r="E90" i="3"/>
  <c r="F89" i="3" s="1"/>
  <c r="G88" i="3" s="1"/>
  <c r="E53" i="5"/>
  <c r="F52" i="5" s="1"/>
  <c r="G51" i="5" s="1"/>
  <c r="D55" i="5"/>
  <c r="T53" i="1"/>
  <c r="Q54" i="1"/>
  <c r="W53" i="1"/>
  <c r="U53" i="1"/>
  <c r="X53" i="1"/>
  <c r="R54" i="1"/>
  <c r="E54" i="4" l="1"/>
  <c r="F53" i="4" s="1"/>
  <c r="G52" i="4" s="1"/>
  <c r="D56" i="4"/>
  <c r="D93" i="3"/>
  <c r="E91" i="3"/>
  <c r="F90" i="3" s="1"/>
  <c r="G89" i="3" s="1"/>
  <c r="E54" i="5"/>
  <c r="F53" i="5" s="1"/>
  <c r="G52" i="5" s="1"/>
  <c r="D56" i="5"/>
  <c r="U54" i="1"/>
  <c r="X54" i="1"/>
  <c r="R55" i="1"/>
  <c r="W54" i="1"/>
  <c r="T54" i="1"/>
  <c r="Q55" i="1"/>
  <c r="E55" i="4" l="1"/>
  <c r="F54" i="4" s="1"/>
  <c r="G53" i="4" s="1"/>
  <c r="D57" i="4"/>
  <c r="D94" i="3"/>
  <c r="E92" i="3"/>
  <c r="F91" i="3" s="1"/>
  <c r="G90" i="3" s="1"/>
  <c r="E55" i="5"/>
  <c r="F54" i="5" s="1"/>
  <c r="G53" i="5" s="1"/>
  <c r="D57" i="5"/>
  <c r="X55" i="1"/>
  <c r="R56" i="1"/>
  <c r="U55" i="1"/>
  <c r="T55" i="1"/>
  <c r="Q56" i="1"/>
  <c r="W55" i="1"/>
  <c r="E56" i="4" l="1"/>
  <c r="F55" i="4" s="1"/>
  <c r="G54" i="4" s="1"/>
  <c r="D58" i="4"/>
  <c r="D95" i="3"/>
  <c r="E93" i="3"/>
  <c r="F92" i="3" s="1"/>
  <c r="G91" i="3" s="1"/>
  <c r="E56" i="5"/>
  <c r="F55" i="5" s="1"/>
  <c r="G54" i="5" s="1"/>
  <c r="D58" i="5"/>
  <c r="R57" i="1"/>
  <c r="U56" i="1"/>
  <c r="X56" i="1"/>
  <c r="W56" i="1"/>
  <c r="T56" i="1"/>
  <c r="Q57" i="1"/>
  <c r="E57" i="4" l="1"/>
  <c r="F56" i="4" s="1"/>
  <c r="G55" i="4" s="1"/>
  <c r="D59" i="4"/>
  <c r="D96" i="3"/>
  <c r="E94" i="3"/>
  <c r="F93" i="3" s="1"/>
  <c r="G92" i="3" s="1"/>
  <c r="E57" i="5"/>
  <c r="F56" i="5" s="1"/>
  <c r="G55" i="5" s="1"/>
  <c r="D59" i="5"/>
  <c r="T57" i="1"/>
  <c r="Q58" i="1"/>
  <c r="W57" i="1"/>
  <c r="U57" i="1"/>
  <c r="X57" i="1"/>
  <c r="R58" i="1"/>
  <c r="E58" i="4" l="1"/>
  <c r="F57" i="4" s="1"/>
  <c r="G56" i="4" s="1"/>
  <c r="D60" i="4"/>
  <c r="D97" i="3"/>
  <c r="E95" i="3"/>
  <c r="F94" i="3" s="1"/>
  <c r="G93" i="3" s="1"/>
  <c r="E58" i="5"/>
  <c r="F57" i="5" s="1"/>
  <c r="G56" i="5" s="1"/>
  <c r="D60" i="5"/>
  <c r="U58" i="1"/>
  <c r="X58" i="1"/>
  <c r="R59" i="1"/>
  <c r="W58" i="1"/>
  <c r="T58" i="1"/>
  <c r="Q59" i="1"/>
  <c r="E59" i="4" l="1"/>
  <c r="F58" i="4" s="1"/>
  <c r="G57" i="4" s="1"/>
  <c r="D61" i="4"/>
  <c r="D98" i="3"/>
  <c r="E96" i="3"/>
  <c r="F95" i="3" s="1"/>
  <c r="G94" i="3" s="1"/>
  <c r="E59" i="5"/>
  <c r="F58" i="5" s="1"/>
  <c r="G57" i="5" s="1"/>
  <c r="D61" i="5"/>
  <c r="X59" i="1"/>
  <c r="R60" i="1"/>
  <c r="U59" i="1"/>
  <c r="T59" i="1"/>
  <c r="Q60" i="1"/>
  <c r="W59" i="1"/>
  <c r="E60" i="4" l="1"/>
  <c r="F59" i="4" s="1"/>
  <c r="G58" i="4" s="1"/>
  <c r="D62" i="4"/>
  <c r="D99" i="3"/>
  <c r="E97" i="3"/>
  <c r="F96" i="3" s="1"/>
  <c r="G95" i="3" s="1"/>
  <c r="E60" i="5"/>
  <c r="F59" i="5" s="1"/>
  <c r="G58" i="5" s="1"/>
  <c r="D62" i="5"/>
  <c r="R61" i="1"/>
  <c r="U60" i="1"/>
  <c r="X60" i="1"/>
  <c r="W60" i="1"/>
  <c r="T60" i="1"/>
  <c r="Q61" i="1"/>
  <c r="E61" i="4" l="1"/>
  <c r="F60" i="4" s="1"/>
  <c r="G59" i="4" s="1"/>
  <c r="D63" i="4"/>
  <c r="D100" i="3"/>
  <c r="E98" i="3"/>
  <c r="F97" i="3" s="1"/>
  <c r="G96" i="3" s="1"/>
  <c r="E61" i="5"/>
  <c r="F60" i="5" s="1"/>
  <c r="G59" i="5" s="1"/>
  <c r="D63" i="5"/>
  <c r="T61" i="1"/>
  <c r="Q62" i="1"/>
  <c r="W61" i="1"/>
  <c r="U61" i="1"/>
  <c r="X61" i="1"/>
  <c r="R62" i="1"/>
  <c r="E62" i="4" l="1"/>
  <c r="F61" i="4" s="1"/>
  <c r="G60" i="4" s="1"/>
  <c r="D64" i="4"/>
  <c r="D101" i="3"/>
  <c r="E99" i="3"/>
  <c r="F98" i="3" s="1"/>
  <c r="G97" i="3" s="1"/>
  <c r="E62" i="5"/>
  <c r="F61" i="5" s="1"/>
  <c r="G60" i="5" s="1"/>
  <c r="D64" i="5"/>
  <c r="U62" i="1"/>
  <c r="R63" i="1"/>
  <c r="X62" i="1"/>
  <c r="T62" i="1"/>
  <c r="W62" i="1"/>
  <c r="Q63" i="1"/>
  <c r="E63" i="4" l="1"/>
  <c r="F62" i="4" s="1"/>
  <c r="G61" i="4" s="1"/>
  <c r="D65" i="4"/>
  <c r="D102" i="3"/>
  <c r="E100" i="3"/>
  <c r="F99" i="3" s="1"/>
  <c r="G98" i="3" s="1"/>
  <c r="E63" i="5"/>
  <c r="F62" i="5" s="1"/>
  <c r="G61" i="5" s="1"/>
  <c r="D65" i="5"/>
  <c r="T63" i="1"/>
  <c r="Q64" i="1"/>
  <c r="W63" i="1"/>
  <c r="X63" i="1"/>
  <c r="U63" i="1"/>
  <c r="R64" i="1"/>
  <c r="E64" i="4" l="1"/>
  <c r="F63" i="4" s="1"/>
  <c r="G62" i="4" s="1"/>
  <c r="D66" i="4"/>
  <c r="D103" i="3"/>
  <c r="E101" i="3"/>
  <c r="F100" i="3" s="1"/>
  <c r="G99" i="3" s="1"/>
  <c r="E64" i="5"/>
  <c r="F63" i="5" s="1"/>
  <c r="G62" i="5" s="1"/>
  <c r="D66" i="5"/>
  <c r="U64" i="1"/>
  <c r="R65" i="1"/>
  <c r="X64" i="1"/>
  <c r="W64" i="1"/>
  <c r="Q65" i="1"/>
  <c r="T64" i="1"/>
  <c r="E65" i="4" l="1"/>
  <c r="F64" i="4" s="1"/>
  <c r="G63" i="4" s="1"/>
  <c r="D67" i="4"/>
  <c r="D104" i="3"/>
  <c r="E102" i="3"/>
  <c r="F101" i="3" s="1"/>
  <c r="G100" i="3" s="1"/>
  <c r="E65" i="5"/>
  <c r="F64" i="5" s="1"/>
  <c r="G63" i="5" s="1"/>
  <c r="D67" i="5"/>
  <c r="X65" i="1"/>
  <c r="U65" i="1"/>
  <c r="R66" i="1"/>
  <c r="T65" i="1"/>
  <c r="Q66" i="1"/>
  <c r="W65" i="1"/>
  <c r="E66" i="4" l="1"/>
  <c r="F65" i="4" s="1"/>
  <c r="G64" i="4" s="1"/>
  <c r="D68" i="4"/>
  <c r="D105" i="3"/>
  <c r="E103" i="3"/>
  <c r="F102" i="3" s="1"/>
  <c r="G101" i="3" s="1"/>
  <c r="E66" i="5"/>
  <c r="F65" i="5" s="1"/>
  <c r="G64" i="5" s="1"/>
  <c r="D68" i="5"/>
  <c r="U66" i="1"/>
  <c r="R67" i="1"/>
  <c r="X66" i="1"/>
  <c r="W66" i="1"/>
  <c r="T66" i="1"/>
  <c r="Q67" i="1"/>
  <c r="E67" i="4" l="1"/>
  <c r="F66" i="4" s="1"/>
  <c r="G65" i="4" s="1"/>
  <c r="D69" i="4"/>
  <c r="D106" i="3"/>
  <c r="E104" i="3"/>
  <c r="F103" i="3" s="1"/>
  <c r="G102" i="3" s="1"/>
  <c r="E67" i="5"/>
  <c r="F66" i="5" s="1"/>
  <c r="G65" i="5" s="1"/>
  <c r="D69" i="5"/>
  <c r="X67" i="1"/>
  <c r="U67" i="1"/>
  <c r="R68" i="1"/>
  <c r="T67" i="1"/>
  <c r="Q68" i="1"/>
  <c r="W67" i="1"/>
  <c r="E68" i="4" l="1"/>
  <c r="F67" i="4" s="1"/>
  <c r="G66" i="4" s="1"/>
  <c r="D70" i="4"/>
  <c r="D107" i="3"/>
  <c r="E105" i="3"/>
  <c r="F104" i="3" s="1"/>
  <c r="G103" i="3" s="1"/>
  <c r="E68" i="5"/>
  <c r="F67" i="5" s="1"/>
  <c r="G66" i="5" s="1"/>
  <c r="D70" i="5"/>
  <c r="U68" i="1"/>
  <c r="R69" i="1"/>
  <c r="X68" i="1"/>
  <c r="W68" i="1"/>
  <c r="T68" i="1"/>
  <c r="Q69" i="1"/>
  <c r="E69" i="4" l="1"/>
  <c r="F68" i="4" s="1"/>
  <c r="G67" i="4" s="1"/>
  <c r="D71" i="4"/>
  <c r="D108" i="3"/>
  <c r="E106" i="3"/>
  <c r="F105" i="3" s="1"/>
  <c r="G104" i="3" s="1"/>
  <c r="E69" i="5"/>
  <c r="F68" i="5" s="1"/>
  <c r="G67" i="5" s="1"/>
  <c r="D71" i="5"/>
  <c r="T69" i="1"/>
  <c r="Q70" i="1"/>
  <c r="W69" i="1"/>
  <c r="X69" i="1"/>
  <c r="U69" i="1"/>
  <c r="R70" i="1"/>
  <c r="E70" i="4" l="1"/>
  <c r="F69" i="4" s="1"/>
  <c r="G68" i="4" s="1"/>
  <c r="D72" i="4"/>
  <c r="D109" i="3"/>
  <c r="E107" i="3"/>
  <c r="F106" i="3" s="1"/>
  <c r="G105" i="3" s="1"/>
  <c r="E70" i="5"/>
  <c r="F69" i="5" s="1"/>
  <c r="G68" i="5" s="1"/>
  <c r="D72" i="5"/>
  <c r="U70" i="1"/>
  <c r="R71" i="1"/>
  <c r="X70" i="1"/>
  <c r="W70" i="1"/>
  <c r="T70" i="1"/>
  <c r="Q71" i="1"/>
  <c r="E71" i="4" l="1"/>
  <c r="F70" i="4" s="1"/>
  <c r="G69" i="4" s="1"/>
  <c r="D73" i="4"/>
  <c r="D110" i="3"/>
  <c r="E108" i="3"/>
  <c r="F107" i="3" s="1"/>
  <c r="G106" i="3" s="1"/>
  <c r="E71" i="5"/>
  <c r="F70" i="5" s="1"/>
  <c r="G69" i="5" s="1"/>
  <c r="D73" i="5"/>
  <c r="X71" i="1"/>
  <c r="U71" i="1"/>
  <c r="R72" i="1"/>
  <c r="T71" i="1"/>
  <c r="Q72" i="1"/>
  <c r="W71" i="1"/>
  <c r="E72" i="4" l="1"/>
  <c r="F71" i="4" s="1"/>
  <c r="G70" i="4" s="1"/>
  <c r="D74" i="4"/>
  <c r="D111" i="3"/>
  <c r="E109" i="3"/>
  <c r="F108" i="3" s="1"/>
  <c r="G107" i="3" s="1"/>
  <c r="E72" i="5"/>
  <c r="F71" i="5" s="1"/>
  <c r="G70" i="5" s="1"/>
  <c r="D74" i="5"/>
  <c r="U72" i="1"/>
  <c r="R73" i="1"/>
  <c r="X72" i="1"/>
  <c r="W72" i="1"/>
  <c r="Q73" i="1"/>
  <c r="T72" i="1"/>
  <c r="E73" i="4" l="1"/>
  <c r="F72" i="4" s="1"/>
  <c r="G71" i="4" s="1"/>
  <c r="D75" i="4"/>
  <c r="D112" i="3"/>
  <c r="E110" i="3"/>
  <c r="F109" i="3" s="1"/>
  <c r="G108" i="3" s="1"/>
  <c r="E73" i="5"/>
  <c r="F72" i="5" s="1"/>
  <c r="G71" i="5" s="1"/>
  <c r="D75" i="5"/>
  <c r="X73" i="1"/>
  <c r="U73" i="1"/>
  <c r="R74" i="1"/>
  <c r="T73" i="1"/>
  <c r="Q74" i="1"/>
  <c r="W73" i="1"/>
  <c r="E74" i="4" l="1"/>
  <c r="F73" i="4" s="1"/>
  <c r="G72" i="4" s="1"/>
  <c r="D76" i="4"/>
  <c r="D113" i="3"/>
  <c r="E111" i="3"/>
  <c r="F110" i="3" s="1"/>
  <c r="G109" i="3" s="1"/>
  <c r="E74" i="5"/>
  <c r="F73" i="5" s="1"/>
  <c r="G72" i="5" s="1"/>
  <c r="D76" i="5"/>
  <c r="U74" i="1"/>
  <c r="R75" i="1"/>
  <c r="X74" i="1"/>
  <c r="W74" i="1"/>
  <c r="T74" i="1"/>
  <c r="Q75" i="1"/>
  <c r="E75" i="4" l="1"/>
  <c r="F74" i="4" s="1"/>
  <c r="G73" i="4" s="1"/>
  <c r="D77" i="4"/>
  <c r="D114" i="3"/>
  <c r="E112" i="3"/>
  <c r="F111" i="3" s="1"/>
  <c r="G110" i="3" s="1"/>
  <c r="E75" i="5"/>
  <c r="F74" i="5" s="1"/>
  <c r="G73" i="5" s="1"/>
  <c r="D77" i="5"/>
  <c r="T75" i="1"/>
  <c r="Q76" i="1"/>
  <c r="W75" i="1"/>
  <c r="X75" i="1"/>
  <c r="U75" i="1"/>
  <c r="R76" i="1"/>
  <c r="E76" i="4" l="1"/>
  <c r="F75" i="4" s="1"/>
  <c r="G74" i="4" s="1"/>
  <c r="D78" i="4"/>
  <c r="D115" i="3"/>
  <c r="E113" i="3"/>
  <c r="F112" i="3" s="1"/>
  <c r="G111" i="3" s="1"/>
  <c r="E76" i="5"/>
  <c r="F75" i="5" s="1"/>
  <c r="G74" i="5" s="1"/>
  <c r="D78" i="5"/>
  <c r="U76" i="1"/>
  <c r="R77" i="1"/>
  <c r="X76" i="1"/>
  <c r="W76" i="1"/>
  <c r="T76" i="1"/>
  <c r="Q77" i="1"/>
  <c r="E77" i="4" l="1"/>
  <c r="F76" i="4" s="1"/>
  <c r="G75" i="4" s="1"/>
  <c r="D79" i="4"/>
  <c r="D116" i="3"/>
  <c r="E114" i="3"/>
  <c r="F113" i="3" s="1"/>
  <c r="G112" i="3" s="1"/>
  <c r="E77" i="5"/>
  <c r="F76" i="5" s="1"/>
  <c r="G75" i="5" s="1"/>
  <c r="D79" i="5"/>
  <c r="X77" i="1"/>
  <c r="U77" i="1"/>
  <c r="R78" i="1"/>
  <c r="T77" i="1"/>
  <c r="Q78" i="1"/>
  <c r="W77" i="1"/>
  <c r="E78" i="4" l="1"/>
  <c r="F77" i="4" s="1"/>
  <c r="G76" i="4" s="1"/>
  <c r="D80" i="4"/>
  <c r="D117" i="3"/>
  <c r="E115" i="3"/>
  <c r="F114" i="3" s="1"/>
  <c r="G113" i="3" s="1"/>
  <c r="E78" i="5"/>
  <c r="F77" i="5" s="1"/>
  <c r="G76" i="5" s="1"/>
  <c r="D80" i="5"/>
  <c r="U78" i="1"/>
  <c r="R79" i="1"/>
  <c r="X78" i="1"/>
  <c r="W78" i="1"/>
  <c r="T78" i="1"/>
  <c r="Q79" i="1"/>
  <c r="E79" i="4" l="1"/>
  <c r="F78" i="4" s="1"/>
  <c r="G77" i="4" s="1"/>
  <c r="D81" i="4"/>
  <c r="D118" i="3"/>
  <c r="E116" i="3"/>
  <c r="F115" i="3" s="1"/>
  <c r="G114" i="3" s="1"/>
  <c r="E79" i="5"/>
  <c r="F78" i="5" s="1"/>
  <c r="G77" i="5" s="1"/>
  <c r="D81" i="5"/>
  <c r="X79" i="1"/>
  <c r="U79" i="1"/>
  <c r="R80" i="1"/>
  <c r="T79" i="1"/>
  <c r="Q80" i="1"/>
  <c r="W79" i="1"/>
  <c r="E80" i="4" l="1"/>
  <c r="F79" i="4" s="1"/>
  <c r="G78" i="4" s="1"/>
  <c r="D82" i="4"/>
  <c r="D119" i="3"/>
  <c r="E117" i="3"/>
  <c r="F116" i="3" s="1"/>
  <c r="G115" i="3" s="1"/>
  <c r="E80" i="5"/>
  <c r="F79" i="5" s="1"/>
  <c r="G78" i="5" s="1"/>
  <c r="D82" i="5"/>
  <c r="U80" i="1"/>
  <c r="R81" i="1"/>
  <c r="X80" i="1"/>
  <c r="W80" i="1"/>
  <c r="Q81" i="1"/>
  <c r="T80" i="1"/>
  <c r="E81" i="4" l="1"/>
  <c r="F80" i="4" s="1"/>
  <c r="G79" i="4" s="1"/>
  <c r="D83" i="4"/>
  <c r="D120" i="3"/>
  <c r="E118" i="3"/>
  <c r="F117" i="3" s="1"/>
  <c r="G116" i="3" s="1"/>
  <c r="E81" i="5"/>
  <c r="F80" i="5" s="1"/>
  <c r="G79" i="5" s="1"/>
  <c r="D83" i="5"/>
  <c r="X81" i="1"/>
  <c r="U81" i="1"/>
  <c r="R82" i="1"/>
  <c r="T81" i="1"/>
  <c r="Q82" i="1"/>
  <c r="W81" i="1"/>
  <c r="E82" i="4" l="1"/>
  <c r="F81" i="4" s="1"/>
  <c r="G80" i="4" s="1"/>
  <c r="D84" i="4"/>
  <c r="D121" i="3"/>
  <c r="E119" i="3"/>
  <c r="F118" i="3" s="1"/>
  <c r="G117" i="3" s="1"/>
  <c r="E82" i="5"/>
  <c r="F81" i="5" s="1"/>
  <c r="G80" i="5" s="1"/>
  <c r="D84" i="5"/>
  <c r="U82" i="1"/>
  <c r="R83" i="1"/>
  <c r="X82" i="1"/>
  <c r="W82" i="1"/>
  <c r="T82" i="1"/>
  <c r="Q83" i="1"/>
  <c r="E83" i="4" l="1"/>
  <c r="F82" i="4" s="1"/>
  <c r="G81" i="4" s="1"/>
  <c r="D85" i="4"/>
  <c r="D122" i="3"/>
  <c r="E120" i="3"/>
  <c r="F119" i="3" s="1"/>
  <c r="G118" i="3" s="1"/>
  <c r="E83" i="5"/>
  <c r="F82" i="5" s="1"/>
  <c r="G81" i="5" s="1"/>
  <c r="D85" i="5"/>
  <c r="X83" i="1"/>
  <c r="U83" i="1"/>
  <c r="R84" i="1"/>
  <c r="T83" i="1"/>
  <c r="Q84" i="1"/>
  <c r="W83" i="1"/>
  <c r="E84" i="4" l="1"/>
  <c r="F83" i="4" s="1"/>
  <c r="G82" i="4" s="1"/>
  <c r="D86" i="4"/>
  <c r="D123" i="3"/>
  <c r="E121" i="3"/>
  <c r="F120" i="3" s="1"/>
  <c r="G119" i="3" s="1"/>
  <c r="E84" i="5"/>
  <c r="F83" i="5" s="1"/>
  <c r="G82" i="5" s="1"/>
  <c r="D86" i="5"/>
  <c r="U84" i="1"/>
  <c r="R85" i="1"/>
  <c r="X84" i="1"/>
  <c r="W84" i="1"/>
  <c r="T84" i="1"/>
  <c r="Q85" i="1"/>
  <c r="E85" i="4" l="1"/>
  <c r="F84" i="4" s="1"/>
  <c r="G83" i="4" s="1"/>
  <c r="D87" i="4"/>
  <c r="D124" i="3"/>
  <c r="E122" i="3"/>
  <c r="F121" i="3" s="1"/>
  <c r="G120" i="3" s="1"/>
  <c r="E85" i="5"/>
  <c r="F84" i="5" s="1"/>
  <c r="G83" i="5" s="1"/>
  <c r="D87" i="5"/>
  <c r="T85" i="1"/>
  <c r="Q86" i="1"/>
  <c r="W85" i="1"/>
  <c r="X85" i="1"/>
  <c r="U85" i="1"/>
  <c r="R86" i="1"/>
  <c r="E86" i="4" l="1"/>
  <c r="F85" i="4" s="1"/>
  <c r="G84" i="4" s="1"/>
  <c r="D88" i="4"/>
  <c r="D125" i="3"/>
  <c r="E123" i="3"/>
  <c r="F122" i="3" s="1"/>
  <c r="G121" i="3" s="1"/>
  <c r="E86" i="5"/>
  <c r="F85" i="5" s="1"/>
  <c r="G84" i="5" s="1"/>
  <c r="D88" i="5"/>
  <c r="U86" i="1"/>
  <c r="R87" i="1"/>
  <c r="X86" i="1"/>
  <c r="W86" i="1"/>
  <c r="T86" i="1"/>
  <c r="Q87" i="1"/>
  <c r="E87" i="4" l="1"/>
  <c r="F86" i="4" s="1"/>
  <c r="G85" i="4" s="1"/>
  <c r="D89" i="4"/>
  <c r="D126" i="3"/>
  <c r="E124" i="3"/>
  <c r="F123" i="3" s="1"/>
  <c r="G122" i="3" s="1"/>
  <c r="E87" i="5"/>
  <c r="F86" i="5" s="1"/>
  <c r="G85" i="5" s="1"/>
  <c r="D89" i="5"/>
  <c r="T87" i="1"/>
  <c r="Q88" i="1"/>
  <c r="W87" i="1"/>
  <c r="X87" i="1"/>
  <c r="U87" i="1"/>
  <c r="R88" i="1"/>
  <c r="E88" i="4" l="1"/>
  <c r="F87" i="4" s="1"/>
  <c r="G86" i="4" s="1"/>
  <c r="D90" i="4"/>
  <c r="D127" i="3"/>
  <c r="E125" i="3"/>
  <c r="F124" i="3" s="1"/>
  <c r="G123" i="3" s="1"/>
  <c r="E88" i="5"/>
  <c r="F87" i="5" s="1"/>
  <c r="G86" i="5" s="1"/>
  <c r="D90" i="5"/>
  <c r="U88" i="1"/>
  <c r="R89" i="1"/>
  <c r="X88" i="1"/>
  <c r="W88" i="1"/>
  <c r="Q89" i="1"/>
  <c r="T88" i="1"/>
  <c r="E89" i="4" l="1"/>
  <c r="F88" i="4" s="1"/>
  <c r="G87" i="4" s="1"/>
  <c r="D91" i="4"/>
  <c r="D128" i="3"/>
  <c r="E126" i="3"/>
  <c r="F125" i="3" s="1"/>
  <c r="G124" i="3" s="1"/>
  <c r="E89" i="5"/>
  <c r="F88" i="5" s="1"/>
  <c r="G87" i="5" s="1"/>
  <c r="D91" i="5"/>
  <c r="X89" i="1"/>
  <c r="U89" i="1"/>
  <c r="R90" i="1"/>
  <c r="T89" i="1"/>
  <c r="Q90" i="1"/>
  <c r="W89" i="1"/>
  <c r="D92" i="4" l="1"/>
  <c r="E90" i="4"/>
  <c r="F89" i="4" s="1"/>
  <c r="G88" i="4" s="1"/>
  <c r="D129" i="3"/>
  <c r="E127" i="3"/>
  <c r="F126" i="3" s="1"/>
  <c r="G125" i="3" s="1"/>
  <c r="D92" i="5"/>
  <c r="E90" i="5"/>
  <c r="F89" i="5" s="1"/>
  <c r="G88" i="5" s="1"/>
  <c r="U90" i="1"/>
  <c r="R91" i="1"/>
  <c r="X90" i="1"/>
  <c r="W90" i="1"/>
  <c r="T90" i="1"/>
  <c r="Q91" i="1"/>
  <c r="D93" i="4" l="1"/>
  <c r="E91" i="4"/>
  <c r="F90" i="4" s="1"/>
  <c r="G89" i="4" s="1"/>
  <c r="D130" i="3"/>
  <c r="E128" i="3"/>
  <c r="F127" i="3" s="1"/>
  <c r="G126" i="3" s="1"/>
  <c r="D93" i="5"/>
  <c r="E91" i="5"/>
  <c r="F90" i="5" s="1"/>
  <c r="G89" i="5" s="1"/>
  <c r="T91" i="1"/>
  <c r="Q92" i="1"/>
  <c r="W91" i="1"/>
  <c r="X91" i="1"/>
  <c r="U91" i="1"/>
  <c r="R92" i="1"/>
  <c r="D94" i="4" l="1"/>
  <c r="E92" i="4"/>
  <c r="F91" i="4" s="1"/>
  <c r="G90" i="4" s="1"/>
  <c r="D131" i="3"/>
  <c r="E129" i="3"/>
  <c r="F128" i="3" s="1"/>
  <c r="G127" i="3" s="1"/>
  <c r="D94" i="5"/>
  <c r="E92" i="5"/>
  <c r="F91" i="5" s="1"/>
  <c r="G90" i="5" s="1"/>
  <c r="U92" i="1"/>
  <c r="R93" i="1"/>
  <c r="X92" i="1"/>
  <c r="W92" i="1"/>
  <c r="T92" i="1"/>
  <c r="Q93" i="1"/>
  <c r="D95" i="4" l="1"/>
  <c r="E93" i="4"/>
  <c r="F92" i="4" s="1"/>
  <c r="G91" i="4" s="1"/>
  <c r="D132" i="3"/>
  <c r="E130" i="3"/>
  <c r="F129" i="3" s="1"/>
  <c r="G128" i="3" s="1"/>
  <c r="D95" i="5"/>
  <c r="E93" i="5"/>
  <c r="F92" i="5" s="1"/>
  <c r="G91" i="5" s="1"/>
  <c r="X93" i="1"/>
  <c r="U93" i="1"/>
  <c r="R94" i="1"/>
  <c r="T93" i="1"/>
  <c r="Q94" i="1"/>
  <c r="W93" i="1"/>
  <c r="D96" i="4" l="1"/>
  <c r="E94" i="4"/>
  <c r="F93" i="4" s="1"/>
  <c r="G92" i="4" s="1"/>
  <c r="D133" i="3"/>
  <c r="E131" i="3"/>
  <c r="F130" i="3" s="1"/>
  <c r="G129" i="3" s="1"/>
  <c r="D96" i="5"/>
  <c r="E94" i="5"/>
  <c r="F93" i="5" s="1"/>
  <c r="G92" i="5" s="1"/>
  <c r="U94" i="1"/>
  <c r="R95" i="1"/>
  <c r="X94" i="1"/>
  <c r="W94" i="1"/>
  <c r="T94" i="1"/>
  <c r="Q95" i="1"/>
  <c r="D97" i="4" l="1"/>
  <c r="E95" i="4"/>
  <c r="F94" i="4" s="1"/>
  <c r="G93" i="4" s="1"/>
  <c r="D134" i="3"/>
  <c r="E132" i="3"/>
  <c r="F131" i="3" s="1"/>
  <c r="G130" i="3" s="1"/>
  <c r="D97" i="5"/>
  <c r="E95" i="5"/>
  <c r="F94" i="5" s="1"/>
  <c r="G93" i="5" s="1"/>
  <c r="T95" i="1"/>
  <c r="Q96" i="1"/>
  <c r="W95" i="1"/>
  <c r="X95" i="1"/>
  <c r="U95" i="1"/>
  <c r="R96" i="1"/>
  <c r="D98" i="4" l="1"/>
  <c r="E96" i="4"/>
  <c r="F95" i="4" s="1"/>
  <c r="G94" i="4" s="1"/>
  <c r="D135" i="3"/>
  <c r="E133" i="3"/>
  <c r="F132" i="3" s="1"/>
  <c r="G131" i="3" s="1"/>
  <c r="D98" i="5"/>
  <c r="E96" i="5"/>
  <c r="F95" i="5" s="1"/>
  <c r="G94" i="5" s="1"/>
  <c r="U96" i="1"/>
  <c r="R97" i="1"/>
  <c r="X96" i="1"/>
  <c r="W96" i="1"/>
  <c r="Q97" i="1"/>
  <c r="T96" i="1"/>
  <c r="D99" i="4" l="1"/>
  <c r="E97" i="4"/>
  <c r="F96" i="4" s="1"/>
  <c r="G95" i="4" s="1"/>
  <c r="D136" i="3"/>
  <c r="E134" i="3"/>
  <c r="F133" i="3" s="1"/>
  <c r="G132" i="3" s="1"/>
  <c r="D99" i="5"/>
  <c r="E97" i="5"/>
  <c r="F96" i="5" s="1"/>
  <c r="G95" i="5" s="1"/>
  <c r="X97" i="1"/>
  <c r="U97" i="1"/>
  <c r="R98" i="1"/>
  <c r="T97" i="1"/>
  <c r="Q98" i="1"/>
  <c r="W97" i="1"/>
  <c r="D100" i="4" l="1"/>
  <c r="E98" i="4"/>
  <c r="F97" i="4" s="1"/>
  <c r="G96" i="4" s="1"/>
  <c r="D137" i="3"/>
  <c r="E135" i="3"/>
  <c r="F134" i="3" s="1"/>
  <c r="G133" i="3" s="1"/>
  <c r="D100" i="5"/>
  <c r="E98" i="5"/>
  <c r="F97" i="5" s="1"/>
  <c r="G96" i="5" s="1"/>
  <c r="W98" i="1"/>
  <c r="T98" i="1"/>
  <c r="Q99" i="1"/>
  <c r="U98" i="1"/>
  <c r="R99" i="1"/>
  <c r="X98" i="1"/>
  <c r="D101" i="4" l="1"/>
  <c r="E99" i="4"/>
  <c r="F98" i="4" s="1"/>
  <c r="G97" i="4" s="1"/>
  <c r="D138" i="3"/>
  <c r="E136" i="3"/>
  <c r="F135" i="3" s="1"/>
  <c r="G134" i="3" s="1"/>
  <c r="D101" i="5"/>
  <c r="E99" i="5"/>
  <c r="F98" i="5" s="1"/>
  <c r="G97" i="5" s="1"/>
  <c r="T99" i="1"/>
  <c r="Q100" i="1"/>
  <c r="W99" i="1"/>
  <c r="U99" i="1"/>
  <c r="R100" i="1"/>
  <c r="X99" i="1"/>
  <c r="D102" i="4" l="1"/>
  <c r="E100" i="4"/>
  <c r="F99" i="4" s="1"/>
  <c r="G98" i="4" s="1"/>
  <c r="D139" i="3"/>
  <c r="E137" i="3"/>
  <c r="F136" i="3" s="1"/>
  <c r="G135" i="3" s="1"/>
  <c r="D102" i="5"/>
  <c r="E100" i="5"/>
  <c r="F99" i="5" s="1"/>
  <c r="G98" i="5" s="1"/>
  <c r="X100" i="1"/>
  <c r="R101" i="1"/>
  <c r="U100" i="1"/>
  <c r="W100" i="1"/>
  <c r="Q101" i="1"/>
  <c r="T100" i="1"/>
  <c r="D103" i="4" l="1"/>
  <c r="E101" i="4"/>
  <c r="F100" i="4" s="1"/>
  <c r="G99" i="4" s="1"/>
  <c r="D140" i="3"/>
  <c r="E138" i="3"/>
  <c r="F137" i="3" s="1"/>
  <c r="G136" i="3" s="1"/>
  <c r="D103" i="5"/>
  <c r="E101" i="5"/>
  <c r="F100" i="5" s="1"/>
  <c r="G99" i="5" s="1"/>
  <c r="U101" i="1"/>
  <c r="R102" i="1"/>
  <c r="X101" i="1"/>
  <c r="T101" i="1"/>
  <c r="Q102" i="1"/>
  <c r="W101" i="1"/>
  <c r="D104" i="4" l="1"/>
  <c r="E102" i="4"/>
  <c r="F101" i="4" s="1"/>
  <c r="G100" i="4" s="1"/>
  <c r="D141" i="3"/>
  <c r="E139" i="3"/>
  <c r="F138" i="3" s="1"/>
  <c r="G137" i="3" s="1"/>
  <c r="D104" i="5"/>
  <c r="E102" i="5"/>
  <c r="F101" i="5" s="1"/>
  <c r="G100" i="5" s="1"/>
  <c r="U102" i="1"/>
  <c r="R103" i="1"/>
  <c r="X102" i="1"/>
  <c r="T102" i="1"/>
  <c r="Q103" i="1"/>
  <c r="W102" i="1"/>
  <c r="D105" i="4" l="1"/>
  <c r="E103" i="4"/>
  <c r="F102" i="4" s="1"/>
  <c r="G101" i="4" s="1"/>
  <c r="D142" i="3"/>
  <c r="E140" i="3"/>
  <c r="F139" i="3" s="1"/>
  <c r="G138" i="3" s="1"/>
  <c r="D105" i="5"/>
  <c r="E103" i="5"/>
  <c r="F102" i="5" s="1"/>
  <c r="G101" i="5" s="1"/>
  <c r="X103" i="1"/>
  <c r="U103" i="1"/>
  <c r="R104" i="1"/>
  <c r="W103" i="1"/>
  <c r="T103" i="1"/>
  <c r="Q104" i="1"/>
  <c r="D106" i="4" l="1"/>
  <c r="E104" i="4"/>
  <c r="F103" i="4" s="1"/>
  <c r="G102" i="4" s="1"/>
  <c r="D143" i="3"/>
  <c r="E141" i="3"/>
  <c r="F140" i="3" s="1"/>
  <c r="G139" i="3" s="1"/>
  <c r="D106" i="5"/>
  <c r="E104" i="5"/>
  <c r="F103" i="5" s="1"/>
  <c r="G102" i="5" s="1"/>
  <c r="U104" i="1"/>
  <c r="R105" i="1"/>
  <c r="X104" i="1"/>
  <c r="T104" i="1"/>
  <c r="Q105" i="1"/>
  <c r="W104" i="1"/>
  <c r="D107" i="4" l="1"/>
  <c r="E105" i="4"/>
  <c r="F104" i="4" s="1"/>
  <c r="G103" i="4" s="1"/>
  <c r="D144" i="3"/>
  <c r="E142" i="3"/>
  <c r="F141" i="3" s="1"/>
  <c r="G140" i="3" s="1"/>
  <c r="D107" i="5"/>
  <c r="E105" i="5"/>
  <c r="F104" i="5" s="1"/>
  <c r="G103" i="5" s="1"/>
  <c r="X105" i="1"/>
  <c r="U105" i="1"/>
  <c r="R106" i="1"/>
  <c r="W105" i="1"/>
  <c r="T105" i="1"/>
  <c r="Q106" i="1"/>
  <c r="D108" i="4" l="1"/>
  <c r="E106" i="4"/>
  <c r="F105" i="4" s="1"/>
  <c r="G104" i="4" s="1"/>
  <c r="D145" i="3"/>
  <c r="E143" i="3"/>
  <c r="F142" i="3" s="1"/>
  <c r="G141" i="3" s="1"/>
  <c r="D108" i="5"/>
  <c r="E106" i="5"/>
  <c r="F105" i="5" s="1"/>
  <c r="G104" i="5" s="1"/>
  <c r="U106" i="1"/>
  <c r="R107" i="1"/>
  <c r="X106" i="1"/>
  <c r="T106" i="1"/>
  <c r="Q107" i="1"/>
  <c r="W106" i="1"/>
  <c r="D109" i="4" l="1"/>
  <c r="E107" i="4"/>
  <c r="F106" i="4" s="1"/>
  <c r="G105" i="4" s="1"/>
  <c r="D146" i="3"/>
  <c r="E144" i="3"/>
  <c r="F143" i="3" s="1"/>
  <c r="G142" i="3" s="1"/>
  <c r="D109" i="5"/>
  <c r="E107" i="5"/>
  <c r="F106" i="5" s="1"/>
  <c r="G105" i="5" s="1"/>
  <c r="X107" i="1"/>
  <c r="U107" i="1"/>
  <c r="R108" i="1"/>
  <c r="W107" i="1"/>
  <c r="T107" i="1"/>
  <c r="Q108" i="1"/>
  <c r="D110" i="4" l="1"/>
  <c r="E108" i="4"/>
  <c r="F107" i="4" s="1"/>
  <c r="G106" i="4" s="1"/>
  <c r="D147" i="3"/>
  <c r="E145" i="3"/>
  <c r="F144" i="3" s="1"/>
  <c r="G143" i="3" s="1"/>
  <c r="D110" i="5"/>
  <c r="E108" i="5"/>
  <c r="F107" i="5" s="1"/>
  <c r="G106" i="5" s="1"/>
  <c r="U108" i="1"/>
  <c r="R109" i="1"/>
  <c r="X108" i="1"/>
  <c r="T108" i="1"/>
  <c r="Q109" i="1"/>
  <c r="W108" i="1"/>
  <c r="D111" i="4" l="1"/>
  <c r="E109" i="4"/>
  <c r="F108" i="4" s="1"/>
  <c r="G107" i="4" s="1"/>
  <c r="D148" i="3"/>
  <c r="E146" i="3"/>
  <c r="F145" i="3" s="1"/>
  <c r="G144" i="3" s="1"/>
  <c r="D111" i="5"/>
  <c r="E109" i="5"/>
  <c r="F108" i="5" s="1"/>
  <c r="G107" i="5" s="1"/>
  <c r="W109" i="1"/>
  <c r="T109" i="1"/>
  <c r="Q110" i="1"/>
  <c r="X109" i="1"/>
  <c r="U109" i="1"/>
  <c r="R110" i="1"/>
  <c r="D112" i="4" l="1"/>
  <c r="E110" i="4"/>
  <c r="F109" i="4" s="1"/>
  <c r="G108" i="4" s="1"/>
  <c r="D149" i="3"/>
  <c r="E147" i="3"/>
  <c r="F146" i="3" s="1"/>
  <c r="G145" i="3" s="1"/>
  <c r="D112" i="5"/>
  <c r="E110" i="5"/>
  <c r="F109" i="5" s="1"/>
  <c r="G108" i="5" s="1"/>
  <c r="U110" i="1"/>
  <c r="R111" i="1"/>
  <c r="X110" i="1"/>
  <c r="T110" i="1"/>
  <c r="Q111" i="1"/>
  <c r="W110" i="1"/>
  <c r="D113" i="4" l="1"/>
  <c r="E111" i="4"/>
  <c r="F110" i="4" s="1"/>
  <c r="G109" i="4" s="1"/>
  <c r="D150" i="3"/>
  <c r="E148" i="3"/>
  <c r="F147" i="3" s="1"/>
  <c r="G146" i="3" s="1"/>
  <c r="D113" i="5"/>
  <c r="E111" i="5"/>
  <c r="F110" i="5" s="1"/>
  <c r="G109" i="5" s="1"/>
  <c r="X111" i="1"/>
  <c r="U111" i="1"/>
  <c r="R112" i="1"/>
  <c r="W111" i="1"/>
  <c r="T111" i="1"/>
  <c r="Q112" i="1"/>
  <c r="D114" i="4" l="1"/>
  <c r="E112" i="4"/>
  <c r="F111" i="4" s="1"/>
  <c r="G110" i="4" s="1"/>
  <c r="D151" i="3"/>
  <c r="E149" i="3"/>
  <c r="F148" i="3" s="1"/>
  <c r="G147" i="3" s="1"/>
  <c r="D114" i="5"/>
  <c r="E112" i="5"/>
  <c r="F111" i="5" s="1"/>
  <c r="G110" i="5" s="1"/>
  <c r="T112" i="1"/>
  <c r="Q113" i="1"/>
  <c r="W112" i="1"/>
  <c r="U112" i="1"/>
  <c r="R113" i="1"/>
  <c r="X112" i="1"/>
  <c r="D115" i="4" l="1"/>
  <c r="E113" i="4"/>
  <c r="F112" i="4" s="1"/>
  <c r="G111" i="4" s="1"/>
  <c r="D152" i="3"/>
  <c r="E150" i="3"/>
  <c r="F149" i="3" s="1"/>
  <c r="G148" i="3" s="1"/>
  <c r="D115" i="5"/>
  <c r="E113" i="5"/>
  <c r="F112" i="5" s="1"/>
  <c r="G111" i="5" s="1"/>
  <c r="W113" i="1"/>
  <c r="T113" i="1"/>
  <c r="Q114" i="1"/>
  <c r="X113" i="1"/>
  <c r="U113" i="1"/>
  <c r="R114" i="1"/>
  <c r="D116" i="4" l="1"/>
  <c r="E114" i="4"/>
  <c r="F113" i="4" s="1"/>
  <c r="G112" i="4" s="1"/>
  <c r="D153" i="3"/>
  <c r="E151" i="3"/>
  <c r="F150" i="3" s="1"/>
  <c r="G149" i="3" s="1"/>
  <c r="D116" i="5"/>
  <c r="E114" i="5"/>
  <c r="F113" i="5" s="1"/>
  <c r="G112" i="5" s="1"/>
  <c r="T114" i="1"/>
  <c r="Q115" i="1"/>
  <c r="W114" i="1"/>
  <c r="U114" i="1"/>
  <c r="R115" i="1"/>
  <c r="X114" i="1"/>
  <c r="D117" i="4" l="1"/>
  <c r="E115" i="4"/>
  <c r="F114" i="4" s="1"/>
  <c r="G113" i="4" s="1"/>
  <c r="D154" i="3"/>
  <c r="E152" i="3"/>
  <c r="F151" i="3" s="1"/>
  <c r="G150" i="3" s="1"/>
  <c r="D117" i="5"/>
  <c r="E115" i="5"/>
  <c r="F114" i="5" s="1"/>
  <c r="G113" i="5" s="1"/>
  <c r="W115" i="1"/>
  <c r="T115" i="1"/>
  <c r="Q116" i="1"/>
  <c r="X115" i="1"/>
  <c r="U115" i="1"/>
  <c r="R116" i="1"/>
  <c r="D118" i="4" l="1"/>
  <c r="E116" i="4"/>
  <c r="F115" i="4" s="1"/>
  <c r="G114" i="4" s="1"/>
  <c r="D155" i="3"/>
  <c r="E153" i="3"/>
  <c r="F152" i="3" s="1"/>
  <c r="G151" i="3" s="1"/>
  <c r="D118" i="5"/>
  <c r="E116" i="5"/>
  <c r="F115" i="5" s="1"/>
  <c r="G114" i="5" s="1"/>
  <c r="T116" i="1"/>
  <c r="Q117" i="1"/>
  <c r="W116" i="1"/>
  <c r="U116" i="1"/>
  <c r="R117" i="1"/>
  <c r="X116" i="1"/>
  <c r="D119" i="4" l="1"/>
  <c r="E117" i="4"/>
  <c r="F116" i="4" s="1"/>
  <c r="G115" i="4" s="1"/>
  <c r="D156" i="3"/>
  <c r="E154" i="3"/>
  <c r="F153" i="3" s="1"/>
  <c r="G152" i="3" s="1"/>
  <c r="D119" i="5"/>
  <c r="E117" i="5"/>
  <c r="F116" i="5" s="1"/>
  <c r="G115" i="5" s="1"/>
  <c r="W117" i="1"/>
  <c r="T117" i="1"/>
  <c r="Q118" i="1"/>
  <c r="X117" i="1"/>
  <c r="U117" i="1"/>
  <c r="R118" i="1"/>
  <c r="D120" i="4" l="1"/>
  <c r="E118" i="4"/>
  <c r="F117" i="4" s="1"/>
  <c r="G116" i="4" s="1"/>
  <c r="D157" i="3"/>
  <c r="E155" i="3"/>
  <c r="F154" i="3" s="1"/>
  <c r="G153" i="3" s="1"/>
  <c r="D120" i="5"/>
  <c r="E118" i="5"/>
  <c r="F117" i="5" s="1"/>
  <c r="G116" i="5" s="1"/>
  <c r="T118" i="1"/>
  <c r="Q119" i="1"/>
  <c r="W118" i="1"/>
  <c r="U118" i="1"/>
  <c r="R119" i="1"/>
  <c r="X118" i="1"/>
  <c r="D121" i="4" l="1"/>
  <c r="E119" i="4"/>
  <c r="F118" i="4" s="1"/>
  <c r="G117" i="4" s="1"/>
  <c r="D158" i="3"/>
  <c r="E156" i="3"/>
  <c r="F155" i="3" s="1"/>
  <c r="G154" i="3" s="1"/>
  <c r="D121" i="5"/>
  <c r="E119" i="5"/>
  <c r="F118" i="5" s="1"/>
  <c r="G117" i="5" s="1"/>
  <c r="W119" i="1"/>
  <c r="T119" i="1"/>
  <c r="Q120" i="1"/>
  <c r="X119" i="1"/>
  <c r="U119" i="1"/>
  <c r="R120" i="1"/>
  <c r="D122" i="4" l="1"/>
  <c r="E120" i="4"/>
  <c r="F119" i="4" s="1"/>
  <c r="G118" i="4" s="1"/>
  <c r="D159" i="3"/>
  <c r="E157" i="3"/>
  <c r="F156" i="3" s="1"/>
  <c r="G155" i="3" s="1"/>
  <c r="D122" i="5"/>
  <c r="E120" i="5"/>
  <c r="F119" i="5" s="1"/>
  <c r="G118" i="5" s="1"/>
  <c r="T120" i="1"/>
  <c r="Q121" i="1"/>
  <c r="W120" i="1"/>
  <c r="U120" i="1"/>
  <c r="R121" i="1"/>
  <c r="X120" i="1"/>
  <c r="D123" i="4" l="1"/>
  <c r="E121" i="4"/>
  <c r="F120" i="4" s="1"/>
  <c r="G119" i="4" s="1"/>
  <c r="D160" i="3"/>
  <c r="E158" i="3"/>
  <c r="F157" i="3" s="1"/>
  <c r="G156" i="3" s="1"/>
  <c r="D123" i="5"/>
  <c r="E121" i="5"/>
  <c r="F120" i="5" s="1"/>
  <c r="G119" i="5" s="1"/>
  <c r="W121" i="1"/>
  <c r="T121" i="1"/>
  <c r="Q122" i="1"/>
  <c r="X121" i="1"/>
  <c r="U121" i="1"/>
  <c r="R122" i="1"/>
  <c r="D124" i="4" l="1"/>
  <c r="E122" i="4"/>
  <c r="F121" i="4" s="1"/>
  <c r="G120" i="4" s="1"/>
  <c r="D161" i="3"/>
  <c r="E159" i="3"/>
  <c r="F158" i="3" s="1"/>
  <c r="G157" i="3" s="1"/>
  <c r="D124" i="5"/>
  <c r="E122" i="5"/>
  <c r="F121" i="5" s="1"/>
  <c r="G120" i="5" s="1"/>
  <c r="T122" i="1"/>
  <c r="Q123" i="1"/>
  <c r="W122" i="1"/>
  <c r="U122" i="1"/>
  <c r="R123" i="1"/>
  <c r="X122" i="1"/>
  <c r="D125" i="4" l="1"/>
  <c r="E123" i="4"/>
  <c r="F122" i="4" s="1"/>
  <c r="G121" i="4" s="1"/>
  <c r="D162" i="3"/>
  <c r="E160" i="3"/>
  <c r="F159" i="3" s="1"/>
  <c r="G158" i="3" s="1"/>
  <c r="D125" i="5"/>
  <c r="E123" i="5"/>
  <c r="F122" i="5" s="1"/>
  <c r="G121" i="5" s="1"/>
  <c r="W123" i="1"/>
  <c r="T123" i="1"/>
  <c r="Q124" i="1"/>
  <c r="X123" i="1"/>
  <c r="U123" i="1"/>
  <c r="R124" i="1"/>
  <c r="D126" i="4" l="1"/>
  <c r="E124" i="4"/>
  <c r="F123" i="4" s="1"/>
  <c r="G122" i="4" s="1"/>
  <c r="D163" i="3"/>
  <c r="E161" i="3"/>
  <c r="F160" i="3" s="1"/>
  <c r="G159" i="3" s="1"/>
  <c r="D126" i="5"/>
  <c r="E124" i="5"/>
  <c r="F123" i="5" s="1"/>
  <c r="G122" i="5" s="1"/>
  <c r="T124" i="1"/>
  <c r="Q125" i="1"/>
  <c r="W124" i="1"/>
  <c r="U124" i="1"/>
  <c r="R125" i="1"/>
  <c r="X124" i="1"/>
  <c r="D127" i="4" l="1"/>
  <c r="E125" i="4"/>
  <c r="F124" i="4" s="1"/>
  <c r="G123" i="4" s="1"/>
  <c r="D164" i="3"/>
  <c r="E162" i="3"/>
  <c r="F161" i="3" s="1"/>
  <c r="G160" i="3" s="1"/>
  <c r="D127" i="5"/>
  <c r="E125" i="5"/>
  <c r="F124" i="5" s="1"/>
  <c r="G123" i="5" s="1"/>
  <c r="X125" i="1"/>
  <c r="U125" i="1"/>
  <c r="R126" i="1"/>
  <c r="W125" i="1"/>
  <c r="T125" i="1"/>
  <c r="Q126" i="1"/>
  <c r="D128" i="4" l="1"/>
  <c r="E126" i="4"/>
  <c r="F125" i="4" s="1"/>
  <c r="G124" i="4" s="1"/>
  <c r="D165" i="3"/>
  <c r="E163" i="3"/>
  <c r="F162" i="3" s="1"/>
  <c r="G161" i="3" s="1"/>
  <c r="D128" i="5"/>
  <c r="E126" i="5"/>
  <c r="F125" i="5" s="1"/>
  <c r="G124" i="5" s="1"/>
  <c r="U126" i="1"/>
  <c r="R127" i="1"/>
  <c r="X126" i="1"/>
  <c r="T126" i="1"/>
  <c r="Q127" i="1"/>
  <c r="W126" i="1"/>
  <c r="D129" i="4" l="1"/>
  <c r="E127" i="4"/>
  <c r="F126" i="4" s="1"/>
  <c r="G125" i="4" s="1"/>
  <c r="D166" i="3"/>
  <c r="E164" i="3"/>
  <c r="F163" i="3" s="1"/>
  <c r="G162" i="3" s="1"/>
  <c r="D129" i="5"/>
  <c r="E127" i="5"/>
  <c r="F126" i="5" s="1"/>
  <c r="G125" i="5" s="1"/>
  <c r="X127" i="1"/>
  <c r="U127" i="1"/>
  <c r="R128" i="1"/>
  <c r="W127" i="1"/>
  <c r="T127" i="1"/>
  <c r="Q128" i="1"/>
  <c r="D130" i="4" l="1"/>
  <c r="E128" i="4"/>
  <c r="F127" i="4" s="1"/>
  <c r="G126" i="4" s="1"/>
  <c r="D167" i="3"/>
  <c r="E165" i="3"/>
  <c r="F164" i="3" s="1"/>
  <c r="G163" i="3" s="1"/>
  <c r="D130" i="5"/>
  <c r="E128" i="5"/>
  <c r="F127" i="5" s="1"/>
  <c r="G126" i="5" s="1"/>
  <c r="U128" i="1"/>
  <c r="R129" i="1"/>
  <c r="X128" i="1"/>
  <c r="T128" i="1"/>
  <c r="Q129" i="1"/>
  <c r="W128" i="1"/>
  <c r="E129" i="4" l="1"/>
  <c r="F128" i="4" s="1"/>
  <c r="G127" i="4" s="1"/>
  <c r="D131" i="4"/>
  <c r="D168" i="3"/>
  <c r="E166" i="3"/>
  <c r="F165" i="3" s="1"/>
  <c r="G164" i="3" s="1"/>
  <c r="D131" i="5"/>
  <c r="E129" i="5"/>
  <c r="F128" i="5" s="1"/>
  <c r="G127" i="5" s="1"/>
  <c r="X129" i="1"/>
  <c r="U129" i="1"/>
  <c r="R130" i="1"/>
  <c r="W129" i="1"/>
  <c r="T129" i="1"/>
  <c r="Q130" i="1"/>
  <c r="D132" i="4" l="1"/>
  <c r="E130" i="4"/>
  <c r="F129" i="4" s="1"/>
  <c r="G128" i="4" s="1"/>
  <c r="D169" i="3"/>
  <c r="E167" i="3"/>
  <c r="F166" i="3" s="1"/>
  <c r="G165" i="3" s="1"/>
  <c r="E130" i="5"/>
  <c r="F129" i="5" s="1"/>
  <c r="G128" i="5" s="1"/>
  <c r="D132" i="5"/>
  <c r="U130" i="1"/>
  <c r="R131" i="1"/>
  <c r="X130" i="1"/>
  <c r="T130" i="1"/>
  <c r="Q131" i="1"/>
  <c r="W130" i="1"/>
  <c r="D133" i="4" l="1"/>
  <c r="E131" i="4"/>
  <c r="F130" i="4" s="1"/>
  <c r="G129" i="4" s="1"/>
  <c r="D170" i="3"/>
  <c r="E168" i="3"/>
  <c r="F167" i="3" s="1"/>
  <c r="G166" i="3" s="1"/>
  <c r="E131" i="5"/>
  <c r="F130" i="5" s="1"/>
  <c r="G129" i="5" s="1"/>
  <c r="D133" i="5"/>
  <c r="X131" i="1"/>
  <c r="U131" i="1"/>
  <c r="R132" i="1"/>
  <c r="W131" i="1"/>
  <c r="T131" i="1"/>
  <c r="Q132" i="1"/>
  <c r="D134" i="4" l="1"/>
  <c r="E132" i="4"/>
  <c r="F131" i="4" s="1"/>
  <c r="G130" i="4" s="1"/>
  <c r="D171" i="3"/>
  <c r="E169" i="3"/>
  <c r="F168" i="3" s="1"/>
  <c r="G167" i="3" s="1"/>
  <c r="E132" i="5"/>
  <c r="F131" i="5" s="1"/>
  <c r="G130" i="5" s="1"/>
  <c r="D134" i="5"/>
  <c r="T132" i="1"/>
  <c r="Q133" i="1"/>
  <c r="W132" i="1"/>
  <c r="U132" i="1"/>
  <c r="R133" i="1"/>
  <c r="X132" i="1"/>
  <c r="D135" i="4" l="1"/>
  <c r="E133" i="4"/>
  <c r="F132" i="4" s="1"/>
  <c r="G131" i="4" s="1"/>
  <c r="D172" i="3"/>
  <c r="E170" i="3"/>
  <c r="F169" i="3" s="1"/>
  <c r="G168" i="3" s="1"/>
  <c r="E133" i="5"/>
  <c r="F132" i="5" s="1"/>
  <c r="G131" i="5" s="1"/>
  <c r="D135" i="5"/>
  <c r="W133" i="1"/>
  <c r="T133" i="1"/>
  <c r="Q134" i="1"/>
  <c r="X133" i="1"/>
  <c r="U133" i="1"/>
  <c r="R134" i="1"/>
  <c r="D136" i="4" l="1"/>
  <c r="E134" i="4"/>
  <c r="F133" i="4" s="1"/>
  <c r="G132" i="4" s="1"/>
  <c r="D173" i="3"/>
  <c r="E171" i="3"/>
  <c r="F170" i="3" s="1"/>
  <c r="G169" i="3" s="1"/>
  <c r="E134" i="5"/>
  <c r="F133" i="5" s="1"/>
  <c r="G132" i="5" s="1"/>
  <c r="D136" i="5"/>
  <c r="U134" i="1"/>
  <c r="R135" i="1"/>
  <c r="X134" i="1"/>
  <c r="T134" i="1"/>
  <c r="Q135" i="1"/>
  <c r="W134" i="1"/>
  <c r="D137" i="4" l="1"/>
  <c r="E135" i="4"/>
  <c r="F134" i="4" s="1"/>
  <c r="G133" i="4" s="1"/>
  <c r="D174" i="3"/>
  <c r="E172" i="3"/>
  <c r="F171" i="3" s="1"/>
  <c r="G170" i="3" s="1"/>
  <c r="E135" i="5"/>
  <c r="F134" i="5" s="1"/>
  <c r="G133" i="5" s="1"/>
  <c r="D137" i="5"/>
  <c r="X135" i="1"/>
  <c r="U135" i="1"/>
  <c r="R136" i="1"/>
  <c r="W135" i="1"/>
  <c r="T135" i="1"/>
  <c r="Q136" i="1"/>
  <c r="D138" i="4" l="1"/>
  <c r="E136" i="4"/>
  <c r="F135" i="4" s="1"/>
  <c r="G134" i="4" s="1"/>
  <c r="D175" i="3"/>
  <c r="E173" i="3"/>
  <c r="F172" i="3" s="1"/>
  <c r="G171" i="3" s="1"/>
  <c r="E136" i="5"/>
  <c r="F135" i="5" s="1"/>
  <c r="G134" i="5" s="1"/>
  <c r="D138" i="5"/>
  <c r="U136" i="1"/>
  <c r="R137" i="1"/>
  <c r="X136" i="1"/>
  <c r="T136" i="1"/>
  <c r="Q137" i="1"/>
  <c r="W136" i="1"/>
  <c r="D139" i="4" l="1"/>
  <c r="E137" i="4"/>
  <c r="F136" i="4" s="1"/>
  <c r="G135" i="4" s="1"/>
  <c r="D176" i="3"/>
  <c r="E174" i="3"/>
  <c r="F173" i="3" s="1"/>
  <c r="G172" i="3" s="1"/>
  <c r="E137" i="5"/>
  <c r="F136" i="5" s="1"/>
  <c r="G135" i="5" s="1"/>
  <c r="D139" i="5"/>
  <c r="X137" i="1"/>
  <c r="U137" i="1"/>
  <c r="R138" i="1"/>
  <c r="W137" i="1"/>
  <c r="T137" i="1"/>
  <c r="Q138" i="1"/>
  <c r="D140" i="4" l="1"/>
  <c r="E138" i="4"/>
  <c r="F137" i="4" s="1"/>
  <c r="G136" i="4" s="1"/>
  <c r="D177" i="3"/>
  <c r="E175" i="3"/>
  <c r="F174" i="3" s="1"/>
  <c r="G173" i="3" s="1"/>
  <c r="E138" i="5"/>
  <c r="F137" i="5" s="1"/>
  <c r="G136" i="5" s="1"/>
  <c r="D140" i="5"/>
  <c r="U138" i="1"/>
  <c r="R139" i="1"/>
  <c r="X138" i="1"/>
  <c r="T138" i="1"/>
  <c r="Q139" i="1"/>
  <c r="W138" i="1"/>
  <c r="D141" i="4" l="1"/>
  <c r="E139" i="4"/>
  <c r="F138" i="4" s="1"/>
  <c r="G137" i="4" s="1"/>
  <c r="D178" i="3"/>
  <c r="E176" i="3"/>
  <c r="F175" i="3" s="1"/>
  <c r="G174" i="3" s="1"/>
  <c r="E139" i="5"/>
  <c r="F138" i="5" s="1"/>
  <c r="G137" i="5" s="1"/>
  <c r="D141" i="5"/>
  <c r="X139" i="1"/>
  <c r="U139" i="1"/>
  <c r="R140" i="1"/>
  <c r="W139" i="1"/>
  <c r="T139" i="1"/>
  <c r="Q140" i="1"/>
  <c r="D142" i="4" l="1"/>
  <c r="E140" i="4"/>
  <c r="F139" i="4" s="1"/>
  <c r="G138" i="4" s="1"/>
  <c r="D179" i="3"/>
  <c r="E177" i="3"/>
  <c r="F176" i="3" s="1"/>
  <c r="G175" i="3" s="1"/>
  <c r="E140" i="5"/>
  <c r="F139" i="5" s="1"/>
  <c r="G138" i="5" s="1"/>
  <c r="D142" i="5"/>
  <c r="U140" i="1"/>
  <c r="R141" i="1"/>
  <c r="X140" i="1"/>
  <c r="T140" i="1"/>
  <c r="Q141" i="1"/>
  <c r="W140" i="1"/>
  <c r="D143" i="4" l="1"/>
  <c r="E141" i="4"/>
  <c r="F140" i="4" s="1"/>
  <c r="G139" i="4" s="1"/>
  <c r="D180" i="3"/>
  <c r="E178" i="3"/>
  <c r="F177" i="3" s="1"/>
  <c r="G176" i="3" s="1"/>
  <c r="E141" i="5"/>
  <c r="F140" i="5" s="1"/>
  <c r="G139" i="5" s="1"/>
  <c r="D143" i="5"/>
  <c r="X141" i="1"/>
  <c r="U141" i="1"/>
  <c r="R142" i="1"/>
  <c r="W141" i="1"/>
  <c r="T141" i="1"/>
  <c r="Q142" i="1"/>
  <c r="D144" i="4" l="1"/>
  <c r="E142" i="4"/>
  <c r="F141" i="4" s="1"/>
  <c r="G140" i="4" s="1"/>
  <c r="D181" i="3"/>
  <c r="E179" i="3"/>
  <c r="F178" i="3" s="1"/>
  <c r="G177" i="3" s="1"/>
  <c r="E142" i="5"/>
  <c r="F141" i="5" s="1"/>
  <c r="G140" i="5" s="1"/>
  <c r="D144" i="5"/>
  <c r="U142" i="1"/>
  <c r="R143" i="1"/>
  <c r="X142" i="1"/>
  <c r="T142" i="1"/>
  <c r="Q143" i="1"/>
  <c r="W142" i="1"/>
  <c r="D145" i="4" l="1"/>
  <c r="E143" i="4"/>
  <c r="F142" i="4" s="1"/>
  <c r="G141" i="4" s="1"/>
  <c r="D182" i="3"/>
  <c r="E180" i="3"/>
  <c r="F179" i="3" s="1"/>
  <c r="G178" i="3" s="1"/>
  <c r="E143" i="5"/>
  <c r="F142" i="5" s="1"/>
  <c r="G141" i="5" s="1"/>
  <c r="D145" i="5"/>
  <c r="X143" i="1"/>
  <c r="R144" i="1"/>
  <c r="U143" i="1"/>
  <c r="W143" i="1"/>
  <c r="Q144" i="1"/>
  <c r="T143" i="1"/>
  <c r="D146" i="4" l="1"/>
  <c r="E144" i="4"/>
  <c r="F143" i="4" s="1"/>
  <c r="G142" i="4" s="1"/>
  <c r="D183" i="3"/>
  <c r="E181" i="3"/>
  <c r="F180" i="3" s="1"/>
  <c r="G179" i="3" s="1"/>
  <c r="E144" i="5"/>
  <c r="F143" i="5" s="1"/>
  <c r="G142" i="5" s="1"/>
  <c r="D146" i="5"/>
  <c r="X144" i="1"/>
  <c r="U144" i="1"/>
  <c r="R145" i="1"/>
  <c r="W144" i="1"/>
  <c r="T144" i="1"/>
  <c r="Q145" i="1"/>
  <c r="D147" i="4" l="1"/>
  <c r="E145" i="4"/>
  <c r="F144" i="4" s="1"/>
  <c r="G143" i="4" s="1"/>
  <c r="D184" i="3"/>
  <c r="E182" i="3"/>
  <c r="F181" i="3" s="1"/>
  <c r="G180" i="3" s="1"/>
  <c r="E145" i="5"/>
  <c r="F144" i="5" s="1"/>
  <c r="G143" i="5" s="1"/>
  <c r="D147" i="5"/>
  <c r="U145" i="1"/>
  <c r="R146" i="1"/>
  <c r="X145" i="1"/>
  <c r="T145" i="1"/>
  <c r="Q146" i="1"/>
  <c r="W145" i="1"/>
  <c r="D148" i="4" l="1"/>
  <c r="E146" i="4"/>
  <c r="F145" i="4" s="1"/>
  <c r="G144" i="4" s="1"/>
  <c r="D185" i="3"/>
  <c r="E183" i="3"/>
  <c r="F182" i="3" s="1"/>
  <c r="G181" i="3" s="1"/>
  <c r="E146" i="5"/>
  <c r="F145" i="5" s="1"/>
  <c r="G144" i="5" s="1"/>
  <c r="D148" i="5"/>
  <c r="X146" i="1"/>
  <c r="U146" i="1"/>
  <c r="R147" i="1"/>
  <c r="W146" i="1"/>
  <c r="T146" i="1"/>
  <c r="Q147" i="1"/>
  <c r="D149" i="4" l="1"/>
  <c r="E147" i="4"/>
  <c r="F146" i="4" s="1"/>
  <c r="G145" i="4" s="1"/>
  <c r="D186" i="3"/>
  <c r="E184" i="3"/>
  <c r="F183" i="3" s="1"/>
  <c r="G182" i="3" s="1"/>
  <c r="E147" i="5"/>
  <c r="F146" i="5" s="1"/>
  <c r="G145" i="5" s="1"/>
  <c r="D149" i="5"/>
  <c r="U147" i="1"/>
  <c r="R148" i="1"/>
  <c r="X147" i="1"/>
  <c r="T147" i="1"/>
  <c r="Q148" i="1"/>
  <c r="W147" i="1"/>
  <c r="D150" i="4" l="1"/>
  <c r="E148" i="4"/>
  <c r="F147" i="4" s="1"/>
  <c r="G146" i="4" s="1"/>
  <c r="D187" i="3"/>
  <c r="E185" i="3"/>
  <c r="F184" i="3" s="1"/>
  <c r="G183" i="3" s="1"/>
  <c r="E148" i="5"/>
  <c r="F147" i="5" s="1"/>
  <c r="G146" i="5" s="1"/>
  <c r="D150" i="5"/>
  <c r="X148" i="1"/>
  <c r="U148" i="1"/>
  <c r="R149" i="1"/>
  <c r="W148" i="1"/>
  <c r="T148" i="1"/>
  <c r="Q149" i="1"/>
  <c r="D151" i="4" l="1"/>
  <c r="E149" i="4"/>
  <c r="F148" i="4" s="1"/>
  <c r="G147" i="4" s="1"/>
  <c r="D188" i="3"/>
  <c r="E186" i="3"/>
  <c r="F185" i="3" s="1"/>
  <c r="G184" i="3" s="1"/>
  <c r="E149" i="5"/>
  <c r="F148" i="5" s="1"/>
  <c r="G147" i="5" s="1"/>
  <c r="D151" i="5"/>
  <c r="U149" i="1"/>
  <c r="R150" i="1"/>
  <c r="X149" i="1"/>
  <c r="T149" i="1"/>
  <c r="Q150" i="1"/>
  <c r="W149" i="1"/>
  <c r="D152" i="4" l="1"/>
  <c r="E150" i="4"/>
  <c r="F149" i="4" s="1"/>
  <c r="G148" i="4" s="1"/>
  <c r="D189" i="3"/>
  <c r="E187" i="3"/>
  <c r="F186" i="3" s="1"/>
  <c r="G185" i="3" s="1"/>
  <c r="E150" i="5"/>
  <c r="F149" i="5" s="1"/>
  <c r="G148" i="5" s="1"/>
  <c r="D152" i="5"/>
  <c r="X150" i="1"/>
  <c r="U150" i="1"/>
  <c r="R151" i="1"/>
  <c r="W150" i="1"/>
  <c r="T150" i="1"/>
  <c r="Q151" i="1"/>
  <c r="D153" i="4" l="1"/>
  <c r="E151" i="4"/>
  <c r="F150" i="4" s="1"/>
  <c r="G149" i="4" s="1"/>
  <c r="D190" i="3"/>
  <c r="E188" i="3"/>
  <c r="F187" i="3" s="1"/>
  <c r="G186" i="3" s="1"/>
  <c r="E151" i="5"/>
  <c r="F150" i="5" s="1"/>
  <c r="G149" i="5" s="1"/>
  <c r="D153" i="5"/>
  <c r="U151" i="1"/>
  <c r="R152" i="1"/>
  <c r="X151" i="1"/>
  <c r="T151" i="1"/>
  <c r="Q152" i="1"/>
  <c r="W151" i="1"/>
  <c r="D154" i="4" l="1"/>
  <c r="E152" i="4"/>
  <c r="F151" i="4" s="1"/>
  <c r="G150" i="4" s="1"/>
  <c r="D191" i="3"/>
  <c r="E189" i="3"/>
  <c r="F188" i="3" s="1"/>
  <c r="G187" i="3" s="1"/>
  <c r="E152" i="5"/>
  <c r="F151" i="5" s="1"/>
  <c r="G150" i="5" s="1"/>
  <c r="D154" i="5"/>
  <c r="X152" i="1"/>
  <c r="U152" i="1"/>
  <c r="R153" i="1"/>
  <c r="W152" i="1"/>
  <c r="T152" i="1"/>
  <c r="Q153" i="1"/>
  <c r="D155" i="4" l="1"/>
  <c r="E153" i="4"/>
  <c r="F152" i="4" s="1"/>
  <c r="G151" i="4" s="1"/>
  <c r="D192" i="3"/>
  <c r="E190" i="3"/>
  <c r="F189" i="3" s="1"/>
  <c r="G188" i="3" s="1"/>
  <c r="E153" i="5"/>
  <c r="F152" i="5" s="1"/>
  <c r="G151" i="5" s="1"/>
  <c r="D155" i="5"/>
  <c r="U153" i="1"/>
  <c r="R154" i="1"/>
  <c r="X153" i="1"/>
  <c r="T153" i="1"/>
  <c r="Q154" i="1"/>
  <c r="W153" i="1"/>
  <c r="D156" i="4" l="1"/>
  <c r="E154" i="4"/>
  <c r="F153" i="4" s="1"/>
  <c r="G152" i="4" s="1"/>
  <c r="D193" i="3"/>
  <c r="E191" i="3"/>
  <c r="F190" i="3" s="1"/>
  <c r="G189" i="3" s="1"/>
  <c r="E154" i="5"/>
  <c r="F153" i="5" s="1"/>
  <c r="G152" i="5" s="1"/>
  <c r="D156" i="5"/>
  <c r="X154" i="1"/>
  <c r="U154" i="1"/>
  <c r="R155" i="1"/>
  <c r="W154" i="1"/>
  <c r="T154" i="1"/>
  <c r="Q155" i="1"/>
  <c r="D157" i="4" l="1"/>
  <c r="E155" i="4"/>
  <c r="F154" i="4" s="1"/>
  <c r="G153" i="4" s="1"/>
  <c r="D194" i="3"/>
  <c r="E192" i="3"/>
  <c r="F191" i="3" s="1"/>
  <c r="G190" i="3" s="1"/>
  <c r="E155" i="5"/>
  <c r="F154" i="5" s="1"/>
  <c r="G153" i="5" s="1"/>
  <c r="D157" i="5"/>
  <c r="U155" i="1"/>
  <c r="R156" i="1"/>
  <c r="X155" i="1"/>
  <c r="T155" i="1"/>
  <c r="Q156" i="1"/>
  <c r="W155" i="1"/>
  <c r="D158" i="4" l="1"/>
  <c r="E156" i="4"/>
  <c r="F155" i="4" s="1"/>
  <c r="G154" i="4" s="1"/>
  <c r="D195" i="3"/>
  <c r="E193" i="3"/>
  <c r="F192" i="3" s="1"/>
  <c r="G191" i="3" s="1"/>
  <c r="E156" i="5"/>
  <c r="F155" i="5" s="1"/>
  <c r="G154" i="5" s="1"/>
  <c r="D158" i="5"/>
  <c r="X156" i="1"/>
  <c r="U156" i="1"/>
  <c r="R157" i="1"/>
  <c r="W156" i="1"/>
  <c r="T156" i="1"/>
  <c r="Q157" i="1"/>
  <c r="D159" i="4" l="1"/>
  <c r="E157" i="4"/>
  <c r="F156" i="4" s="1"/>
  <c r="G155" i="4" s="1"/>
  <c r="D196" i="3"/>
  <c r="E194" i="3"/>
  <c r="F193" i="3" s="1"/>
  <c r="G192" i="3" s="1"/>
  <c r="E157" i="5"/>
  <c r="F156" i="5" s="1"/>
  <c r="G155" i="5" s="1"/>
  <c r="D159" i="5"/>
  <c r="U157" i="1"/>
  <c r="R158" i="1"/>
  <c r="X157" i="1"/>
  <c r="T157" i="1"/>
  <c r="Q158" i="1"/>
  <c r="W157" i="1"/>
  <c r="D160" i="4" l="1"/>
  <c r="E158" i="4"/>
  <c r="F157" i="4" s="1"/>
  <c r="G156" i="4" s="1"/>
  <c r="D197" i="3"/>
  <c r="E195" i="3"/>
  <c r="F194" i="3" s="1"/>
  <c r="G193" i="3" s="1"/>
  <c r="E158" i="5"/>
  <c r="F157" i="5" s="1"/>
  <c r="G156" i="5" s="1"/>
  <c r="D160" i="5"/>
  <c r="X158" i="1"/>
  <c r="U158" i="1"/>
  <c r="R159" i="1"/>
  <c r="W158" i="1"/>
  <c r="T158" i="1"/>
  <c r="Q159" i="1"/>
  <c r="D161" i="4" l="1"/>
  <c r="E159" i="4"/>
  <c r="F158" i="4" s="1"/>
  <c r="G157" i="4" s="1"/>
  <c r="D198" i="3"/>
  <c r="E196" i="3"/>
  <c r="F195" i="3" s="1"/>
  <c r="G194" i="3" s="1"/>
  <c r="E159" i="5"/>
  <c r="F158" i="5" s="1"/>
  <c r="G157" i="5" s="1"/>
  <c r="D161" i="5"/>
  <c r="U159" i="1"/>
  <c r="R160" i="1"/>
  <c r="X159" i="1"/>
  <c r="T159" i="1"/>
  <c r="Q160" i="1"/>
  <c r="W159" i="1"/>
  <c r="D162" i="4" l="1"/>
  <c r="E160" i="4"/>
  <c r="F159" i="4" s="1"/>
  <c r="G158" i="4" s="1"/>
  <c r="D199" i="3"/>
  <c r="E197" i="3"/>
  <c r="F196" i="3" s="1"/>
  <c r="G195" i="3" s="1"/>
  <c r="E160" i="5"/>
  <c r="F159" i="5" s="1"/>
  <c r="G158" i="5" s="1"/>
  <c r="D162" i="5"/>
  <c r="X160" i="1"/>
  <c r="U160" i="1"/>
  <c r="R161" i="1"/>
  <c r="W160" i="1"/>
  <c r="T160" i="1"/>
  <c r="Q161" i="1"/>
  <c r="D163" i="4" l="1"/>
  <c r="E161" i="4"/>
  <c r="F160" i="4" s="1"/>
  <c r="G159" i="4" s="1"/>
  <c r="D200" i="3"/>
  <c r="E198" i="3"/>
  <c r="F197" i="3" s="1"/>
  <c r="G196" i="3" s="1"/>
  <c r="E161" i="5"/>
  <c r="F160" i="5" s="1"/>
  <c r="G159" i="5" s="1"/>
  <c r="D163" i="5"/>
  <c r="U161" i="1"/>
  <c r="R162" i="1"/>
  <c r="X161" i="1"/>
  <c r="T161" i="1"/>
  <c r="Q162" i="1"/>
  <c r="W161" i="1"/>
  <c r="D164" i="4" l="1"/>
  <c r="E162" i="4"/>
  <c r="F161" i="4" s="1"/>
  <c r="G160" i="4" s="1"/>
  <c r="D201" i="3"/>
  <c r="E199" i="3"/>
  <c r="F198" i="3" s="1"/>
  <c r="G197" i="3" s="1"/>
  <c r="E162" i="5"/>
  <c r="F161" i="5" s="1"/>
  <c r="G160" i="5" s="1"/>
  <c r="D164" i="5"/>
  <c r="X162" i="1"/>
  <c r="U162" i="1"/>
  <c r="R163" i="1"/>
  <c r="W162" i="1"/>
  <c r="T162" i="1"/>
  <c r="Q163" i="1"/>
  <c r="D165" i="4" l="1"/>
  <c r="E163" i="4"/>
  <c r="F162" i="4" s="1"/>
  <c r="G161" i="4" s="1"/>
  <c r="D202" i="3"/>
  <c r="E200" i="3"/>
  <c r="F199" i="3" s="1"/>
  <c r="G198" i="3" s="1"/>
  <c r="E163" i="5"/>
  <c r="F162" i="5" s="1"/>
  <c r="G161" i="5" s="1"/>
  <c r="D165" i="5"/>
  <c r="U163" i="1"/>
  <c r="R164" i="1"/>
  <c r="X163" i="1"/>
  <c r="T163" i="1"/>
  <c r="Q164" i="1"/>
  <c r="W163" i="1"/>
  <c r="D166" i="4" l="1"/>
  <c r="E164" i="4"/>
  <c r="F163" i="4" s="1"/>
  <c r="G162" i="4" s="1"/>
  <c r="D203" i="3"/>
  <c r="E201" i="3"/>
  <c r="F200" i="3" s="1"/>
  <c r="G199" i="3" s="1"/>
  <c r="E164" i="5"/>
  <c r="F163" i="5" s="1"/>
  <c r="G162" i="5" s="1"/>
  <c r="D166" i="5"/>
  <c r="X164" i="1"/>
  <c r="U164" i="1"/>
  <c r="R165" i="1"/>
  <c r="W164" i="1"/>
  <c r="T164" i="1"/>
  <c r="Q165" i="1"/>
  <c r="D167" i="4" l="1"/>
  <c r="E165" i="4"/>
  <c r="F164" i="4" s="1"/>
  <c r="G163" i="4" s="1"/>
  <c r="D204" i="3"/>
  <c r="E202" i="3"/>
  <c r="F201" i="3" s="1"/>
  <c r="G200" i="3" s="1"/>
  <c r="E165" i="5"/>
  <c r="F164" i="5" s="1"/>
  <c r="G163" i="5" s="1"/>
  <c r="D167" i="5"/>
  <c r="U165" i="1"/>
  <c r="R166" i="1"/>
  <c r="X165" i="1"/>
  <c r="T165" i="1"/>
  <c r="Q166" i="1"/>
  <c r="W165" i="1"/>
  <c r="D168" i="4" l="1"/>
  <c r="E166" i="4"/>
  <c r="F165" i="4" s="1"/>
  <c r="G164" i="4" s="1"/>
  <c r="D205" i="3"/>
  <c r="E203" i="3"/>
  <c r="F202" i="3" s="1"/>
  <c r="G201" i="3" s="1"/>
  <c r="E166" i="5"/>
  <c r="F165" i="5" s="1"/>
  <c r="G164" i="5" s="1"/>
  <c r="D168" i="5"/>
  <c r="X166" i="1"/>
  <c r="U166" i="1"/>
  <c r="R167" i="1"/>
  <c r="W166" i="1"/>
  <c r="T166" i="1"/>
  <c r="Q167" i="1"/>
  <c r="D169" i="4" l="1"/>
  <c r="E167" i="4"/>
  <c r="F166" i="4" s="1"/>
  <c r="G165" i="4" s="1"/>
  <c r="D206" i="3"/>
  <c r="E204" i="3"/>
  <c r="F203" i="3" s="1"/>
  <c r="G202" i="3" s="1"/>
  <c r="E167" i="5"/>
  <c r="F166" i="5" s="1"/>
  <c r="G165" i="5" s="1"/>
  <c r="D169" i="5"/>
  <c r="U167" i="1"/>
  <c r="R168" i="1"/>
  <c r="X167" i="1"/>
  <c r="T167" i="1"/>
  <c r="Q168" i="1"/>
  <c r="W167" i="1"/>
  <c r="D170" i="4" l="1"/>
  <c r="E168" i="4"/>
  <c r="F167" i="4" s="1"/>
  <c r="G166" i="4" s="1"/>
  <c r="D207" i="3"/>
  <c r="E205" i="3"/>
  <c r="F204" i="3" s="1"/>
  <c r="G203" i="3" s="1"/>
  <c r="E168" i="5"/>
  <c r="F167" i="5" s="1"/>
  <c r="G166" i="5" s="1"/>
  <c r="D170" i="5"/>
  <c r="X168" i="1"/>
  <c r="U168" i="1"/>
  <c r="R169" i="1"/>
  <c r="W168" i="1"/>
  <c r="T168" i="1"/>
  <c r="Q169" i="1"/>
  <c r="D171" i="4" l="1"/>
  <c r="E169" i="4"/>
  <c r="F168" i="4" s="1"/>
  <c r="G167" i="4" s="1"/>
  <c r="D208" i="3"/>
  <c r="E206" i="3"/>
  <c r="F205" i="3" s="1"/>
  <c r="G204" i="3" s="1"/>
  <c r="E169" i="5"/>
  <c r="F168" i="5" s="1"/>
  <c r="G167" i="5" s="1"/>
  <c r="D171" i="5"/>
  <c r="U169" i="1"/>
  <c r="R170" i="1"/>
  <c r="X169" i="1"/>
  <c r="T169" i="1"/>
  <c r="Q170" i="1"/>
  <c r="W169" i="1"/>
  <c r="D172" i="4" l="1"/>
  <c r="E170" i="4"/>
  <c r="F169" i="4" s="1"/>
  <c r="G168" i="4" s="1"/>
  <c r="D209" i="3"/>
  <c r="E207" i="3"/>
  <c r="F206" i="3" s="1"/>
  <c r="G205" i="3" s="1"/>
  <c r="E170" i="5"/>
  <c r="F169" i="5" s="1"/>
  <c r="G168" i="5" s="1"/>
  <c r="D172" i="5"/>
  <c r="X170" i="1"/>
  <c r="U170" i="1"/>
  <c r="R171" i="1"/>
  <c r="W170" i="1"/>
  <c r="T170" i="1"/>
  <c r="Q171" i="1"/>
  <c r="D173" i="4" l="1"/>
  <c r="E171" i="4"/>
  <c r="F170" i="4" s="1"/>
  <c r="G169" i="4" s="1"/>
  <c r="D210" i="3"/>
  <c r="E208" i="3"/>
  <c r="F207" i="3" s="1"/>
  <c r="G206" i="3" s="1"/>
  <c r="E171" i="5"/>
  <c r="F170" i="5" s="1"/>
  <c r="G169" i="5" s="1"/>
  <c r="D173" i="5"/>
  <c r="U171" i="1"/>
  <c r="R172" i="1"/>
  <c r="X171" i="1"/>
  <c r="T171" i="1"/>
  <c r="Q172" i="1"/>
  <c r="W171" i="1"/>
  <c r="D174" i="4" l="1"/>
  <c r="E172" i="4"/>
  <c r="F171" i="4" s="1"/>
  <c r="G170" i="4" s="1"/>
  <c r="D211" i="3"/>
  <c r="E210" i="3" s="1"/>
  <c r="E209" i="3"/>
  <c r="F208" i="3" s="1"/>
  <c r="G207" i="3" s="1"/>
  <c r="E172" i="5"/>
  <c r="F171" i="5" s="1"/>
  <c r="G170" i="5" s="1"/>
  <c r="D174" i="5"/>
  <c r="X172" i="1"/>
  <c r="U172" i="1"/>
  <c r="R173" i="1"/>
  <c r="W172" i="1"/>
  <c r="T172" i="1"/>
  <c r="Q173" i="1"/>
  <c r="D175" i="4" l="1"/>
  <c r="E173" i="4"/>
  <c r="F172" i="4" s="1"/>
  <c r="G171" i="4" s="1"/>
  <c r="F209" i="3"/>
  <c r="G208" i="3" s="1"/>
  <c r="F210" i="3"/>
  <c r="E173" i="5"/>
  <c r="F172" i="5" s="1"/>
  <c r="G171" i="5" s="1"/>
  <c r="D175" i="5"/>
  <c r="T173" i="1"/>
  <c r="Q174" i="1"/>
  <c r="W173" i="1"/>
  <c r="U173" i="1"/>
  <c r="R174" i="1"/>
  <c r="X173" i="1"/>
  <c r="D176" i="4" l="1"/>
  <c r="E174" i="4"/>
  <c r="F173" i="4" s="1"/>
  <c r="G172" i="4" s="1"/>
  <c r="G209" i="3"/>
  <c r="G210" i="3"/>
  <c r="E174" i="5"/>
  <c r="F173" i="5" s="1"/>
  <c r="G172" i="5" s="1"/>
  <c r="D176" i="5"/>
  <c r="W174" i="1"/>
  <c r="T174" i="1"/>
  <c r="Q175" i="1"/>
  <c r="X174" i="1"/>
  <c r="U174" i="1"/>
  <c r="R175" i="1"/>
  <c r="D177" i="4" l="1"/>
  <c r="E175" i="4"/>
  <c r="F174" i="4" s="1"/>
  <c r="G173" i="4" s="1"/>
  <c r="E175" i="5"/>
  <c r="F174" i="5" s="1"/>
  <c r="G173" i="5" s="1"/>
  <c r="D177" i="5"/>
  <c r="T175" i="1"/>
  <c r="Q176" i="1"/>
  <c r="W175" i="1"/>
  <c r="U175" i="1"/>
  <c r="R176" i="1"/>
  <c r="X175" i="1"/>
  <c r="D178" i="4" l="1"/>
  <c r="E176" i="4"/>
  <c r="F175" i="4" s="1"/>
  <c r="G174" i="4" s="1"/>
  <c r="E176" i="5"/>
  <c r="F175" i="5" s="1"/>
  <c r="G174" i="5" s="1"/>
  <c r="D178" i="5"/>
  <c r="W176" i="1"/>
  <c r="T176" i="1"/>
  <c r="Q177" i="1"/>
  <c r="X176" i="1"/>
  <c r="U176" i="1"/>
  <c r="R177" i="1"/>
  <c r="D179" i="4" l="1"/>
  <c r="E177" i="4"/>
  <c r="F176" i="4" s="1"/>
  <c r="G175" i="4" s="1"/>
  <c r="E177" i="5"/>
  <c r="F176" i="5" s="1"/>
  <c r="G175" i="5" s="1"/>
  <c r="D179" i="5"/>
  <c r="T177" i="1"/>
  <c r="Q178" i="1"/>
  <c r="W177" i="1"/>
  <c r="U177" i="1"/>
  <c r="R178" i="1"/>
  <c r="X177" i="1"/>
  <c r="D180" i="4" l="1"/>
  <c r="E178" i="4"/>
  <c r="F177" i="4" s="1"/>
  <c r="G176" i="4" s="1"/>
  <c r="E178" i="5"/>
  <c r="F177" i="5" s="1"/>
  <c r="G176" i="5" s="1"/>
  <c r="D180" i="5"/>
  <c r="W178" i="1"/>
  <c r="T178" i="1"/>
  <c r="Q179" i="1"/>
  <c r="X178" i="1"/>
  <c r="U178" i="1"/>
  <c r="R179" i="1"/>
  <c r="D181" i="4" l="1"/>
  <c r="E179" i="4"/>
  <c r="F178" i="4" s="1"/>
  <c r="G177" i="4" s="1"/>
  <c r="E179" i="5"/>
  <c r="F178" i="5" s="1"/>
  <c r="G177" i="5" s="1"/>
  <c r="D181" i="5"/>
  <c r="T179" i="1"/>
  <c r="Q180" i="1"/>
  <c r="W179" i="1"/>
  <c r="U179" i="1"/>
  <c r="R180" i="1"/>
  <c r="X179" i="1"/>
  <c r="E180" i="4" l="1"/>
  <c r="F179" i="4" s="1"/>
  <c r="G178" i="4" s="1"/>
  <c r="D182" i="4"/>
  <c r="E180" i="5"/>
  <c r="F179" i="5" s="1"/>
  <c r="G178" i="5" s="1"/>
  <c r="D182" i="5"/>
  <c r="W180" i="1"/>
  <c r="T180" i="1"/>
  <c r="Q181" i="1"/>
  <c r="X180" i="1"/>
  <c r="U180" i="1"/>
  <c r="R181" i="1"/>
  <c r="D183" i="4" l="1"/>
  <c r="E181" i="4"/>
  <c r="F180" i="4" s="1"/>
  <c r="G179" i="4" s="1"/>
  <c r="E181" i="5"/>
  <c r="F180" i="5" s="1"/>
  <c r="G179" i="5" s="1"/>
  <c r="D183" i="5"/>
  <c r="T181" i="1"/>
  <c r="Q182" i="1"/>
  <c r="W181" i="1"/>
  <c r="U181" i="1"/>
  <c r="R182" i="1"/>
  <c r="X181" i="1"/>
  <c r="E182" i="4" l="1"/>
  <c r="F181" i="4" s="1"/>
  <c r="G180" i="4" s="1"/>
  <c r="D184" i="4"/>
  <c r="E182" i="5"/>
  <c r="F181" i="5" s="1"/>
  <c r="G180" i="5" s="1"/>
  <c r="D184" i="5"/>
  <c r="W182" i="1"/>
  <c r="T182" i="1"/>
  <c r="Q183" i="1"/>
  <c r="X182" i="1"/>
  <c r="U182" i="1"/>
  <c r="R183" i="1"/>
  <c r="D185" i="4" l="1"/>
  <c r="E183" i="4"/>
  <c r="F182" i="4" s="1"/>
  <c r="G181" i="4" s="1"/>
  <c r="E183" i="5"/>
  <c r="F182" i="5" s="1"/>
  <c r="G181" i="5" s="1"/>
  <c r="D185" i="5"/>
  <c r="T183" i="1"/>
  <c r="Q184" i="1"/>
  <c r="W183" i="1"/>
  <c r="U183" i="1"/>
  <c r="R184" i="1"/>
  <c r="X183" i="1"/>
  <c r="E184" i="4" l="1"/>
  <c r="F183" i="4" s="1"/>
  <c r="G182" i="4" s="1"/>
  <c r="D186" i="4"/>
  <c r="E184" i="5"/>
  <c r="F183" i="5" s="1"/>
  <c r="G182" i="5" s="1"/>
  <c r="D186" i="5"/>
  <c r="W184" i="1"/>
  <c r="T184" i="1"/>
  <c r="Q185" i="1"/>
  <c r="X184" i="1"/>
  <c r="U184" i="1"/>
  <c r="R185" i="1"/>
  <c r="D187" i="4" l="1"/>
  <c r="E185" i="4"/>
  <c r="F184" i="4" s="1"/>
  <c r="G183" i="4" s="1"/>
  <c r="E185" i="5"/>
  <c r="F184" i="5" s="1"/>
  <c r="G183" i="5" s="1"/>
  <c r="D187" i="5"/>
  <c r="T185" i="1"/>
  <c r="Q186" i="1"/>
  <c r="W185" i="1"/>
  <c r="U185" i="1"/>
  <c r="R186" i="1"/>
  <c r="X185" i="1"/>
  <c r="E186" i="4" l="1"/>
  <c r="F185" i="4" s="1"/>
  <c r="G184" i="4" s="1"/>
  <c r="D188" i="4"/>
  <c r="E186" i="5"/>
  <c r="F185" i="5" s="1"/>
  <c r="G184" i="5" s="1"/>
  <c r="D188" i="5"/>
  <c r="W186" i="1"/>
  <c r="T186" i="1"/>
  <c r="Q187" i="1"/>
  <c r="X186" i="1"/>
  <c r="U186" i="1"/>
  <c r="R187" i="1"/>
  <c r="D189" i="4" l="1"/>
  <c r="E187" i="4"/>
  <c r="F186" i="4" s="1"/>
  <c r="G185" i="4" s="1"/>
  <c r="E187" i="5"/>
  <c r="F186" i="5" s="1"/>
  <c r="G185" i="5" s="1"/>
  <c r="D189" i="5"/>
  <c r="T187" i="1"/>
  <c r="W187" i="1"/>
  <c r="Q188" i="1"/>
  <c r="X187" i="1"/>
  <c r="R188" i="1"/>
  <c r="U187" i="1"/>
  <c r="D190" i="4" l="1"/>
  <c r="E188" i="4"/>
  <c r="F187" i="4" s="1"/>
  <c r="G186" i="4" s="1"/>
  <c r="E188" i="5"/>
  <c r="F187" i="5" s="1"/>
  <c r="G186" i="5" s="1"/>
  <c r="D190" i="5"/>
  <c r="T188" i="1"/>
  <c r="Q189" i="1"/>
  <c r="W188" i="1"/>
  <c r="U188" i="1"/>
  <c r="R189" i="1"/>
  <c r="X188" i="1"/>
  <c r="D191" i="4" l="1"/>
  <c r="E189" i="4"/>
  <c r="F188" i="4" s="1"/>
  <c r="G187" i="4" s="1"/>
  <c r="E189" i="5"/>
  <c r="F188" i="5" s="1"/>
  <c r="G187" i="5" s="1"/>
  <c r="D191" i="5"/>
  <c r="W189" i="1"/>
  <c r="T189" i="1"/>
  <c r="Q190" i="1"/>
  <c r="X189" i="1"/>
  <c r="U189" i="1"/>
  <c r="R190" i="1"/>
  <c r="D192" i="4" l="1"/>
  <c r="E190" i="4"/>
  <c r="F189" i="4" s="1"/>
  <c r="G188" i="4" s="1"/>
  <c r="E190" i="5"/>
  <c r="F189" i="5" s="1"/>
  <c r="G188" i="5" s="1"/>
  <c r="D192" i="5"/>
  <c r="T190" i="1"/>
  <c r="Q191" i="1"/>
  <c r="W190" i="1"/>
  <c r="U190" i="1"/>
  <c r="R191" i="1"/>
  <c r="X190" i="1"/>
  <c r="D193" i="4" l="1"/>
  <c r="E191" i="4"/>
  <c r="F190" i="4" s="1"/>
  <c r="G189" i="4" s="1"/>
  <c r="E191" i="5"/>
  <c r="F190" i="5" s="1"/>
  <c r="G189" i="5" s="1"/>
  <c r="D193" i="5"/>
  <c r="W191" i="1"/>
  <c r="Q192" i="1"/>
  <c r="T191" i="1"/>
  <c r="X191" i="1"/>
  <c r="R192" i="1"/>
  <c r="U191" i="1"/>
  <c r="D194" i="4" l="1"/>
  <c r="E192" i="4"/>
  <c r="F191" i="4" s="1"/>
  <c r="G190" i="4" s="1"/>
  <c r="E192" i="5"/>
  <c r="F191" i="5" s="1"/>
  <c r="G190" i="5" s="1"/>
  <c r="D194" i="5"/>
  <c r="U192" i="1"/>
  <c r="R193" i="1"/>
  <c r="X192" i="1"/>
  <c r="T192" i="1"/>
  <c r="Q193" i="1"/>
  <c r="W192" i="1"/>
  <c r="D195" i="4" l="1"/>
  <c r="E193" i="4"/>
  <c r="F192" i="4" s="1"/>
  <c r="G191" i="4" s="1"/>
  <c r="E193" i="5"/>
  <c r="F192" i="5" s="1"/>
  <c r="G191" i="5" s="1"/>
  <c r="D195" i="5"/>
  <c r="X193" i="1"/>
  <c r="U193" i="1"/>
  <c r="R194" i="1"/>
  <c r="W193" i="1"/>
  <c r="T193" i="1"/>
  <c r="Q194" i="1"/>
  <c r="D196" i="4" l="1"/>
  <c r="E194" i="4"/>
  <c r="F193" i="4" s="1"/>
  <c r="G192" i="4" s="1"/>
  <c r="E194" i="5"/>
  <c r="F193" i="5" s="1"/>
  <c r="G192" i="5" s="1"/>
  <c r="D196" i="5"/>
  <c r="U194" i="1"/>
  <c r="R195" i="1"/>
  <c r="X194" i="1"/>
  <c r="T194" i="1"/>
  <c r="Q195" i="1"/>
  <c r="W194" i="1"/>
  <c r="D197" i="4" l="1"/>
  <c r="E195" i="4"/>
  <c r="F194" i="4" s="1"/>
  <c r="G193" i="4" s="1"/>
  <c r="E195" i="5"/>
  <c r="F194" i="5" s="1"/>
  <c r="G193" i="5" s="1"/>
  <c r="D197" i="5"/>
  <c r="X195" i="1"/>
  <c r="R196" i="1"/>
  <c r="U195" i="1"/>
  <c r="W195" i="1"/>
  <c r="Q196" i="1"/>
  <c r="T195" i="1"/>
  <c r="D198" i="4" l="1"/>
  <c r="E196" i="4"/>
  <c r="F195" i="4" s="1"/>
  <c r="G194" i="4" s="1"/>
  <c r="E196" i="5"/>
  <c r="F195" i="5" s="1"/>
  <c r="G194" i="5" s="1"/>
  <c r="D198" i="5"/>
  <c r="U196" i="1"/>
  <c r="R197" i="1"/>
  <c r="X196" i="1"/>
  <c r="T196" i="1"/>
  <c r="Q197" i="1"/>
  <c r="W196" i="1"/>
  <c r="D199" i="4" l="1"/>
  <c r="E197" i="4"/>
  <c r="F196" i="4" s="1"/>
  <c r="G195" i="4" s="1"/>
  <c r="E197" i="5"/>
  <c r="F196" i="5" s="1"/>
  <c r="G195" i="5" s="1"/>
  <c r="D199" i="5"/>
  <c r="X197" i="1"/>
  <c r="U197" i="1"/>
  <c r="R198" i="1"/>
  <c r="W197" i="1"/>
  <c r="T197" i="1"/>
  <c r="Q198" i="1"/>
  <c r="D200" i="4" l="1"/>
  <c r="E198" i="4"/>
  <c r="F197" i="4" s="1"/>
  <c r="G196" i="4" s="1"/>
  <c r="E198" i="5"/>
  <c r="F197" i="5" s="1"/>
  <c r="G196" i="5" s="1"/>
  <c r="D200" i="5"/>
  <c r="U198" i="1"/>
  <c r="X198" i="1"/>
  <c r="R199" i="1"/>
  <c r="T198" i="1"/>
  <c r="W198" i="1"/>
  <c r="Q199" i="1"/>
  <c r="D201" i="4" l="1"/>
  <c r="E199" i="4"/>
  <c r="F198" i="4" s="1"/>
  <c r="G197" i="4" s="1"/>
  <c r="E199" i="5"/>
  <c r="F198" i="5" s="1"/>
  <c r="G197" i="5" s="1"/>
  <c r="D201" i="5"/>
  <c r="U199" i="1"/>
  <c r="R200" i="1"/>
  <c r="X199" i="1"/>
  <c r="T199" i="1"/>
  <c r="Q200" i="1"/>
  <c r="W199" i="1"/>
  <c r="D202" i="4" l="1"/>
  <c r="E200" i="4"/>
  <c r="F199" i="4" s="1"/>
  <c r="G198" i="4" s="1"/>
  <c r="E200" i="5"/>
  <c r="F199" i="5" s="1"/>
  <c r="G198" i="5" s="1"/>
  <c r="D202" i="5"/>
  <c r="X200" i="1"/>
  <c r="U200" i="1"/>
  <c r="R201" i="1"/>
  <c r="W200" i="1"/>
  <c r="T200" i="1"/>
  <c r="Q201" i="1"/>
  <c r="D203" i="4" l="1"/>
  <c r="E201" i="4"/>
  <c r="F200" i="4" s="1"/>
  <c r="G199" i="4" s="1"/>
  <c r="E201" i="5"/>
  <c r="F200" i="5" s="1"/>
  <c r="G199" i="5" s="1"/>
  <c r="D203" i="5"/>
  <c r="U201" i="1"/>
  <c r="R202" i="1"/>
  <c r="X201" i="1"/>
  <c r="T201" i="1"/>
  <c r="Q202" i="1"/>
  <c r="W201" i="1"/>
  <c r="D204" i="4" l="1"/>
  <c r="E202" i="4"/>
  <c r="F201" i="4" s="1"/>
  <c r="G200" i="4" s="1"/>
  <c r="E202" i="5"/>
  <c r="F201" i="5" s="1"/>
  <c r="G200" i="5" s="1"/>
  <c r="D204" i="5"/>
  <c r="X202" i="1"/>
  <c r="U202" i="1"/>
  <c r="R203" i="1"/>
  <c r="W202" i="1"/>
  <c r="T202" i="1"/>
  <c r="Q203" i="1"/>
  <c r="D205" i="4" l="1"/>
  <c r="E203" i="4"/>
  <c r="F202" i="4" s="1"/>
  <c r="G201" i="4" s="1"/>
  <c r="E203" i="5"/>
  <c r="F202" i="5" s="1"/>
  <c r="G201" i="5" s="1"/>
  <c r="D205" i="5"/>
  <c r="U203" i="1"/>
  <c r="R204" i="1"/>
  <c r="X203" i="1"/>
  <c r="T203" i="1"/>
  <c r="Q204" i="1"/>
  <c r="W203" i="1"/>
  <c r="D206" i="4" l="1"/>
  <c r="E204" i="4"/>
  <c r="F203" i="4" s="1"/>
  <c r="G202" i="4" s="1"/>
  <c r="E204" i="5"/>
  <c r="F203" i="5" s="1"/>
  <c r="G202" i="5" s="1"/>
  <c r="D206" i="5"/>
  <c r="X204" i="1"/>
  <c r="U204" i="1"/>
  <c r="R205" i="1"/>
  <c r="W204" i="1"/>
  <c r="T204" i="1"/>
  <c r="Q205" i="1"/>
  <c r="D207" i="4" l="1"/>
  <c r="E205" i="4"/>
  <c r="F204" i="4" s="1"/>
  <c r="G203" i="4" s="1"/>
  <c r="E205" i="5"/>
  <c r="F204" i="5" s="1"/>
  <c r="G203" i="5" s="1"/>
  <c r="D207" i="5"/>
  <c r="U205" i="1"/>
  <c r="R206" i="1"/>
  <c r="X205" i="1"/>
  <c r="T205" i="1"/>
  <c r="Q206" i="1"/>
  <c r="W205" i="1"/>
  <c r="D208" i="4" l="1"/>
  <c r="E206" i="4"/>
  <c r="F205" i="4" s="1"/>
  <c r="G204" i="4" s="1"/>
  <c r="E206" i="5"/>
  <c r="F205" i="5" s="1"/>
  <c r="G204" i="5" s="1"/>
  <c r="D208" i="5"/>
  <c r="X206" i="1"/>
  <c r="R207" i="1"/>
  <c r="U206" i="1"/>
  <c r="W206" i="1"/>
  <c r="T206" i="1"/>
  <c r="Q207" i="1"/>
  <c r="D209" i="4" l="1"/>
  <c r="E207" i="4"/>
  <c r="F206" i="4" s="1"/>
  <c r="G205" i="4" s="1"/>
  <c r="E207" i="5"/>
  <c r="F206" i="5" s="1"/>
  <c r="G205" i="5" s="1"/>
  <c r="D209" i="5"/>
  <c r="X207" i="1"/>
  <c r="U207" i="1"/>
  <c r="R208" i="1"/>
  <c r="T207" i="1"/>
  <c r="Q208" i="1"/>
  <c r="W207" i="1"/>
  <c r="D210" i="4" l="1"/>
  <c r="E208" i="4"/>
  <c r="F207" i="4" s="1"/>
  <c r="G206" i="4" s="1"/>
  <c r="E208" i="5"/>
  <c r="F207" i="5" s="1"/>
  <c r="G206" i="5" s="1"/>
  <c r="D210" i="5"/>
  <c r="U208" i="1"/>
  <c r="R209" i="1"/>
  <c r="X208" i="1"/>
  <c r="W208" i="1"/>
  <c r="T208" i="1"/>
  <c r="Q209" i="1"/>
  <c r="D211" i="4" l="1"/>
  <c r="E210" i="4" s="1"/>
  <c r="E209" i="4"/>
  <c r="F208" i="4" s="1"/>
  <c r="G207" i="4" s="1"/>
  <c r="E209" i="5"/>
  <c r="F208" i="5" s="1"/>
  <c r="G207" i="5" s="1"/>
  <c r="D211" i="5"/>
  <c r="E210" i="5" s="1"/>
  <c r="X209" i="1"/>
  <c r="U209" i="1"/>
  <c r="R210" i="1"/>
  <c r="T209" i="1"/>
  <c r="Q210" i="1"/>
  <c r="W209" i="1"/>
  <c r="F209" i="4" l="1"/>
  <c r="G208" i="4" s="1"/>
  <c r="F210" i="4"/>
  <c r="F209" i="5"/>
  <c r="G208" i="5" s="1"/>
  <c r="F210" i="5"/>
  <c r="U210" i="1"/>
  <c r="R211" i="1"/>
  <c r="X210" i="1"/>
  <c r="W210" i="1"/>
  <c r="T210" i="1"/>
  <c r="Q211" i="1"/>
  <c r="G209" i="4" l="1"/>
  <c r="G210" i="4"/>
  <c r="G209" i="5"/>
  <c r="G210" i="5"/>
  <c r="T211" i="1"/>
  <c r="W211" i="1"/>
  <c r="X211" i="1"/>
  <c r="U211" i="1"/>
  <c r="C7" i="1" l="1"/>
  <c r="C8" i="1" l="1"/>
</calcChain>
</file>

<file path=xl/comments1.xml><?xml version="1.0" encoding="utf-8"?>
<comments xmlns="http://schemas.openxmlformats.org/spreadsheetml/2006/main">
  <authors>
    <author>Team294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radians</t>
        </r>
      </text>
    </comment>
  </commentList>
</comments>
</file>

<file path=xl/sharedStrings.xml><?xml version="1.0" encoding="utf-8"?>
<sst xmlns="http://schemas.openxmlformats.org/spreadsheetml/2006/main" count="68" uniqueCount="40">
  <si>
    <t>dt</t>
  </si>
  <si>
    <t>x</t>
  </si>
  <si>
    <t>y</t>
  </si>
  <si>
    <t>position</t>
  </si>
  <si>
    <t>velocity</t>
  </si>
  <si>
    <t>acceleration</t>
  </si>
  <si>
    <t>jerk</t>
  </si>
  <si>
    <t>heading</t>
  </si>
  <si>
    <t>x-orig</t>
  </si>
  <si>
    <t>y-orig</t>
  </si>
  <si>
    <t>x-center</t>
  </si>
  <si>
    <t>y-center</t>
  </si>
  <si>
    <t>Filename</t>
  </si>
  <si>
    <t>Wheelbase</t>
  </si>
  <si>
    <t>x-left</t>
  </si>
  <si>
    <t>y-left</t>
  </si>
  <si>
    <t>x-right</t>
  </si>
  <si>
    <t>y-right</t>
  </si>
  <si>
    <t>Max Left Velocity</t>
  </si>
  <si>
    <t>Max Right Velocity</t>
  </si>
  <si>
    <t>Algorithm:</t>
  </si>
  <si>
    <t>2.  Original center path is in Main!L:N (shown on plot as "Original").</t>
  </si>
  <si>
    <t xml:space="preserve">      heading from the Center tab.  Show on plot as "Center".</t>
  </si>
  <si>
    <t>3.  Re-calculate center path in Main!P:Q by integrating the position and</t>
  </si>
  <si>
    <t>4.  Calculate Left and Right paths in Main!S:T and V:W by offsetting</t>
  </si>
  <si>
    <t xml:space="preserve">      1/2 of the wheelbase +/-90 degrees to the heading.  Show on plot.</t>
  </si>
  <si>
    <t>1.  Copy center CSV path file to Original tab.</t>
  </si>
  <si>
    <t xml:space="preserve">     position, velocity, acceleration, and jerk on each tab.</t>
  </si>
  <si>
    <t>5.  Copy center/left/right paths to Center/Left/Right tabs.  Calculate</t>
  </si>
  <si>
    <t>6.  Save left/right/center tabs to CSV files (swap L/R file names to match bug in PathWeaver).</t>
  </si>
  <si>
    <t>left distance</t>
  </si>
  <si>
    <t>right distance</t>
  </si>
  <si>
    <t>center distance</t>
  </si>
  <si>
    <t>left vel</t>
  </si>
  <si>
    <t>right vel</t>
  </si>
  <si>
    <t>x-log</t>
  </si>
  <si>
    <t>y-log</t>
  </si>
  <si>
    <t>Calc-Distance</t>
  </si>
  <si>
    <t>Skid factor</t>
  </si>
  <si>
    <t>C:\Users\Team294\Desktop\Pathweaver\4 - Curve tests\LeftCurve.pf1.csv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</si>
</sst>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9" fillId="5" borderId="4" xfId="9"/>
    <xf numFmtId="164" fontId="0" fillId="0" borderId="0" xfId="0" applyNumberFormat="1"/>
    <xf numFmtId="0" fontId="21" fillId="0" borderId="0" xfId="0" applyFont="1"/>
    <xf numFmtId="0" fontId="16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61131932744208E-2"/>
          <c:y val="0.1296951258673838"/>
          <c:w val="0.75129678659163235"/>
          <c:h val="0.84459643361177095"/>
        </c:manualLayout>
      </c:layout>
      <c:scatterChart>
        <c:scatterStyle val="lineMarker"/>
        <c:varyColors val="0"/>
        <c:ser>
          <c:idx val="1"/>
          <c:order val="0"/>
          <c:tx>
            <c:v>Original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Main!$L$2:$L$211</c:f>
              <c:numCache>
                <c:formatCode>General</c:formatCode>
                <c:ptCount val="2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1.3573999999999999E-2</c:v>
                </c:pt>
                <c:pt idx="8">
                  <c:v>0.107691</c:v>
                </c:pt>
                <c:pt idx="9">
                  <c:v>0.22680900000000001</c:v>
                </c:pt>
                <c:pt idx="10">
                  <c:v>0.37386900000000001</c:v>
                </c:pt>
                <c:pt idx="11">
                  <c:v>0.55180899999999999</c:v>
                </c:pt>
                <c:pt idx="12">
                  <c:v>0.763575</c:v>
                </c:pt>
                <c:pt idx="13">
                  <c:v>1.012103</c:v>
                </c:pt>
                <c:pt idx="14">
                  <c:v>1.3003389999999999</c:v>
                </c:pt>
                <c:pt idx="15">
                  <c:v>1.631221</c:v>
                </c:pt>
                <c:pt idx="16">
                  <c:v>2.007692</c:v>
                </c:pt>
                <c:pt idx="17">
                  <c:v>2.4326919999999999</c:v>
                </c:pt>
                <c:pt idx="18">
                  <c:v>2.9076919999999999</c:v>
                </c:pt>
                <c:pt idx="19">
                  <c:v>3.4326919999999999</c:v>
                </c:pt>
                <c:pt idx="20">
                  <c:v>4.0076919999999996</c:v>
                </c:pt>
                <c:pt idx="21">
                  <c:v>4.6326919999999996</c:v>
                </c:pt>
                <c:pt idx="22">
                  <c:v>5.3076920000000003</c:v>
                </c:pt>
                <c:pt idx="23">
                  <c:v>6.0312210000000004</c:v>
                </c:pt>
                <c:pt idx="24">
                  <c:v>6.8003390000000001</c:v>
                </c:pt>
                <c:pt idx="25">
                  <c:v>7.6121030000000003</c:v>
                </c:pt>
                <c:pt idx="26">
                  <c:v>8.4635730000000002</c:v>
                </c:pt>
                <c:pt idx="27">
                  <c:v>9.3518100000000004</c:v>
                </c:pt>
                <c:pt idx="28">
                  <c:v>10.273868999999999</c:v>
                </c:pt>
                <c:pt idx="29">
                  <c:v>11.22681</c:v>
                </c:pt>
                <c:pt idx="30">
                  <c:v>12.207693000000001</c:v>
                </c:pt>
                <c:pt idx="31">
                  <c:v>13.213573999999999</c:v>
                </c:pt>
                <c:pt idx="32">
                  <c:v>14.241512</c:v>
                </c:pt>
                <c:pt idx="33">
                  <c:v>15.288569000000001</c:v>
                </c:pt>
                <c:pt idx="34">
                  <c:v>16.351796</c:v>
                </c:pt>
                <c:pt idx="35">
                  <c:v>17.428256999999999</c:v>
                </c:pt>
                <c:pt idx="36">
                  <c:v>18.515004000000001</c:v>
                </c:pt>
                <c:pt idx="37">
                  <c:v>19.609092</c:v>
                </c:pt>
                <c:pt idx="38">
                  <c:v>20.707585000000002</c:v>
                </c:pt>
                <c:pt idx="39">
                  <c:v>21.807534</c:v>
                </c:pt>
                <c:pt idx="40">
                  <c:v>22.907463</c:v>
                </c:pt>
                <c:pt idx="41">
                  <c:v>24.007366999999999</c:v>
                </c:pt>
                <c:pt idx="42">
                  <c:v>25.107247999999998</c:v>
                </c:pt>
                <c:pt idx="43">
                  <c:v>26.207097999999998</c:v>
                </c:pt>
                <c:pt idx="44">
                  <c:v>27.306906999999999</c:v>
                </c:pt>
                <c:pt idx="45">
                  <c:v>28.406669000000001</c:v>
                </c:pt>
                <c:pt idx="46">
                  <c:v>29.506374999999998</c:v>
                </c:pt>
                <c:pt idx="47">
                  <c:v>30.606024000000001</c:v>
                </c:pt>
                <c:pt idx="48">
                  <c:v>31.705601999999999</c:v>
                </c:pt>
                <c:pt idx="49">
                  <c:v>32.805097000000004</c:v>
                </c:pt>
                <c:pt idx="50">
                  <c:v>33.904496000000002</c:v>
                </c:pt>
                <c:pt idx="51">
                  <c:v>35.003787000000003</c:v>
                </c:pt>
                <c:pt idx="52">
                  <c:v>36.102955999999999</c:v>
                </c:pt>
                <c:pt idx="53">
                  <c:v>37.201988</c:v>
                </c:pt>
                <c:pt idx="54">
                  <c:v>38.300871999999998</c:v>
                </c:pt>
                <c:pt idx="55">
                  <c:v>39.399583999999997</c:v>
                </c:pt>
                <c:pt idx="56">
                  <c:v>40.498103999999998</c:v>
                </c:pt>
                <c:pt idx="57">
                  <c:v>41.596409999999999</c:v>
                </c:pt>
                <c:pt idx="58">
                  <c:v>42.694479000000001</c:v>
                </c:pt>
                <c:pt idx="59">
                  <c:v>43.792285999999997</c:v>
                </c:pt>
                <c:pt idx="60">
                  <c:v>44.889803000000001</c:v>
                </c:pt>
                <c:pt idx="61">
                  <c:v>45.987000999999999</c:v>
                </c:pt>
                <c:pt idx="62">
                  <c:v>47.083848000000003</c:v>
                </c:pt>
                <c:pt idx="63">
                  <c:v>48.180309999999999</c:v>
                </c:pt>
                <c:pt idx="64">
                  <c:v>49.276350000000001</c:v>
                </c:pt>
                <c:pt idx="65">
                  <c:v>50.371926999999999</c:v>
                </c:pt>
                <c:pt idx="66">
                  <c:v>51.466999000000001</c:v>
                </c:pt>
                <c:pt idx="67">
                  <c:v>52.561520000000002</c:v>
                </c:pt>
                <c:pt idx="68">
                  <c:v>53.655439999999999</c:v>
                </c:pt>
                <c:pt idx="69">
                  <c:v>54.748705999999999</c:v>
                </c:pt>
                <c:pt idx="70">
                  <c:v>55.841273999999999</c:v>
                </c:pt>
                <c:pt idx="71">
                  <c:v>56.933072000000003</c:v>
                </c:pt>
                <c:pt idx="72">
                  <c:v>58.024034999999998</c:v>
                </c:pt>
                <c:pt idx="73">
                  <c:v>59.114091999999999</c:v>
                </c:pt>
                <c:pt idx="74">
                  <c:v>60.203170999999998</c:v>
                </c:pt>
                <c:pt idx="75">
                  <c:v>61.291201999999998</c:v>
                </c:pt>
                <c:pt idx="76">
                  <c:v>62.378100000000003</c:v>
                </c:pt>
                <c:pt idx="77">
                  <c:v>63.463766</c:v>
                </c:pt>
                <c:pt idx="78">
                  <c:v>64.548101000000003</c:v>
                </c:pt>
                <c:pt idx="79">
                  <c:v>65.631033000000002</c:v>
                </c:pt>
                <c:pt idx="80">
                  <c:v>66.712425999999994</c:v>
                </c:pt>
                <c:pt idx="81">
                  <c:v>67.792164999999997</c:v>
                </c:pt>
                <c:pt idx="82">
                  <c:v>68.870157000000006</c:v>
                </c:pt>
                <c:pt idx="83">
                  <c:v>69.946239000000006</c:v>
                </c:pt>
                <c:pt idx="84">
                  <c:v>71.020296999999999</c:v>
                </c:pt>
                <c:pt idx="85">
                  <c:v>72.092174999999997</c:v>
                </c:pt>
                <c:pt idx="86">
                  <c:v>73.161721999999997</c:v>
                </c:pt>
                <c:pt idx="87">
                  <c:v>74.228776999999994</c:v>
                </c:pt>
                <c:pt idx="88">
                  <c:v>75.293165000000002</c:v>
                </c:pt>
                <c:pt idx="89">
                  <c:v>76.354702000000003</c:v>
                </c:pt>
                <c:pt idx="90">
                  <c:v>77.413207</c:v>
                </c:pt>
                <c:pt idx="91">
                  <c:v>78.468455000000006</c:v>
                </c:pt>
                <c:pt idx="92">
                  <c:v>79.520263999999997</c:v>
                </c:pt>
                <c:pt idx="93">
                  <c:v>80.568382999999997</c:v>
                </c:pt>
                <c:pt idx="94">
                  <c:v>81.612577999999999</c:v>
                </c:pt>
                <c:pt idx="95">
                  <c:v>82.652623000000006</c:v>
                </c:pt>
                <c:pt idx="96">
                  <c:v>83.688235000000006</c:v>
                </c:pt>
                <c:pt idx="97">
                  <c:v>84.719144999999997</c:v>
                </c:pt>
                <c:pt idx="98">
                  <c:v>85.745075999999997</c:v>
                </c:pt>
                <c:pt idx="99">
                  <c:v>86.765733999999995</c:v>
                </c:pt>
                <c:pt idx="100">
                  <c:v>87.780800999999997</c:v>
                </c:pt>
                <c:pt idx="101">
                  <c:v>88.789957000000001</c:v>
                </c:pt>
                <c:pt idx="102">
                  <c:v>89.792871000000005</c:v>
                </c:pt>
                <c:pt idx="103">
                  <c:v>90.789197999999999</c:v>
                </c:pt>
                <c:pt idx="104">
                  <c:v>91.778588999999997</c:v>
                </c:pt>
                <c:pt idx="105">
                  <c:v>92.760672</c:v>
                </c:pt>
                <c:pt idx="106">
                  <c:v>93.735069999999993</c:v>
                </c:pt>
                <c:pt idx="107">
                  <c:v>94.701397999999998</c:v>
                </c:pt>
                <c:pt idx="108">
                  <c:v>95.659265000000005</c:v>
                </c:pt>
                <c:pt idx="109">
                  <c:v>96.608269000000007</c:v>
                </c:pt>
                <c:pt idx="110">
                  <c:v>97.548006999999998</c:v>
                </c:pt>
                <c:pt idx="111">
                  <c:v>98.478066999999996</c:v>
                </c:pt>
                <c:pt idx="112">
                  <c:v>99.398038999999997</c:v>
                </c:pt>
                <c:pt idx="113">
                  <c:v>100.30750999999999</c:v>
                </c:pt>
                <c:pt idx="114">
                  <c:v>101.206068</c:v>
                </c:pt>
                <c:pt idx="115">
                  <c:v>102.09330300000001</c:v>
                </c:pt>
                <c:pt idx="116">
                  <c:v>102.968813</c:v>
                </c:pt>
                <c:pt idx="117">
                  <c:v>103.832201</c:v>
                </c:pt>
                <c:pt idx="118">
                  <c:v>104.68307900000001</c:v>
                </c:pt>
                <c:pt idx="119">
                  <c:v>105.521068</c:v>
                </c:pt>
                <c:pt idx="120">
                  <c:v>106.34580800000001</c:v>
                </c:pt>
                <c:pt idx="121">
                  <c:v>107.15695100000001</c:v>
                </c:pt>
                <c:pt idx="122">
                  <c:v>107.954168</c:v>
                </c:pt>
                <c:pt idx="123">
                  <c:v>108.737148</c:v>
                </c:pt>
                <c:pt idx="124">
                  <c:v>109.50560299999999</c:v>
                </c:pt>
                <c:pt idx="125">
                  <c:v>110.25926800000001</c:v>
                </c:pt>
                <c:pt idx="126">
                  <c:v>110.997891</c:v>
                </c:pt>
                <c:pt idx="127">
                  <c:v>111.721255</c:v>
                </c:pt>
                <c:pt idx="128">
                  <c:v>112.429177</c:v>
                </c:pt>
                <c:pt idx="129">
                  <c:v>113.121493</c:v>
                </c:pt>
                <c:pt idx="130">
                  <c:v>113.79803800000001</c:v>
                </c:pt>
                <c:pt idx="131">
                  <c:v>114.458731</c:v>
                </c:pt>
                <c:pt idx="132">
                  <c:v>115.10347299999999</c:v>
                </c:pt>
                <c:pt idx="133">
                  <c:v>115.732204</c:v>
                </c:pt>
                <c:pt idx="134">
                  <c:v>116.34490099999999</c:v>
                </c:pt>
                <c:pt idx="135">
                  <c:v>116.941547</c:v>
                </c:pt>
                <c:pt idx="136">
                  <c:v>117.522164</c:v>
                </c:pt>
                <c:pt idx="137">
                  <c:v>118.086808</c:v>
                </c:pt>
                <c:pt idx="138">
                  <c:v>118.63551200000001</c:v>
                </c:pt>
                <c:pt idx="139">
                  <c:v>119.168384</c:v>
                </c:pt>
                <c:pt idx="140">
                  <c:v>119.685529</c:v>
                </c:pt>
                <c:pt idx="141">
                  <c:v>120.18706899999999</c:v>
                </c:pt>
                <c:pt idx="142">
                  <c:v>120.673142</c:v>
                </c:pt>
                <c:pt idx="143">
                  <c:v>121.14390299999999</c:v>
                </c:pt>
                <c:pt idx="144">
                  <c:v>121.59952199999999</c:v>
                </c:pt>
                <c:pt idx="145">
                  <c:v>122.040182</c:v>
                </c:pt>
                <c:pt idx="146">
                  <c:v>122.466081</c:v>
                </c:pt>
                <c:pt idx="147">
                  <c:v>122.877424</c:v>
                </c:pt>
                <c:pt idx="148">
                  <c:v>123.274428</c:v>
                </c:pt>
                <c:pt idx="149">
                  <c:v>123.657308</c:v>
                </c:pt>
                <c:pt idx="150">
                  <c:v>124.026276</c:v>
                </c:pt>
                <c:pt idx="151">
                  <c:v>124.381593</c:v>
                </c:pt>
                <c:pt idx="152">
                  <c:v>124.72346899999999</c:v>
                </c:pt>
                <c:pt idx="153">
                  <c:v>125.052159</c:v>
                </c:pt>
                <c:pt idx="154">
                  <c:v>125.36789</c:v>
                </c:pt>
                <c:pt idx="155">
                  <c:v>125.67092700000001</c:v>
                </c:pt>
                <c:pt idx="156">
                  <c:v>125.961474</c:v>
                </c:pt>
                <c:pt idx="157">
                  <c:v>126.239806</c:v>
                </c:pt>
                <c:pt idx="158">
                  <c:v>126.506159</c:v>
                </c:pt>
                <c:pt idx="159">
                  <c:v>126.760769</c:v>
                </c:pt>
                <c:pt idx="160">
                  <c:v>127.00386399999999</c:v>
                </c:pt>
                <c:pt idx="161">
                  <c:v>127.235693</c:v>
                </c:pt>
                <c:pt idx="162">
                  <c:v>127.456487</c:v>
                </c:pt>
                <c:pt idx="163">
                  <c:v>127.666478</c:v>
                </c:pt>
                <c:pt idx="164">
                  <c:v>127.865892</c:v>
                </c:pt>
                <c:pt idx="165">
                  <c:v>128.05495400000001</c:v>
                </c:pt>
                <c:pt idx="166">
                  <c:v>128.233878</c:v>
                </c:pt>
                <c:pt idx="167">
                  <c:v>128.40288200000001</c:v>
                </c:pt>
                <c:pt idx="168">
                  <c:v>128.562186</c:v>
                </c:pt>
                <c:pt idx="169">
                  <c:v>128.711997</c:v>
                </c:pt>
                <c:pt idx="170">
                  <c:v>128.85233500000001</c:v>
                </c:pt>
                <c:pt idx="171">
                  <c:v>128.98310599999999</c:v>
                </c:pt>
                <c:pt idx="172">
                  <c:v>129.10429600000001</c:v>
                </c:pt>
                <c:pt idx="173">
                  <c:v>129.215957</c:v>
                </c:pt>
                <c:pt idx="174">
                  <c:v>129.31823600000001</c:v>
                </c:pt>
                <c:pt idx="175">
                  <c:v>129.41134099999999</c:v>
                </c:pt>
                <c:pt idx="176">
                  <c:v>129.49553499999999</c:v>
                </c:pt>
                <c:pt idx="177">
                  <c:v>129.57114300000001</c:v>
                </c:pt>
                <c:pt idx="178">
                  <c:v>129.638541</c:v>
                </c:pt>
                <c:pt idx="179">
                  <c:v>129.69814099999999</c:v>
                </c:pt>
                <c:pt idx="180">
                  <c:v>129.75040200000001</c:v>
                </c:pt>
                <c:pt idx="181">
                  <c:v>129.79579899999999</c:v>
                </c:pt>
                <c:pt idx="182">
                  <c:v>129.83484000000001</c:v>
                </c:pt>
                <c:pt idx="183">
                  <c:v>129.868042</c:v>
                </c:pt>
                <c:pt idx="184">
                  <c:v>129.895937</c:v>
                </c:pt>
                <c:pt idx="185">
                  <c:v>129.91905700000001</c:v>
                </c:pt>
                <c:pt idx="186">
                  <c:v>129.937939</c:v>
                </c:pt>
                <c:pt idx="187">
                  <c:v>129.95313300000001</c:v>
                </c:pt>
                <c:pt idx="188">
                  <c:v>129.965191</c:v>
                </c:pt>
                <c:pt idx="189">
                  <c:v>129.97461000000001</c:v>
                </c:pt>
                <c:pt idx="190">
                  <c:v>129.98183499999999</c:v>
                </c:pt>
                <c:pt idx="191">
                  <c:v>129.98726500000001</c:v>
                </c:pt>
                <c:pt idx="192">
                  <c:v>129.991263</c:v>
                </c:pt>
                <c:pt idx="193">
                  <c:v>129.99415200000001</c:v>
                </c:pt>
                <c:pt idx="194">
                  <c:v>129.996195</c:v>
                </c:pt>
                <c:pt idx="195">
                  <c:v>129.997604</c:v>
                </c:pt>
                <c:pt idx="196">
                  <c:v>129.998547</c:v>
                </c:pt>
                <c:pt idx="197">
                  <c:v>129.99915799999999</c:v>
                </c:pt>
                <c:pt idx="198">
                  <c:v>129.999538</c:v>
                </c:pt>
                <c:pt idx="199">
                  <c:v>129.999763</c:v>
                </c:pt>
                <c:pt idx="200">
                  <c:v>129.999888</c:v>
                </c:pt>
                <c:pt idx="201">
                  <c:v>129.99995200000001</c:v>
                </c:pt>
                <c:pt idx="202">
                  <c:v>129.99998199999999</c:v>
                </c:pt>
                <c:pt idx="203">
                  <c:v>129.99999500000001</c:v>
                </c:pt>
                <c:pt idx="204">
                  <c:v>129.999999</c:v>
                </c:pt>
                <c:pt idx="205">
                  <c:v>130</c:v>
                </c:pt>
                <c:pt idx="206">
                  <c:v>130</c:v>
                </c:pt>
                <c:pt idx="207">
                  <c:v>130</c:v>
                </c:pt>
                <c:pt idx="208">
                  <c:v>130</c:v>
                </c:pt>
                <c:pt idx="209">
                  <c:v>130</c:v>
                </c:pt>
              </c:numCache>
            </c:numRef>
          </c:xVal>
          <c:yVal>
            <c:numRef>
              <c:f>Main!$M$2:$M$211</c:f>
              <c:numCache>
                <c:formatCode>General</c:formatCode>
                <c:ptCount val="2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300.00000199999999</c:v>
                </c:pt>
                <c:pt idx="9">
                  <c:v>300.00001099999997</c:v>
                </c:pt>
                <c:pt idx="10">
                  <c:v>300.00002899999998</c:v>
                </c:pt>
                <c:pt idx="11">
                  <c:v>300.00006200000001</c:v>
                </c:pt>
                <c:pt idx="12">
                  <c:v>300.00011599999999</c:v>
                </c:pt>
                <c:pt idx="13">
                  <c:v>300.000201</c:v>
                </c:pt>
                <c:pt idx="14">
                  <c:v>300.00032499999998</c:v>
                </c:pt>
                <c:pt idx="15">
                  <c:v>300.00049999999999</c:v>
                </c:pt>
                <c:pt idx="16">
                  <c:v>300.00073600000002</c:v>
                </c:pt>
                <c:pt idx="17">
                  <c:v>300.00104599999997</c:v>
                </c:pt>
                <c:pt idx="18">
                  <c:v>300.001439</c:v>
                </c:pt>
                <c:pt idx="19">
                  <c:v>300.00192099999998</c:v>
                </c:pt>
                <c:pt idx="20">
                  <c:v>300.00249100000002</c:v>
                </c:pt>
                <c:pt idx="21">
                  <c:v>300.00314400000002</c:v>
                </c:pt>
                <c:pt idx="22">
                  <c:v>300.00386600000002</c:v>
                </c:pt>
                <c:pt idx="23">
                  <c:v>300.00463100000002</c:v>
                </c:pt>
                <c:pt idx="24">
                  <c:v>300.00539900000001</c:v>
                </c:pt>
                <c:pt idx="25">
                  <c:v>300.00611900000001</c:v>
                </c:pt>
                <c:pt idx="26">
                  <c:v>300.00672700000001</c:v>
                </c:pt>
                <c:pt idx="27">
                  <c:v>300.00714699999997</c:v>
                </c:pt>
                <c:pt idx="28">
                  <c:v>300.00729000000001</c:v>
                </c:pt>
                <c:pt idx="29">
                  <c:v>300.00705599999998</c:v>
                </c:pt>
                <c:pt idx="30">
                  <c:v>300.00633399999998</c:v>
                </c:pt>
                <c:pt idx="31">
                  <c:v>300.00500699999998</c:v>
                </c:pt>
                <c:pt idx="32">
                  <c:v>300.002949</c:v>
                </c:pt>
                <c:pt idx="33">
                  <c:v>300.00002799999999</c:v>
                </c:pt>
                <c:pt idx="34">
                  <c:v>299.99611199999998</c:v>
                </c:pt>
                <c:pt idx="35">
                  <c:v>299.99106899999998</c:v>
                </c:pt>
                <c:pt idx="36">
                  <c:v>299.98476699999998</c:v>
                </c:pt>
                <c:pt idx="37">
                  <c:v>299.97708399999999</c:v>
                </c:pt>
                <c:pt idx="38">
                  <c:v>299.96790399999998</c:v>
                </c:pt>
                <c:pt idx="39">
                  <c:v>299.95712300000002</c:v>
                </c:pt>
                <c:pt idx="40">
                  <c:v>299.94463500000001</c:v>
                </c:pt>
                <c:pt idx="41">
                  <c:v>299.93031999999999</c:v>
                </c:pt>
                <c:pt idx="42">
                  <c:v>299.91405900000001</c:v>
                </c:pt>
                <c:pt idx="43">
                  <c:v>299.89572900000002</c:v>
                </c:pt>
                <c:pt idx="44">
                  <c:v>299.87520899999998</c:v>
                </c:pt>
                <c:pt idx="45">
                  <c:v>299.852372</c:v>
                </c:pt>
                <c:pt idx="46">
                  <c:v>299.82709399999999</c:v>
                </c:pt>
                <c:pt idx="47">
                  <c:v>299.79924499999998</c:v>
                </c:pt>
                <c:pt idx="48">
                  <c:v>299.76869699999997</c:v>
                </c:pt>
                <c:pt idx="49">
                  <c:v>299.73531700000001</c:v>
                </c:pt>
                <c:pt idx="50">
                  <c:v>299.69897099999997</c:v>
                </c:pt>
                <c:pt idx="51">
                  <c:v>299.65952499999997</c:v>
                </c:pt>
                <c:pt idx="52">
                  <c:v>299.61684000000002</c:v>
                </c:pt>
                <c:pt idx="53">
                  <c:v>299.57077600000002</c:v>
                </c:pt>
                <c:pt idx="54">
                  <c:v>299.52118999999999</c:v>
                </c:pt>
                <c:pt idx="55">
                  <c:v>299.46793700000001</c:v>
                </c:pt>
                <c:pt idx="56">
                  <c:v>299.41086899999999</c:v>
                </c:pt>
                <c:pt idx="57">
                  <c:v>299.34983599999998</c:v>
                </c:pt>
                <c:pt idx="58">
                  <c:v>299.28468400000003</c:v>
                </c:pt>
                <c:pt idx="59">
                  <c:v>299.21525800000001</c:v>
                </c:pt>
                <c:pt idx="60">
                  <c:v>299.14139799999998</c:v>
                </c:pt>
                <c:pt idx="61">
                  <c:v>299.06294200000002</c:v>
                </c:pt>
                <c:pt idx="62">
                  <c:v>298.97972499999997</c:v>
                </c:pt>
                <c:pt idx="63">
                  <c:v>298.89157699999998</c:v>
                </c:pt>
                <c:pt idx="64">
                  <c:v>298.79832599999997</c:v>
                </c:pt>
                <c:pt idx="65">
                  <c:v>298.69979699999999</c:v>
                </c:pt>
                <c:pt idx="66">
                  <c:v>298.59581100000003</c:v>
                </c:pt>
                <c:pt idx="67">
                  <c:v>298.48618399999998</c:v>
                </c:pt>
                <c:pt idx="68">
                  <c:v>298.37072899999998</c:v>
                </c:pt>
                <c:pt idx="69">
                  <c:v>298.249256</c:v>
                </c:pt>
                <c:pt idx="70">
                  <c:v>298.12156800000002</c:v>
                </c:pt>
                <c:pt idx="71">
                  <c:v>297.98746799999998</c:v>
                </c:pt>
                <c:pt idx="72">
                  <c:v>297.84675299999998</c:v>
                </c:pt>
                <c:pt idx="73">
                  <c:v>297.69921499999998</c:v>
                </c:pt>
                <c:pt idx="74">
                  <c:v>297.544645</c:v>
                </c:pt>
                <c:pt idx="75">
                  <c:v>297.38282400000003</c:v>
                </c:pt>
                <c:pt idx="76">
                  <c:v>297.21353299999998</c:v>
                </c:pt>
                <c:pt idx="77">
                  <c:v>297.03654899999998</c:v>
                </c:pt>
                <c:pt idx="78">
                  <c:v>296.85164300000002</c:v>
                </c:pt>
                <c:pt idx="79">
                  <c:v>296.65857899999997</c:v>
                </c:pt>
                <c:pt idx="80">
                  <c:v>296.45712300000002</c:v>
                </c:pt>
                <c:pt idx="81">
                  <c:v>296.24703599999998</c:v>
                </c:pt>
                <c:pt idx="82">
                  <c:v>296.02806399999997</c:v>
                </c:pt>
                <c:pt idx="83">
                  <c:v>295.79996699999998</c:v>
                </c:pt>
                <c:pt idx="84">
                  <c:v>295.56248499999998</c:v>
                </c:pt>
                <c:pt idx="85">
                  <c:v>295.31536499999999</c:v>
                </c:pt>
                <c:pt idx="86">
                  <c:v>295.05834599999997</c:v>
                </c:pt>
                <c:pt idx="87">
                  <c:v>294.79116399999998</c:v>
                </c:pt>
                <c:pt idx="88">
                  <c:v>294.513553</c:v>
                </c:pt>
                <c:pt idx="89">
                  <c:v>294.22524499999997</c:v>
                </c:pt>
                <c:pt idx="90">
                  <c:v>293.92596800000001</c:v>
                </c:pt>
                <c:pt idx="91">
                  <c:v>293.615455</c:v>
                </c:pt>
                <c:pt idx="92">
                  <c:v>293.29342500000001</c:v>
                </c:pt>
                <c:pt idx="93">
                  <c:v>292.95961199999999</c:v>
                </c:pt>
                <c:pt idx="94">
                  <c:v>292.613743</c:v>
                </c:pt>
                <c:pt idx="95">
                  <c:v>292.255539</c:v>
                </c:pt>
                <c:pt idx="96">
                  <c:v>291.88473900000002</c:v>
                </c:pt>
                <c:pt idx="97">
                  <c:v>291.50107500000001</c:v>
                </c:pt>
                <c:pt idx="98">
                  <c:v>291.10428100000001</c:v>
                </c:pt>
                <c:pt idx="99">
                  <c:v>290.69409999999999</c:v>
                </c:pt>
                <c:pt idx="100">
                  <c:v>290.27028200000001</c:v>
                </c:pt>
                <c:pt idx="101">
                  <c:v>289.832584</c:v>
                </c:pt>
                <c:pt idx="102">
                  <c:v>289.38076899999999</c:v>
                </c:pt>
                <c:pt idx="103">
                  <c:v>288.91461299999997</c:v>
                </c:pt>
                <c:pt idx="104">
                  <c:v>288.433897</c:v>
                </c:pt>
                <c:pt idx="105">
                  <c:v>287.938425</c:v>
                </c:pt>
                <c:pt idx="106">
                  <c:v>287.42800799999998</c:v>
                </c:pt>
                <c:pt idx="107">
                  <c:v>286.90247699999998</c:v>
                </c:pt>
                <c:pt idx="108">
                  <c:v>286.36167799999998</c:v>
                </c:pt>
                <c:pt idx="109">
                  <c:v>285.805475</c:v>
                </c:pt>
                <c:pt idx="110">
                  <c:v>285.23375600000003</c:v>
                </c:pt>
                <c:pt idx="111">
                  <c:v>284.64642700000002</c:v>
                </c:pt>
                <c:pt idx="112">
                  <c:v>284.04341899999997</c:v>
                </c:pt>
                <c:pt idx="113">
                  <c:v>283.42468600000001</c:v>
                </c:pt>
                <c:pt idx="114">
                  <c:v>282.790209</c:v>
                </c:pt>
                <c:pt idx="115">
                  <c:v>282.139995</c:v>
                </c:pt>
                <c:pt idx="116">
                  <c:v>281.47407600000003</c:v>
                </c:pt>
                <c:pt idx="117">
                  <c:v>280.79251299999999</c:v>
                </c:pt>
                <c:pt idx="118">
                  <c:v>280.095394</c:v>
                </c:pt>
                <c:pt idx="119">
                  <c:v>279.38283899999999</c:v>
                </c:pt>
                <c:pt idx="120">
                  <c:v>278.65499</c:v>
                </c:pt>
                <c:pt idx="121">
                  <c:v>277.91201999999998</c:v>
                </c:pt>
                <c:pt idx="122">
                  <c:v>277.15412500000002</c:v>
                </c:pt>
                <c:pt idx="123">
                  <c:v>276.381531</c:v>
                </c:pt>
                <c:pt idx="124">
                  <c:v>275.59448500000002</c:v>
                </c:pt>
                <c:pt idx="125">
                  <c:v>274.79325799999998</c:v>
                </c:pt>
                <c:pt idx="126">
                  <c:v>273.97815400000002</c:v>
                </c:pt>
                <c:pt idx="127">
                  <c:v>273.14948600000002</c:v>
                </c:pt>
                <c:pt idx="128">
                  <c:v>272.30757699999998</c:v>
                </c:pt>
                <c:pt idx="129">
                  <c:v>271.45277099999998</c:v>
                </c:pt>
                <c:pt idx="130">
                  <c:v>270.58546799999999</c:v>
                </c:pt>
                <c:pt idx="131">
                  <c:v>269.706005</c:v>
                </c:pt>
                <c:pt idx="132">
                  <c:v>268.81478299999998</c:v>
                </c:pt>
                <c:pt idx="133">
                  <c:v>267.91220299999998</c:v>
                </c:pt>
                <c:pt idx="134">
                  <c:v>266.99865</c:v>
                </c:pt>
                <c:pt idx="135">
                  <c:v>266.07454200000001</c:v>
                </c:pt>
                <c:pt idx="136">
                  <c:v>265.14028500000001</c:v>
                </c:pt>
                <c:pt idx="137">
                  <c:v>264.196257</c:v>
                </c:pt>
                <c:pt idx="138">
                  <c:v>263.24291399999998</c:v>
                </c:pt>
                <c:pt idx="139">
                  <c:v>262.28062599999998</c:v>
                </c:pt>
                <c:pt idx="140">
                  <c:v>261.30978299999998</c:v>
                </c:pt>
                <c:pt idx="141">
                  <c:v>260.330781</c:v>
                </c:pt>
                <c:pt idx="142">
                  <c:v>259.34400900000003</c:v>
                </c:pt>
                <c:pt idx="143">
                  <c:v>258.34984400000002</c:v>
                </c:pt>
                <c:pt idx="144">
                  <c:v>257.34865500000001</c:v>
                </c:pt>
                <c:pt idx="145">
                  <c:v>256.34079800000001</c:v>
                </c:pt>
                <c:pt idx="146">
                  <c:v>255.326615</c:v>
                </c:pt>
                <c:pt idx="147">
                  <c:v>254.30643499999999</c:v>
                </c:pt>
                <c:pt idx="148">
                  <c:v>253.280574</c:v>
                </c:pt>
                <c:pt idx="149">
                  <c:v>252.24935300000001</c:v>
                </c:pt>
                <c:pt idx="150">
                  <c:v>251.21312</c:v>
                </c:pt>
                <c:pt idx="151">
                  <c:v>250.172077</c:v>
                </c:pt>
                <c:pt idx="152">
                  <c:v>249.126575</c:v>
                </c:pt>
                <c:pt idx="153">
                  <c:v>248.076831</c:v>
                </c:pt>
                <c:pt idx="154">
                  <c:v>247.02313899999999</c:v>
                </c:pt>
                <c:pt idx="155">
                  <c:v>245.96566999999999</c:v>
                </c:pt>
                <c:pt idx="156">
                  <c:v>244.90478400000001</c:v>
                </c:pt>
                <c:pt idx="157">
                  <c:v>243.84058899999999</c:v>
                </c:pt>
                <c:pt idx="158">
                  <c:v>242.77331000000001</c:v>
                </c:pt>
                <c:pt idx="159">
                  <c:v>241.70316600000001</c:v>
                </c:pt>
                <c:pt idx="160">
                  <c:v>240.630392</c:v>
                </c:pt>
                <c:pt idx="161">
                  <c:v>239.555115</c:v>
                </c:pt>
                <c:pt idx="162">
                  <c:v>238.47751099999999</c:v>
                </c:pt>
                <c:pt idx="163">
                  <c:v>237.39774399999999</c:v>
                </c:pt>
                <c:pt idx="164">
                  <c:v>236.315967</c:v>
                </c:pt>
                <c:pt idx="165">
                  <c:v>235.23232100000001</c:v>
                </c:pt>
                <c:pt idx="166">
                  <c:v>234.146987</c:v>
                </c:pt>
                <c:pt idx="167">
                  <c:v>233.06008</c:v>
                </c:pt>
                <c:pt idx="168">
                  <c:v>231.971687</c:v>
                </c:pt>
                <c:pt idx="169">
                  <c:v>230.88190900000001</c:v>
                </c:pt>
                <c:pt idx="170">
                  <c:v>229.79235</c:v>
                </c:pt>
                <c:pt idx="171">
                  <c:v>228.70594600000001</c:v>
                </c:pt>
                <c:pt idx="172">
                  <c:v>227.62568300000001</c:v>
                </c:pt>
                <c:pt idx="173">
                  <c:v>226.55470700000001</c:v>
                </c:pt>
                <c:pt idx="174">
                  <c:v>225.49596199999999</c:v>
                </c:pt>
                <c:pt idx="175">
                  <c:v>224.45247599999999</c:v>
                </c:pt>
                <c:pt idx="176">
                  <c:v>223.42733799999999</c:v>
                </c:pt>
                <c:pt idx="177">
                  <c:v>222.42356599999999</c:v>
                </c:pt>
                <c:pt idx="178">
                  <c:v>221.444174</c:v>
                </c:pt>
                <c:pt idx="179">
                  <c:v>220.49220399999999</c:v>
                </c:pt>
                <c:pt idx="180">
                  <c:v>219.57058499999999</c:v>
                </c:pt>
                <c:pt idx="181">
                  <c:v>218.682388</c:v>
                </c:pt>
                <c:pt idx="182">
                  <c:v>217.83053899999999</c:v>
                </c:pt>
                <c:pt idx="183">
                  <c:v>217.018126</c:v>
                </c:pt>
                <c:pt idx="184">
                  <c:v>216.248085</c:v>
                </c:pt>
                <c:pt idx="185">
                  <c:v>215.52345</c:v>
                </c:pt>
                <c:pt idx="186">
                  <c:v>214.847081</c:v>
                </c:pt>
                <c:pt idx="187">
                  <c:v>214.22061400000001</c:v>
                </c:pt>
                <c:pt idx="188">
                  <c:v>213.644059</c:v>
                </c:pt>
                <c:pt idx="189">
                  <c:v>213.11747800000001</c:v>
                </c:pt>
                <c:pt idx="190">
                  <c:v>212.64086399999999</c:v>
                </c:pt>
                <c:pt idx="191">
                  <c:v>212.21417</c:v>
                </c:pt>
                <c:pt idx="192">
                  <c:v>211.836152</c:v>
                </c:pt>
                <c:pt idx="193">
                  <c:v>211.50376399999999</c:v>
                </c:pt>
                <c:pt idx="194">
                  <c:v>211.21410800000001</c:v>
                </c:pt>
                <c:pt idx="195">
                  <c:v>210.964258</c:v>
                </c:pt>
                <c:pt idx="196">
                  <c:v>210.75125399999999</c:v>
                </c:pt>
                <c:pt idx="197">
                  <c:v>210.57214200000001</c:v>
                </c:pt>
                <c:pt idx="198">
                  <c:v>210.424105</c:v>
                </c:pt>
                <c:pt idx="199">
                  <c:v>210.30400700000001</c:v>
                </c:pt>
                <c:pt idx="200">
                  <c:v>210.209082</c:v>
                </c:pt>
                <c:pt idx="201">
                  <c:v>210.136304</c:v>
                </c:pt>
                <c:pt idx="202">
                  <c:v>210.08271199999999</c:v>
                </c:pt>
                <c:pt idx="203">
                  <c:v>210.04538600000001</c:v>
                </c:pt>
                <c:pt idx="204">
                  <c:v>210.02139500000001</c:v>
                </c:pt>
                <c:pt idx="205">
                  <c:v>210.007803</c:v>
                </c:pt>
                <c:pt idx="206">
                  <c:v>210.00166899999999</c:v>
                </c:pt>
                <c:pt idx="207">
                  <c:v>210.00004899999999</c:v>
                </c:pt>
                <c:pt idx="208">
                  <c:v>210</c:v>
                </c:pt>
                <c:pt idx="209">
                  <c:v>210</c:v>
                </c:pt>
              </c:numCache>
            </c:numRef>
          </c:yVal>
          <c:smooth val="0"/>
        </c:ser>
        <c:ser>
          <c:idx val="0"/>
          <c:order val="1"/>
          <c:tx>
            <c:v>Center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Main!$Q$2:$Q$211</c:f>
              <c:numCache>
                <c:formatCode>General</c:formatCode>
                <c:ptCount val="210"/>
                <c:pt idx="0">
                  <c:v>0</c:v>
                </c:pt>
                <c:pt idx="1">
                  <c:v>1.4709999951377144E-3</c:v>
                </c:pt>
                <c:pt idx="2">
                  <c:v>7.3529999766399155E-3</c:v>
                </c:pt>
                <c:pt idx="3">
                  <c:v>2.058799994107785E-2</c:v>
                </c:pt>
                <c:pt idx="4">
                  <c:v>4.4117999893926091E-2</c:v>
                </c:pt>
                <c:pt idx="5">
                  <c:v>8.0881999852787739E-2</c:v>
                </c:pt>
                <c:pt idx="6">
                  <c:v>0.13382399983714766</c:v>
                </c:pt>
                <c:pt idx="7">
                  <c:v>0.20588199983585062</c:v>
                </c:pt>
                <c:pt idx="8">
                  <c:v>0.29999999974055613</c:v>
                </c:pt>
                <c:pt idx="9">
                  <c:v>0.41911799922543036</c:v>
                </c:pt>
                <c:pt idx="10">
                  <c:v>0.56617599754889569</c:v>
                </c:pt>
                <c:pt idx="11">
                  <c:v>0.74411799328175754</c:v>
                </c:pt>
                <c:pt idx="12">
                  <c:v>0.95588198394201229</c:v>
                </c:pt>
                <c:pt idx="13">
                  <c:v>1.204411965713704</c:v>
                </c:pt>
                <c:pt idx="14">
                  <c:v>1.492646932922794</c:v>
                </c:pt>
                <c:pt idx="15">
                  <c:v>1.8235288780334422</c:v>
                </c:pt>
                <c:pt idx="16">
                  <c:v>2.1999997915045983</c:v>
                </c:pt>
                <c:pt idx="17">
                  <c:v>2.6249996625508922</c:v>
                </c:pt>
                <c:pt idx="18">
                  <c:v>3.0999994811303537</c:v>
                </c:pt>
                <c:pt idx="19">
                  <c:v>3.6249992407200096</c:v>
                </c:pt>
                <c:pt idx="20">
                  <c:v>4.199998940430886</c:v>
                </c:pt>
                <c:pt idx="21">
                  <c:v>4.8249985873156067</c:v>
                </c:pt>
                <c:pt idx="22">
                  <c:v>5.4999982009118931</c:v>
                </c:pt>
                <c:pt idx="23">
                  <c:v>6.2235268126315368</c:v>
                </c:pt>
                <c:pt idx="24">
                  <c:v>6.9926444633716187</c:v>
                </c:pt>
                <c:pt idx="25">
                  <c:v>7.8044091957554427</c:v>
                </c:pt>
                <c:pt idx="26">
                  <c:v>8.6558790388938132</c:v>
                </c:pt>
                <c:pt idx="27">
                  <c:v>9.5441149911138226</c:v>
                </c:pt>
                <c:pt idx="28">
                  <c:v>10.466172990690357</c:v>
                </c:pt>
                <c:pt idx="29">
                  <c:v>11.419114883499962</c:v>
                </c:pt>
                <c:pt idx="30">
                  <c:v>12.399996382896775</c:v>
                </c:pt>
                <c:pt idx="31">
                  <c:v>13.40587702472579</c:v>
                </c:pt>
                <c:pt idx="32">
                  <c:v>14.433816119974088</c:v>
                </c:pt>
                <c:pt idx="33">
                  <c:v>15.480868700895797</c:v>
                </c:pt>
                <c:pt idx="34">
                  <c:v>16.544095481879879</c:v>
                </c:pt>
                <c:pt idx="35">
                  <c:v>17.62055080290336</c:v>
                </c:pt>
                <c:pt idx="36">
                  <c:v>18.707293606451795</c:v>
                </c:pt>
                <c:pt idx="37">
                  <c:v>19.801379421152518</c:v>
                </c:pt>
                <c:pt idx="38">
                  <c:v>20.899863322842712</c:v>
                </c:pt>
                <c:pt idx="39">
                  <c:v>21.99980199898005</c:v>
                </c:pt>
                <c:pt idx="40">
                  <c:v>23.099720602899584</c:v>
                </c:pt>
                <c:pt idx="41">
                  <c:v>24.199614639990788</c:v>
                </c:pt>
                <c:pt idx="42">
                  <c:v>25.299478981608761</c:v>
                </c:pt>
                <c:pt idx="43">
                  <c:v>26.399307817402459</c:v>
                </c:pt>
                <c:pt idx="44">
                  <c:v>27.499094584783677</c:v>
                </c:pt>
                <c:pt idx="45">
                  <c:v>28.598831933367656</c:v>
                </c:pt>
                <c:pt idx="46">
                  <c:v>29.698511672916869</c:v>
                </c:pt>
                <c:pt idx="47">
                  <c:v>30.798124661698179</c:v>
                </c:pt>
                <c:pt idx="48">
                  <c:v>31.897660793720416</c:v>
                </c:pt>
                <c:pt idx="49">
                  <c:v>32.997108906544824</c:v>
                </c:pt>
                <c:pt idx="50">
                  <c:v>34.09645674840727</c:v>
                </c:pt>
                <c:pt idx="51">
                  <c:v>35.195690794385143</c:v>
                </c:pt>
                <c:pt idx="52">
                  <c:v>36.294796322113314</c:v>
                </c:pt>
                <c:pt idx="53">
                  <c:v>37.393757216384948</c:v>
                </c:pt>
                <c:pt idx="54">
                  <c:v>38.492555874145452</c:v>
                </c:pt>
                <c:pt idx="55">
                  <c:v>39.591173215552494</c:v>
                </c:pt>
                <c:pt idx="56">
                  <c:v>40.689588434519919</c:v>
                </c:pt>
                <c:pt idx="57">
                  <c:v>41.787779065714247</c:v>
                </c:pt>
                <c:pt idx="58">
                  <c:v>42.885720637721107</c:v>
                </c:pt>
                <c:pt idx="59">
                  <c:v>43.983386882347602</c:v>
                </c:pt>
                <c:pt idx="60">
                  <c:v>45.080749211631293</c:v>
                </c:pt>
                <c:pt idx="61">
                  <c:v>46.177776943680684</c:v>
                </c:pt>
                <c:pt idx="62">
                  <c:v>47.274437040453343</c:v>
                </c:pt>
                <c:pt idx="63">
                  <c:v>48.370693794019964</c:v>
                </c:pt>
                <c:pt idx="64">
                  <c:v>49.466508935477883</c:v>
                </c:pt>
                <c:pt idx="65">
                  <c:v>50.56184130988499</c:v>
                </c:pt>
                <c:pt idx="66">
                  <c:v>51.656646706154994</c:v>
                </c:pt>
                <c:pt idx="67">
                  <c:v>52.750877680187273</c:v>
                </c:pt>
                <c:pt idx="68">
                  <c:v>53.844483489562407</c:v>
                </c:pt>
                <c:pt idx="69">
                  <c:v>54.937409802756775</c:v>
                </c:pt>
                <c:pt idx="70">
                  <c:v>56.029598240858626</c:v>
                </c:pt>
                <c:pt idx="71">
                  <c:v>57.120986671311911</c:v>
                </c:pt>
                <c:pt idx="72">
                  <c:v>58.211508472051548</c:v>
                </c:pt>
                <c:pt idx="73">
                  <c:v>59.301092560115968</c:v>
                </c:pt>
                <c:pt idx="74">
                  <c:v>60.38966300570037</c:v>
                </c:pt>
                <c:pt idx="75">
                  <c:v>61.477138767614612</c:v>
                </c:pt>
                <c:pt idx="76">
                  <c:v>62.56343359230388</c:v>
                </c:pt>
                <c:pt idx="77">
                  <c:v>63.6484555804943</c:v>
                </c:pt>
                <c:pt idx="78">
                  <c:v>64.732106706318049</c:v>
                </c:pt>
                <c:pt idx="79">
                  <c:v>65.81428248268341</c:v>
                </c:pt>
                <c:pt idx="80">
                  <c:v>66.894872231855388</c:v>
                </c:pt>
                <c:pt idx="81">
                  <c:v>67.973758188428945</c:v>
                </c:pt>
                <c:pt idx="82">
                  <c:v>69.050814909631299</c:v>
                </c:pt>
                <c:pt idx="83">
                  <c:v>70.125909791219186</c:v>
                </c:pt>
                <c:pt idx="84">
                  <c:v>71.198901578927348</c:v>
                </c:pt>
                <c:pt idx="85">
                  <c:v>72.269640899995892</c:v>
                </c:pt>
                <c:pt idx="86">
                  <c:v>73.337969668380154</c:v>
                </c:pt>
                <c:pt idx="87">
                  <c:v>74.403720160188257</c:v>
                </c:pt>
                <c:pt idx="88">
                  <c:v>75.466715672774399</c:v>
                </c:pt>
                <c:pt idx="89">
                  <c:v>76.526768743563849</c:v>
                </c:pt>
                <c:pt idx="90">
                  <c:v>77.583682137857181</c:v>
                </c:pt>
                <c:pt idx="91">
                  <c:v>78.637247892483401</c:v>
                </c:pt>
                <c:pt idx="92">
                  <c:v>79.687246897969189</c:v>
                </c:pt>
                <c:pt idx="93">
                  <c:v>80.733448475213152</c:v>
                </c:pt>
                <c:pt idx="94">
                  <c:v>81.775610651423548</c:v>
                </c:pt>
                <c:pt idx="95">
                  <c:v>82.813479463490339</c:v>
                </c:pt>
                <c:pt idx="96">
                  <c:v>83.846788954569661</c:v>
                </c:pt>
                <c:pt idx="97">
                  <c:v>84.875260846288867</c:v>
                </c:pt>
                <c:pt idx="98">
                  <c:v>85.898604618942827</c:v>
                </c:pt>
                <c:pt idx="99">
                  <c:v>86.916517247975705</c:v>
                </c:pt>
                <c:pt idx="100">
                  <c:v>87.928684242010078</c:v>
                </c:pt>
                <c:pt idx="101">
                  <c:v>88.934778233158127</c:v>
                </c:pt>
                <c:pt idx="102">
                  <c:v>89.934460585313616</c:v>
                </c:pt>
                <c:pt idx="103">
                  <c:v>90.927380937441143</c:v>
                </c:pt>
                <c:pt idx="104">
                  <c:v>91.913178160557905</c:v>
                </c:pt>
                <c:pt idx="105">
                  <c:v>92.891481484733177</c:v>
                </c:pt>
                <c:pt idx="106">
                  <c:v>93.861909730631695</c:v>
                </c:pt>
                <c:pt idx="107">
                  <c:v>94.824074150746853</c:v>
                </c:pt>
                <c:pt idx="108">
                  <c:v>95.777577841221628</c:v>
                </c:pt>
                <c:pt idx="109">
                  <c:v>96.722017851947797</c:v>
                </c:pt>
                <c:pt idx="110">
                  <c:v>97.656986400791141</c:v>
                </c:pt>
                <c:pt idx="111">
                  <c:v>98.582072792643643</c:v>
                </c:pt>
                <c:pt idx="112">
                  <c:v>99.496864303811108</c:v>
                </c:pt>
                <c:pt idx="113">
                  <c:v>100.40094772117546</c:v>
                </c:pt>
                <c:pt idx="114">
                  <c:v>101.29391291178361</c:v>
                </c:pt>
                <c:pt idx="115">
                  <c:v>102.17535343750011</c:v>
                </c:pt>
                <c:pt idx="116">
                  <c:v>103.04486778003313</c:v>
                </c:pt>
                <c:pt idx="117">
                  <c:v>103.90206402231622</c:v>
                </c:pt>
                <c:pt idx="118">
                  <c:v>104.74655998739485</c:v>
                </c:pt>
                <c:pt idx="119">
                  <c:v>105.57798537628643</c:v>
                </c:pt>
                <c:pt idx="120">
                  <c:v>106.39598543985633</c:v>
                </c:pt>
                <c:pt idx="121">
                  <c:v>107.20022110220889</c:v>
                </c:pt>
                <c:pt idx="122">
                  <c:v>107.99037196214533</c:v>
                </c:pt>
                <c:pt idx="123">
                  <c:v>108.7661370624072</c:v>
                </c:pt>
                <c:pt idx="124">
                  <c:v>109.52723791945908</c:v>
                </c:pt>
                <c:pt idx="125">
                  <c:v>110.27342002233775</c:v>
                </c:pt>
                <c:pt idx="126">
                  <c:v>111.00445179846147</c:v>
                </c:pt>
                <c:pt idx="127">
                  <c:v>111.72012748142969</c:v>
                </c:pt>
                <c:pt idx="128">
                  <c:v>112.42026834343069</c:v>
                </c:pt>
                <c:pt idx="129">
                  <c:v>113.10472126389047</c:v>
                </c:pt>
                <c:pt idx="130">
                  <c:v>113.77336139594078</c:v>
                </c:pt>
                <c:pt idx="131">
                  <c:v>114.4260904491795</c:v>
                </c:pt>
                <c:pt idx="132">
                  <c:v>115.06283650700125</c:v>
                </c:pt>
                <c:pt idx="133">
                  <c:v>115.68355462066511</c:v>
                </c:pt>
                <c:pt idx="134">
                  <c:v>116.28822549350902</c:v>
                </c:pt>
                <c:pt idx="135">
                  <c:v>116.87685491890751</c:v>
                </c:pt>
                <c:pt idx="136">
                  <c:v>117.44947404450978</c:v>
                </c:pt>
                <c:pt idx="137">
                  <c:v>118.00613483474477</c:v>
                </c:pt>
                <c:pt idx="138">
                  <c:v>118.54691291144503</c:v>
                </c:pt>
                <c:pt idx="139">
                  <c:v>119.07190469114362</c:v>
                </c:pt>
                <c:pt idx="140">
                  <c:v>119.58122337736751</c:v>
                </c:pt>
                <c:pt idx="141">
                  <c:v>120.07500262630059</c:v>
                </c:pt>
                <c:pt idx="142">
                  <c:v>120.55339044502091</c:v>
                </c:pt>
                <c:pt idx="143">
                  <c:v>121.0165518258658</c:v>
                </c:pt>
                <c:pt idx="144">
                  <c:v>121.46466243894959</c:v>
                </c:pt>
                <c:pt idx="145">
                  <c:v>121.89791222786593</c:v>
                </c:pt>
                <c:pt idx="146">
                  <c:v>122.316501000028</c:v>
                </c:pt>
                <c:pt idx="147">
                  <c:v>122.72063696634925</c:v>
                </c:pt>
                <c:pt idx="148">
                  <c:v>123.11053732124371</c:v>
                </c:pt>
                <c:pt idx="149">
                  <c:v>123.48642576142728</c:v>
                </c:pt>
                <c:pt idx="150">
                  <c:v>123.84853100561411</c:v>
                </c:pt>
                <c:pt idx="151">
                  <c:v>124.19708739496981</c:v>
                </c:pt>
                <c:pt idx="152">
                  <c:v>124.53233134442289</c:v>
                </c:pt>
                <c:pt idx="153">
                  <c:v>124.85450300811124</c:v>
                </c:pt>
                <c:pt idx="154">
                  <c:v>125.16384378478905</c:v>
                </c:pt>
                <c:pt idx="155">
                  <c:v>125.46059486464314</c:v>
                </c:pt>
                <c:pt idx="156">
                  <c:v>125.74500003190937</c:v>
                </c:pt>
                <c:pt idx="157">
                  <c:v>126.01730107819228</c:v>
                </c:pt>
                <c:pt idx="158">
                  <c:v>126.27773851648371</c:v>
                </c:pt>
                <c:pt idx="159">
                  <c:v>126.5265512611395</c:v>
                </c:pt>
                <c:pt idx="160">
                  <c:v>126.76397740243092</c:v>
                </c:pt>
                <c:pt idx="161">
                  <c:v>126.99025178316325</c:v>
                </c:pt>
                <c:pt idx="162">
                  <c:v>127.20560680585957</c:v>
                </c:pt>
                <c:pt idx="163">
                  <c:v>127.41027110792896</c:v>
                </c:pt>
                <c:pt idx="164">
                  <c:v>127.60447040919863</c:v>
                </c:pt>
                <c:pt idx="165">
                  <c:v>127.78842621645015</c:v>
                </c:pt>
                <c:pt idx="166">
                  <c:v>127.96235779289945</c:v>
                </c:pt>
                <c:pt idx="167">
                  <c:v>128.12647871965947</c:v>
                </c:pt>
                <c:pt idx="168">
                  <c:v>128.28099998250516</c:v>
                </c:pt>
                <c:pt idx="169">
                  <c:v>128.42612764069943</c:v>
                </c:pt>
                <c:pt idx="170">
                  <c:v>128.56190015605827</c:v>
                </c:pt>
                <c:pt idx="171">
                  <c:v>128.6882384878557</c:v>
                </c:pt>
                <c:pt idx="172">
                  <c:v>128.80514273288185</c:v>
                </c:pt>
                <c:pt idx="173">
                  <c:v>128.91269308892944</c:v>
                </c:pt>
                <c:pt idx="174">
                  <c:v>129.0110415749015</c:v>
                </c:pt>
                <c:pt idx="175">
                  <c:v>129.10040836569954</c:v>
                </c:pt>
                <c:pt idx="176">
                  <c:v>129.1810731160399</c:v>
                </c:pt>
                <c:pt idx="177">
                  <c:v>129.25336970225055</c:v>
                </c:pt>
                <c:pt idx="178">
                  <c:v>129.3176772211215</c:v>
                </c:pt>
                <c:pt idx="179">
                  <c:v>129.37441741162269</c:v>
                </c:pt>
                <c:pt idx="180">
                  <c:v>129.42404384248417</c:v>
                </c:pt>
                <c:pt idx="181">
                  <c:v>129.46703950220248</c:v>
                </c:pt>
                <c:pt idx="182">
                  <c:v>129.50390729748997</c:v>
                </c:pt>
                <c:pt idx="183">
                  <c:v>129.53516543555793</c:v>
                </c:pt>
                <c:pt idx="184">
                  <c:v>129.56134041700292</c:v>
                </c:pt>
                <c:pt idx="185">
                  <c:v>129.58296120638278</c:v>
                </c:pt>
                <c:pt idx="186">
                  <c:v>129.60055278845175</c:v>
                </c:pt>
                <c:pt idx="187">
                  <c:v>129.61465486364023</c:v>
                </c:pt>
                <c:pt idx="188">
                  <c:v>129.62579777183234</c:v>
                </c:pt>
                <c:pt idx="189">
                  <c:v>129.63446009262663</c:v>
                </c:pt>
                <c:pt idx="190">
                  <c:v>129.64107180726256</c:v>
                </c:pt>
                <c:pt idx="191">
                  <c:v>129.64601384689689</c:v>
                </c:pt>
                <c:pt idx="192">
                  <c:v>129.64963252716785</c:v>
                </c:pt>
                <c:pt idx="193">
                  <c:v>129.65222992773951</c:v>
                </c:pt>
                <c:pt idx="194">
                  <c:v>129.65405247469965</c:v>
                </c:pt>
                <c:pt idx="195">
                  <c:v>129.65529801158698</c:v>
                </c:pt>
                <c:pt idx="196">
                  <c:v>129.65612357456575</c:v>
                </c:pt>
                <c:pt idx="197">
                  <c:v>129.65665130544545</c:v>
                </c:pt>
                <c:pt idx="198">
                  <c:v>129.65697444265589</c:v>
                </c:pt>
                <c:pt idx="199">
                  <c:v>129.6571619661585</c:v>
                </c:pt>
                <c:pt idx="200">
                  <c:v>129.65726385257048</c:v>
                </c:pt>
                <c:pt idx="201">
                  <c:v>129.65731473909727</c:v>
                </c:pt>
                <c:pt idx="202">
                  <c:v>129.65733745806759</c:v>
                </c:pt>
                <c:pt idx="203">
                  <c:v>129.65734615109727</c:v>
                </c:pt>
                <c:pt idx="204">
                  <c:v>129.6573487884875</c:v>
                </c:pt>
                <c:pt idx="205">
                  <c:v>129.65734933191385</c:v>
                </c:pt>
                <c:pt idx="206">
                  <c:v>129.65734938718606</c:v>
                </c:pt>
                <c:pt idx="207">
                  <c:v>129.65734938721781</c:v>
                </c:pt>
                <c:pt idx="208">
                  <c:v>129.65734938721877</c:v>
                </c:pt>
                <c:pt idx="209">
                  <c:v>129.65734938721877</c:v>
                </c:pt>
              </c:numCache>
            </c:numRef>
          </c:xVal>
          <c:yVal>
            <c:numRef>
              <c:f>Main!$R$2:$R$211</c:f>
              <c:numCache>
                <c:formatCode>General</c:formatCode>
                <c:ptCount val="210"/>
                <c:pt idx="0">
                  <c:v>300</c:v>
                </c:pt>
                <c:pt idx="1">
                  <c:v>299.99999988039713</c:v>
                </c:pt>
                <c:pt idx="2">
                  <c:v>299.99999941391229</c:v>
                </c:pt>
                <c:pt idx="3">
                  <c:v>299.99999844369177</c:v>
                </c:pt>
                <c:pt idx="4">
                  <c:v>299.99999695407382</c:v>
                </c:pt>
                <c:pt idx="5">
                  <c:v>299.99999521487268</c:v>
                </c:pt>
                <c:pt idx="6">
                  <c:v>299.99999392800197</c:v>
                </c:pt>
                <c:pt idx="7">
                  <c:v>299.99999436034994</c:v>
                </c:pt>
                <c:pt idx="8">
                  <c:v>299.99999859565992</c:v>
                </c:pt>
                <c:pt idx="9">
                  <c:v>300.00000967363388</c:v>
                </c:pt>
                <c:pt idx="10">
                  <c:v>300.00003187939183</c:v>
                </c:pt>
                <c:pt idx="11">
                  <c:v>300.00007084868952</c:v>
                </c:pt>
                <c:pt idx="12">
                  <c:v>300.00013374259657</c:v>
                </c:pt>
                <c:pt idx="13">
                  <c:v>300.00022892958424</c:v>
                </c:pt>
                <c:pt idx="14">
                  <c:v>300.000366417674</c:v>
                </c:pt>
                <c:pt idx="15">
                  <c:v>300.00055700569544</c:v>
                </c:pt>
                <c:pt idx="16">
                  <c:v>300.00081225301386</c:v>
                </c:pt>
                <c:pt idx="17">
                  <c:v>300.0011433279804</c:v>
                </c:pt>
                <c:pt idx="18">
                  <c:v>300.00155847792757</c:v>
                </c:pt>
                <c:pt idx="19">
                  <c:v>300.00206090285087</c:v>
                </c:pt>
                <c:pt idx="20">
                  <c:v>300.00264855274855</c:v>
                </c:pt>
                <c:pt idx="21">
                  <c:v>300.00331292762343</c:v>
                </c:pt>
                <c:pt idx="22">
                  <c:v>300.0040351774856</c:v>
                </c:pt>
                <c:pt idx="23">
                  <c:v>300.00478475339554</c:v>
                </c:pt>
                <c:pt idx="24">
                  <c:v>300.0055177227386</c:v>
                </c:pt>
                <c:pt idx="25">
                  <c:v>300.00617687584617</c:v>
                </c:pt>
                <c:pt idx="26">
                  <c:v>300.00669371810443</c:v>
                </c:pt>
                <c:pt idx="27">
                  <c:v>300.0069850595072</c:v>
                </c:pt>
                <c:pt idx="28">
                  <c:v>300.00695711452983</c:v>
                </c:pt>
                <c:pt idx="29">
                  <c:v>300.00650512731443</c:v>
                </c:pt>
                <c:pt idx="30">
                  <c:v>300.00551413535607</c:v>
                </c:pt>
                <c:pt idx="31">
                  <c:v>300.00386116298762</c:v>
                </c:pt>
                <c:pt idx="32">
                  <c:v>300.00141743139267</c:v>
                </c:pt>
                <c:pt idx="33">
                  <c:v>299.99804872998345</c:v>
                </c:pt>
                <c:pt idx="34">
                  <c:v>299.993621101472</c:v>
                </c:pt>
                <c:pt idx="35">
                  <c:v>299.9879994700151</c:v>
                </c:pt>
                <c:pt idx="36">
                  <c:v>299.98105366835625</c:v>
                </c:pt>
                <c:pt idx="37">
                  <c:v>299.97266152949607</c:v>
                </c:pt>
                <c:pt idx="38">
                  <c:v>299.96270755699828</c:v>
                </c:pt>
                <c:pt idx="39">
                  <c:v>299.95109253494735</c:v>
                </c:pt>
                <c:pt idx="40">
                  <c:v>299.93771102712088</c:v>
                </c:pt>
                <c:pt idx="41">
                  <c:v>299.9224431794924</c:v>
                </c:pt>
                <c:pt idx="42">
                  <c:v>299.90516805178623</c:v>
                </c:pt>
                <c:pt idx="43">
                  <c:v>299.88576362041925</c:v>
                </c:pt>
                <c:pt idx="44">
                  <c:v>299.86410568207839</c:v>
                </c:pt>
                <c:pt idx="45">
                  <c:v>299.84006895747865</c:v>
                </c:pt>
                <c:pt idx="46">
                  <c:v>299.81352709573224</c:v>
                </c:pt>
                <c:pt idx="47">
                  <c:v>299.78435048003678</c:v>
                </c:pt>
                <c:pt idx="48">
                  <c:v>299.75240843286429</c:v>
                </c:pt>
                <c:pt idx="49">
                  <c:v>299.71756812277886</c:v>
                </c:pt>
                <c:pt idx="50">
                  <c:v>299.67969567114989</c:v>
                </c:pt>
                <c:pt idx="51">
                  <c:v>299.6386528622412</c:v>
                </c:pt>
                <c:pt idx="52">
                  <c:v>299.59430154977616</c:v>
                </c:pt>
                <c:pt idx="53">
                  <c:v>299.54650036922908</c:v>
                </c:pt>
                <c:pt idx="54">
                  <c:v>299.49510474972976</c:v>
                </c:pt>
                <c:pt idx="55">
                  <c:v>299.43996912458852</c:v>
                </c:pt>
                <c:pt idx="56">
                  <c:v>299.38094364923467</c:v>
                </c:pt>
                <c:pt idx="57">
                  <c:v>299.31787751286186</c:v>
                </c:pt>
                <c:pt idx="58">
                  <c:v>299.25061456273994</c:v>
                </c:pt>
                <c:pt idx="59">
                  <c:v>299.17899881441895</c:v>
                </c:pt>
                <c:pt idx="60">
                  <c:v>299.10286788595312</c:v>
                </c:pt>
                <c:pt idx="61">
                  <c:v>299.02205851078804</c:v>
                </c:pt>
                <c:pt idx="62">
                  <c:v>298.93640436817623</c:v>
                </c:pt>
                <c:pt idx="63">
                  <c:v>298.84573391951972</c:v>
                </c:pt>
                <c:pt idx="64">
                  <c:v>298.74987373095547</c:v>
                </c:pt>
                <c:pt idx="65">
                  <c:v>298.64864631581656</c:v>
                </c:pt>
                <c:pt idx="66">
                  <c:v>298.54187017476391</c:v>
                </c:pt>
                <c:pt idx="67">
                  <c:v>298.42935983982369</c:v>
                </c:pt>
                <c:pt idx="68">
                  <c:v>298.31092701624442</c:v>
                </c:pt>
                <c:pt idx="69">
                  <c:v>298.18637953964463</c:v>
                </c:pt>
                <c:pt idx="70">
                  <c:v>298.05551924896542</c:v>
                </c:pt>
                <c:pt idx="71">
                  <c:v>297.9181464209654</c:v>
                </c:pt>
                <c:pt idx="72">
                  <c:v>297.7740554701337</c:v>
                </c:pt>
                <c:pt idx="73">
                  <c:v>297.62303720952644</c:v>
                </c:pt>
                <c:pt idx="74">
                  <c:v>297.46487784369509</c:v>
                </c:pt>
                <c:pt idx="75">
                  <c:v>297.29935906153116</c:v>
                </c:pt>
                <c:pt idx="76">
                  <c:v>297.12625922371114</c:v>
                </c:pt>
                <c:pt idx="77">
                  <c:v>296.94535238264842</c:v>
                </c:pt>
                <c:pt idx="78">
                  <c:v>296.75640731787848</c:v>
                </c:pt>
                <c:pt idx="79">
                  <c:v>296.55918767116947</c:v>
                </c:pt>
                <c:pt idx="80">
                  <c:v>296.35345533539208</c:v>
                </c:pt>
                <c:pt idx="81">
                  <c:v>296.1389673573878</c:v>
                </c:pt>
                <c:pt idx="82">
                  <c:v>295.91547503243498</c:v>
                </c:pt>
                <c:pt idx="83">
                  <c:v>295.68272839855268</c:v>
                </c:pt>
                <c:pt idx="84">
                  <c:v>295.44047104879661</c:v>
                </c:pt>
                <c:pt idx="85">
                  <c:v>295.18844464875559</c:v>
                </c:pt>
                <c:pt idx="86">
                  <c:v>294.92638808493285</c:v>
                </c:pt>
                <c:pt idx="87">
                  <c:v>294.6540355758371</c:v>
                </c:pt>
                <c:pt idx="88">
                  <c:v>294.37112120677511</c:v>
                </c:pt>
                <c:pt idx="89">
                  <c:v>294.07737388830247</c:v>
                </c:pt>
                <c:pt idx="90">
                  <c:v>293.77252297890027</c:v>
                </c:pt>
                <c:pt idx="91">
                  <c:v>293.45629647672359</c:v>
                </c:pt>
                <c:pt idx="92">
                  <c:v>293.12842136562358</c:v>
                </c:pt>
                <c:pt idx="93">
                  <c:v>292.78862398515651</c:v>
                </c:pt>
                <c:pt idx="94">
                  <c:v>292.43663251015124</c:v>
                </c:pt>
                <c:pt idx="95">
                  <c:v>292.07217630024525</c:v>
                </c:pt>
                <c:pt idx="96">
                  <c:v>291.69498736132283</c:v>
                </c:pt>
                <c:pt idx="97">
                  <c:v>291.30480078038556</c:v>
                </c:pt>
                <c:pt idx="98">
                  <c:v>290.90135620802107</c:v>
                </c:pt>
                <c:pt idx="99">
                  <c:v>290.48439832087251</c:v>
                </c:pt>
                <c:pt idx="100">
                  <c:v>290.05368034331946</c:v>
                </c:pt>
                <c:pt idx="101">
                  <c:v>289.60896146472783</c:v>
                </c:pt>
                <c:pt idx="102">
                  <c:v>289.15001136418437</c:v>
                </c:pt>
                <c:pt idx="103">
                  <c:v>288.67660965914837</c:v>
                </c:pt>
                <c:pt idx="104">
                  <c:v>288.18854835675364</c:v>
                </c:pt>
                <c:pt idx="105">
                  <c:v>287.68563424290556</c:v>
                </c:pt>
                <c:pt idx="106">
                  <c:v>287.16768731554492</c:v>
                </c:pt>
                <c:pt idx="107">
                  <c:v>286.63454603158311</c:v>
                </c:pt>
                <c:pt idx="108">
                  <c:v>286.08606566525174</c:v>
                </c:pt>
                <c:pt idx="109">
                  <c:v>285.52212146044104</c:v>
                </c:pt>
                <c:pt idx="110">
                  <c:v>284.94260975851108</c:v>
                </c:pt>
                <c:pt idx="111">
                  <c:v>284.34744997525172</c:v>
                </c:pt>
                <c:pt idx="112">
                  <c:v>283.73658461275693</c:v>
                </c:pt>
                <c:pt idx="113">
                  <c:v>283.10998013268454</c:v>
                </c:pt>
                <c:pt idx="114">
                  <c:v>282.46763040834264</c:v>
                </c:pt>
                <c:pt idx="115">
                  <c:v>281.8095554888809</c:v>
                </c:pt>
                <c:pt idx="116">
                  <c:v>281.13580122497649</c:v>
                </c:pt>
                <c:pt idx="117">
                  <c:v>280.44644311614212</c:v>
                </c:pt>
                <c:pt idx="118">
                  <c:v>279.74158386425847</c:v>
                </c:pt>
                <c:pt idx="119">
                  <c:v>279.02135346868602</c:v>
                </c:pt>
                <c:pt idx="120">
                  <c:v>278.28591081558545</c:v>
                </c:pt>
                <c:pt idx="121">
                  <c:v>277.53544096315943</c:v>
                </c:pt>
                <c:pt idx="122">
                  <c:v>276.77015564477045</c:v>
                </c:pt>
                <c:pt idx="123">
                  <c:v>275.9902912275698</c:v>
                </c:pt>
                <c:pt idx="124">
                  <c:v>275.19610895290305</c:v>
                </c:pt>
                <c:pt idx="125">
                  <c:v>274.38789346842901</c:v>
                </c:pt>
                <c:pt idx="126">
                  <c:v>273.56594910151762</c:v>
                </c:pt>
                <c:pt idx="127">
                  <c:v>272.73059988304192</c:v>
                </c:pt>
                <c:pt idx="128">
                  <c:v>271.88218797049205</c:v>
                </c:pt>
                <c:pt idx="129">
                  <c:v>271.02106997644358</c:v>
                </c:pt>
                <c:pt idx="130">
                  <c:v>270.14761684443721</c:v>
                </c:pt>
                <c:pt idx="131">
                  <c:v>269.26221028072871</c:v>
                </c:pt>
                <c:pt idx="132">
                  <c:v>268.36524068378105</c:v>
                </c:pt>
                <c:pt idx="133">
                  <c:v>267.45710576904116</c:v>
                </c:pt>
                <c:pt idx="134">
                  <c:v>266.53820798607825</c:v>
                </c:pt>
                <c:pt idx="135">
                  <c:v>265.60895269308548</c:v>
                </c:pt>
                <c:pt idx="136">
                  <c:v>264.6697469983655</c:v>
                </c:pt>
                <c:pt idx="137">
                  <c:v>263.72099583783131</c:v>
                </c:pt>
                <c:pt idx="138">
                  <c:v>262.7631028000863</c:v>
                </c:pt>
                <c:pt idx="139">
                  <c:v>261.79646758903255</c:v>
                </c:pt>
                <c:pt idx="140">
                  <c:v>260.82148324256173</c:v>
                </c:pt>
                <c:pt idx="141">
                  <c:v>259.83853764217326</c:v>
                </c:pt>
                <c:pt idx="142">
                  <c:v>258.84800995709827</c:v>
                </c:pt>
                <c:pt idx="143">
                  <c:v>257.85027174729879</c:v>
                </c:pt>
                <c:pt idx="144">
                  <c:v>256.84568383255879</c:v>
                </c:pt>
                <c:pt idx="145">
                  <c:v>255.83459797052532</c:v>
                </c:pt>
                <c:pt idx="146">
                  <c:v>254.81735491214653</c:v>
                </c:pt>
                <c:pt idx="147">
                  <c:v>253.79428398560935</c:v>
                </c:pt>
                <c:pt idx="148">
                  <c:v>252.76570354964281</c:v>
                </c:pt>
                <c:pt idx="149">
                  <c:v>251.73192026455044</c:v>
                </c:pt>
                <c:pt idx="150">
                  <c:v>250.69322888009961</c:v>
                </c:pt>
                <c:pt idx="151">
                  <c:v>249.64991279978679</c:v>
                </c:pt>
                <c:pt idx="152">
                  <c:v>248.60224324579795</c:v>
                </c:pt>
                <c:pt idx="153">
                  <c:v>247.55048024059371</c:v>
                </c:pt>
                <c:pt idx="154">
                  <c:v>246.49487222438486</c:v>
                </c:pt>
                <c:pt idx="155">
                  <c:v>245.43565610073236</c:v>
                </c:pt>
                <c:pt idx="156">
                  <c:v>244.3730584812958</c:v>
                </c:pt>
                <c:pt idx="157">
                  <c:v>243.30729483949088</c:v>
                </c:pt>
                <c:pt idx="158">
                  <c:v>242.23857020669897</c:v>
                </c:pt>
                <c:pt idx="159">
                  <c:v>241.16707955433804</c:v>
                </c:pt>
                <c:pt idx="160">
                  <c:v>240.09300840798346</c:v>
                </c:pt>
                <c:pt idx="161">
                  <c:v>239.01653272101967</c:v>
                </c:pt>
                <c:pt idx="162">
                  <c:v>237.93781949953794</c:v>
                </c:pt>
                <c:pt idx="163">
                  <c:v>236.85702695540263</c:v>
                </c:pt>
                <c:pt idx="164">
                  <c:v>235.77430509297147</c:v>
                </c:pt>
                <c:pt idx="165">
                  <c:v>234.68979586711009</c:v>
                </c:pt>
                <c:pt idx="166">
                  <c:v>233.60363390556208</c:v>
                </c:pt>
                <c:pt idx="167">
                  <c:v>232.51594630270935</c:v>
                </c:pt>
                <c:pt idx="168">
                  <c:v>231.42685347869087</c:v>
                </c:pt>
                <c:pt idx="169">
                  <c:v>230.33646915982573</c:v>
                </c:pt>
                <c:pt idx="170">
                  <c:v>229.2463124539737</c:v>
                </c:pt>
                <c:pt idx="171">
                  <c:v>228.15936511571684</c:v>
                </c:pt>
                <c:pt idx="172">
                  <c:v>227.07865972681807</c:v>
                </c:pt>
                <c:pt idx="173">
                  <c:v>226.0072291573741</c:v>
                </c:pt>
                <c:pt idx="174">
                  <c:v>224.94810760486422</c:v>
                </c:pt>
                <c:pt idx="175">
                  <c:v>223.90432633625355</c:v>
                </c:pt>
                <c:pt idx="176">
                  <c:v>222.87891421693152</c:v>
                </c:pt>
                <c:pt idx="177">
                  <c:v>221.87489378485739</c:v>
                </c:pt>
                <c:pt idx="178">
                  <c:v>220.89528428381084</c:v>
                </c:pt>
                <c:pt idx="179">
                  <c:v>219.94309834272221</c:v>
                </c:pt>
                <c:pt idx="180">
                  <c:v>219.02134129348204</c:v>
                </c:pt>
                <c:pt idx="181">
                  <c:v>218.13301519614987</c:v>
                </c:pt>
                <c:pt idx="182">
                  <c:v>217.28111258688597</c:v>
                </c:pt>
                <c:pt idx="183">
                  <c:v>216.46862164584815</c:v>
                </c:pt>
                <c:pt idx="184">
                  <c:v>215.69852234946984</c:v>
                </c:pt>
                <c:pt idx="185">
                  <c:v>214.97379178279309</c:v>
                </c:pt>
                <c:pt idx="186">
                  <c:v>214.29739750401086</c:v>
                </c:pt>
                <c:pt idx="187">
                  <c:v>213.67088419444804</c:v>
                </c:pt>
                <c:pt idx="188">
                  <c:v>213.09432086068665</c:v>
                </c:pt>
                <c:pt idx="189">
                  <c:v>212.56772010130393</c:v>
                </c:pt>
                <c:pt idx="190">
                  <c:v>212.09109395765088</c:v>
                </c:pt>
                <c:pt idx="191">
                  <c:v>211.66445057984191</c:v>
                </c:pt>
                <c:pt idx="192">
                  <c:v>211.28637489720404</c:v>
                </c:pt>
                <c:pt idx="193">
                  <c:v>210.95397904532518</c:v>
                </c:pt>
                <c:pt idx="194">
                  <c:v>210.6643227790947</c:v>
                </c:pt>
                <c:pt idx="195">
                  <c:v>210.41446888361403</c:v>
                </c:pt>
                <c:pt idx="196">
                  <c:v>210.20147748356521</c:v>
                </c:pt>
                <c:pt idx="197">
                  <c:v>210.0224052611824</c:v>
                </c:pt>
                <c:pt idx="198">
                  <c:v>209.87431461372842</c:v>
                </c:pt>
                <c:pt idx="199">
                  <c:v>209.75426276018612</c:v>
                </c:pt>
                <c:pt idx="200">
                  <c:v>209.65930981484922</c:v>
                </c:pt>
                <c:pt idx="201">
                  <c:v>209.58651283263455</c:v>
                </c:pt>
                <c:pt idx="202">
                  <c:v>209.5329328374512</c:v>
                </c:pt>
                <c:pt idx="203">
                  <c:v>209.49562683846403</c:v>
                </c:pt>
                <c:pt idx="204">
                  <c:v>209.47165483860914</c:v>
                </c:pt>
                <c:pt idx="205">
                  <c:v>209.45807583862003</c:v>
                </c:pt>
                <c:pt idx="206">
                  <c:v>209.45194783862027</c:v>
                </c:pt>
                <c:pt idx="207">
                  <c:v>209.45032983862026</c:v>
                </c:pt>
                <c:pt idx="208">
                  <c:v>209.45028083862027</c:v>
                </c:pt>
                <c:pt idx="209">
                  <c:v>209.45028083862027</c:v>
                </c:pt>
              </c:numCache>
            </c:numRef>
          </c:yVal>
          <c:smooth val="0"/>
        </c:ser>
        <c:ser>
          <c:idx val="2"/>
          <c:order val="2"/>
          <c:tx>
            <c:v>Left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Main!$T$2:$T$211</c:f>
              <c:numCache>
                <c:formatCode>General</c:formatCode>
                <c:ptCount val="210"/>
                <c:pt idx="0">
                  <c:v>-1.0773201283364657E-3</c:v>
                </c:pt>
                <c:pt idx="1">
                  <c:v>3.9367986680124869E-4</c:v>
                </c:pt>
                <c:pt idx="2">
                  <c:v>6.3021798482216975E-3</c:v>
                </c:pt>
                <c:pt idx="3">
                  <c:v>1.9616679812427401E-2</c:v>
                </c:pt>
                <c:pt idx="4">
                  <c:v>4.3279179764960957E-2</c:v>
                </c:pt>
                <c:pt idx="5">
                  <c:v>8.0255179723502199E-2</c:v>
                </c:pt>
                <c:pt idx="6">
                  <c:v>0.13350192970765556</c:v>
                </c:pt>
                <c:pt idx="7">
                  <c:v>0.20596149983585013</c:v>
                </c:pt>
                <c:pt idx="8">
                  <c:v>0.30059624974035493</c:v>
                </c:pt>
                <c:pt idx="9">
                  <c:v>0.42035024922365405</c:v>
                </c:pt>
                <c:pt idx="10">
                  <c:v>0.56817674754129255</c:v>
                </c:pt>
                <c:pt idx="11">
                  <c:v>0.74701974325856235</c:v>
                </c:pt>
                <c:pt idx="12">
                  <c:v>0.95981723388415818</c:v>
                </c:pt>
                <c:pt idx="13">
                  <c:v>1.2094867155896356</c:v>
                </c:pt>
                <c:pt idx="14">
                  <c:v>1.4989671826831208</c:v>
                </c:pt>
                <c:pt idx="15">
                  <c:v>1.8311608776114232</c:v>
                </c:pt>
                <c:pt idx="16">
                  <c:v>2.2089832908163367</c:v>
                </c:pt>
                <c:pt idx="17">
                  <c:v>2.6353214115069488</c:v>
                </c:pt>
                <c:pt idx="18">
                  <c:v>3.1115799796560095</c:v>
                </c:pt>
                <c:pt idx="19">
                  <c:v>3.6376794887844772</c:v>
                </c:pt>
                <c:pt idx="20">
                  <c:v>4.213540438073573</c:v>
                </c:pt>
                <c:pt idx="21">
                  <c:v>4.8390833346630515</c:v>
                </c:pt>
                <c:pt idx="22">
                  <c:v>5.5141756982065901</c:v>
                </c:pt>
                <c:pt idx="23">
                  <c:v>6.2372538101760142</c:v>
                </c:pt>
                <c:pt idx="24">
                  <c:v>7.0052717114602547</c:v>
                </c:pt>
                <c:pt idx="25">
                  <c:v>7.8151681945731291</c:v>
                </c:pt>
                <c:pt idx="26">
                  <c:v>8.6639217883999233</c:v>
                </c:pt>
                <c:pt idx="27">
                  <c:v>9.5484609910358955</c:v>
                </c:pt>
                <c:pt idx="28">
                  <c:v>10.465771420560895</c:v>
                </c:pt>
                <c:pt idx="29">
                  <c:v>11.412830313606078</c:v>
                </c:pt>
                <c:pt idx="30">
                  <c:v>12.386609815044574</c:v>
                </c:pt>
                <c:pt idx="31">
                  <c:v>13.38410321439615</c:v>
                </c:pt>
                <c:pt idx="32">
                  <c:v>14.402316829514767</c:v>
                </c:pt>
                <c:pt idx="33">
                  <c:v>15.438239454309389</c:v>
                </c:pt>
                <c:pt idx="34">
                  <c:v>16.48891857122533</c:v>
                </c:pt>
                <c:pt idx="35">
                  <c:v>17.551355547296016</c:v>
                </c:pt>
                <c:pt idx="36">
                  <c:v>18.622609362866747</c:v>
                </c:pt>
                <c:pt idx="37">
                  <c:v>19.699748847578803</c:v>
                </c:pt>
                <c:pt idx="38">
                  <c:v>20.779802645705018</c:v>
                </c:pt>
                <c:pt idx="39">
                  <c:v>21.859893778821377</c:v>
                </c:pt>
                <c:pt idx="40">
                  <c:v>22.938534258626124</c:v>
                </c:pt>
                <c:pt idx="41">
                  <c:v>24.015706475374902</c:v>
                </c:pt>
                <c:pt idx="42">
                  <c:v>25.091392216056978</c:v>
                </c:pt>
                <c:pt idx="43">
                  <c:v>26.165572621390996</c:v>
                </c:pt>
                <c:pt idx="44">
                  <c:v>27.238214872950472</c:v>
                </c:pt>
                <c:pt idx="45">
                  <c:v>28.309298659780016</c:v>
                </c:pt>
                <c:pt idx="46">
                  <c:v>29.378802883698445</c:v>
                </c:pt>
                <c:pt idx="47">
                  <c:v>30.446679063548498</c:v>
                </c:pt>
                <c:pt idx="48">
                  <c:v>31.512904316415057</c:v>
                </c:pt>
                <c:pt idx="49">
                  <c:v>32.577441535061091</c:v>
                </c:pt>
                <c:pt idx="50">
                  <c:v>33.640265853785579</c:v>
                </c:pt>
                <c:pt idx="51">
                  <c:v>34.701311505257877</c:v>
                </c:pt>
                <c:pt idx="52">
                  <c:v>35.760564603784239</c:v>
                </c:pt>
                <c:pt idx="53">
                  <c:v>36.817970268885716</c:v>
                </c:pt>
                <c:pt idx="54">
                  <c:v>37.87347227563081</c:v>
                </c:pt>
                <c:pt idx="55">
                  <c:v>38.927039549078145</c:v>
                </c:pt>
                <c:pt idx="56">
                  <c:v>39.97859975412095</c:v>
                </c:pt>
                <c:pt idx="57">
                  <c:v>41.028118786678334</c:v>
                </c:pt>
                <c:pt idx="58">
                  <c:v>42.075507829434322</c:v>
                </c:pt>
                <c:pt idx="59">
                  <c:v>43.120742641208174</c:v>
                </c:pt>
                <c:pt idx="60">
                  <c:v>44.163717573292907</c:v>
                </c:pt>
                <c:pt idx="61">
                  <c:v>45.204391288282878</c:v>
                </c:pt>
                <c:pt idx="62">
                  <c:v>46.242693958993065</c:v>
                </c:pt>
                <c:pt idx="63">
                  <c:v>47.278527026112293</c:v>
                </c:pt>
                <c:pt idx="64">
                  <c:v>48.31182939140885</c:v>
                </c:pt>
                <c:pt idx="65">
                  <c:v>49.342511082075752</c:v>
                </c:pt>
                <c:pt idx="66">
                  <c:v>50.370479552566614</c:v>
                </c:pt>
                <c:pt idx="67">
                  <c:v>51.395639554770909</c:v>
                </c:pt>
                <c:pt idx="68">
                  <c:v>52.417906296448294</c:v>
                </c:pt>
                <c:pt idx="69">
                  <c:v>53.437178834623296</c:v>
                </c:pt>
                <c:pt idx="70">
                  <c:v>54.453326557677478</c:v>
                </c:pt>
                <c:pt idx="71">
                  <c:v>55.466268515857315</c:v>
                </c:pt>
                <c:pt idx="72">
                  <c:v>56.475867473397358</c:v>
                </c:pt>
                <c:pt idx="73">
                  <c:v>57.48200896643791</c:v>
                </c:pt>
                <c:pt idx="74">
                  <c:v>58.484561553640823</c:v>
                </c:pt>
                <c:pt idx="75">
                  <c:v>59.483389800639685</c:v>
                </c:pt>
                <c:pt idx="76">
                  <c:v>60.478367364017295</c:v>
                </c:pt>
                <c:pt idx="77">
                  <c:v>61.469350449511211</c:v>
                </c:pt>
                <c:pt idx="78">
                  <c:v>62.456177517043507</c:v>
                </c:pt>
                <c:pt idx="79">
                  <c:v>63.438682192779297</c:v>
                </c:pt>
                <c:pt idx="80">
                  <c:v>64.416732732718771</c:v>
                </c:pt>
                <c:pt idx="81">
                  <c:v>65.390152998831795</c:v>
                </c:pt>
                <c:pt idx="82">
                  <c:v>66.358748268154201</c:v>
                </c:pt>
                <c:pt idx="83">
                  <c:v>67.322370792182696</c:v>
                </c:pt>
                <c:pt idx="84">
                  <c:v>68.280801684138211</c:v>
                </c:pt>
                <c:pt idx="85">
                  <c:v>69.233868354046933</c:v>
                </c:pt>
                <c:pt idx="86">
                  <c:v>70.181379240515398</c:v>
                </c:pt>
                <c:pt idx="87">
                  <c:v>71.123110391534553</c:v>
                </c:pt>
                <c:pt idx="88">
                  <c:v>72.058883499982102</c:v>
                </c:pt>
                <c:pt idx="89">
                  <c:v>72.98844877105283</c:v>
                </c:pt>
                <c:pt idx="90">
                  <c:v>73.911614365512733</c:v>
                </c:pt>
                <c:pt idx="91">
                  <c:v>74.828155934445988</c:v>
                </c:pt>
                <c:pt idx="92">
                  <c:v>75.737842150628225</c:v>
                </c:pt>
                <c:pt idx="93">
                  <c:v>76.640434574132797</c:v>
                </c:pt>
                <c:pt idx="94">
                  <c:v>77.535713338859935</c:v>
                </c:pt>
                <c:pt idx="95">
                  <c:v>78.423438753258978</c:v>
                </c:pt>
                <c:pt idx="96">
                  <c:v>79.30337673573176</c:v>
                </c:pt>
                <c:pt idx="97">
                  <c:v>80.175286121362973</c:v>
                </c:pt>
                <c:pt idx="98">
                  <c:v>81.038931360915981</c:v>
                </c:pt>
                <c:pt idx="99">
                  <c:v>81.894069970959194</c:v>
                </c:pt>
                <c:pt idx="100">
                  <c:v>82.740490421484381</c:v>
                </c:pt>
                <c:pt idx="101">
                  <c:v>83.577937195576908</c:v>
                </c:pt>
                <c:pt idx="102">
                  <c:v>84.406198010585484</c:v>
                </c:pt>
                <c:pt idx="103">
                  <c:v>85.225042217689605</c:v>
                </c:pt>
                <c:pt idx="104">
                  <c:v>86.034257927166578</c:v>
                </c:pt>
                <c:pt idx="105">
                  <c:v>86.833652386108696</c:v>
                </c:pt>
                <c:pt idx="106">
                  <c:v>87.623003560151176</c:v>
                </c:pt>
                <c:pt idx="107">
                  <c:v>88.402145048479497</c:v>
                </c:pt>
                <c:pt idx="108">
                  <c:v>89.170882519502726</c:v>
                </c:pt>
                <c:pt idx="109">
                  <c:v>89.929053566728228</c:v>
                </c:pt>
                <c:pt idx="110">
                  <c:v>90.676504536634724</c:v>
                </c:pt>
                <c:pt idx="111">
                  <c:v>91.413102676110384</c:v>
                </c:pt>
                <c:pt idx="112">
                  <c:v>92.138713346487137</c:v>
                </c:pt>
                <c:pt idx="113">
                  <c:v>92.853211938485074</c:v>
                </c:pt>
                <c:pt idx="114">
                  <c:v>93.556518504937827</c:v>
                </c:pt>
                <c:pt idx="115">
                  <c:v>94.24854190761971</c:v>
                </c:pt>
                <c:pt idx="116">
                  <c:v>94.929191419366404</c:v>
                </c:pt>
                <c:pt idx="117">
                  <c:v>95.598432256811009</c:v>
                </c:pt>
                <c:pt idx="118">
                  <c:v>96.256209907887552</c:v>
                </c:pt>
                <c:pt idx="119">
                  <c:v>96.902482884163561</c:v>
                </c:pt>
                <c:pt idx="120">
                  <c:v>97.537244391144696</c:v>
                </c:pt>
                <c:pt idx="121">
                  <c:v>98.160470607077031</c:v>
                </c:pt>
                <c:pt idx="122">
                  <c:v>98.772162445187433</c:v>
                </c:pt>
                <c:pt idx="123">
                  <c:v>99.372315673399413</c:v>
                </c:pt>
                <c:pt idx="124">
                  <c:v>99.960951429154903</c:v>
                </c:pt>
                <c:pt idx="125">
                  <c:v>100.53809714117337</c:v>
                </c:pt>
                <c:pt idx="126">
                  <c:v>101.10375828793769</c:v>
                </c:pt>
                <c:pt idx="127">
                  <c:v>101.65796644069952</c:v>
                </c:pt>
                <c:pt idx="128">
                  <c:v>102.20076121498931</c:v>
                </c:pt>
                <c:pt idx="129">
                  <c:v>102.73216360830644</c:v>
                </c:pt>
                <c:pt idx="130">
                  <c:v>103.25222139677317</c:v>
                </c:pt>
                <c:pt idx="131">
                  <c:v>103.76096593178158</c:v>
                </c:pt>
                <c:pt idx="132">
                  <c:v>104.25842999831352</c:v>
                </c:pt>
                <c:pt idx="133">
                  <c:v>104.74465678402572</c:v>
                </c:pt>
                <c:pt idx="134">
                  <c:v>105.21968401691021</c:v>
                </c:pt>
                <c:pt idx="135">
                  <c:v>105.68355252604039</c:v>
                </c:pt>
                <c:pt idx="136">
                  <c:v>106.13631453992792</c:v>
                </c:pt>
                <c:pt idx="137">
                  <c:v>106.5779958555829</c:v>
                </c:pt>
                <c:pt idx="138">
                  <c:v>107.00865586588014</c:v>
                </c:pt>
                <c:pt idx="139">
                  <c:v>107.42834419435992</c:v>
                </c:pt>
                <c:pt idx="140">
                  <c:v>107.83709374942332</c:v>
                </c:pt>
                <c:pt idx="141">
                  <c:v>108.23497607616655</c:v>
                </c:pt>
                <c:pt idx="142">
                  <c:v>108.62203423843579</c:v>
                </c:pt>
                <c:pt idx="143">
                  <c:v>108.99834157146313</c:v>
                </c:pt>
                <c:pt idx="144">
                  <c:v>109.36394437503586</c:v>
                </c:pt>
                <c:pt idx="145">
                  <c:v>109.71892343519013</c:v>
                </c:pt>
                <c:pt idx="146">
                  <c:v>110.06334597864701</c:v>
                </c:pt>
                <c:pt idx="147">
                  <c:v>110.39728262396987</c:v>
                </c:pt>
                <c:pt idx="148">
                  <c:v>110.72081843346463</c:v>
                </c:pt>
                <c:pt idx="149">
                  <c:v>111.03403619099653</c:v>
                </c:pt>
                <c:pt idx="150">
                  <c:v>111.33702114745628</c:v>
                </c:pt>
                <c:pt idx="151">
                  <c:v>111.62987097301991</c:v>
                </c:pt>
                <c:pt idx="152">
                  <c:v>111.91267535319408</c:v>
                </c:pt>
                <c:pt idx="153">
                  <c:v>112.18553953633275</c:v>
                </c:pt>
                <c:pt idx="154">
                  <c:v>112.448565407728</c:v>
                </c:pt>
                <c:pt idx="155">
                  <c:v>112.7018551933744</c:v>
                </c:pt>
                <c:pt idx="156">
                  <c:v>112.94552870687795</c:v>
                </c:pt>
                <c:pt idx="157">
                  <c:v>113.17969357463329</c:v>
                </c:pt>
                <c:pt idx="158">
                  <c:v>113.40446453058119</c:v>
                </c:pt>
                <c:pt idx="159">
                  <c:v>113.61995931224648</c:v>
                </c:pt>
                <c:pt idx="160">
                  <c:v>113.82630223043246</c:v>
                </c:pt>
                <c:pt idx="161">
                  <c:v>114.02361282655373</c:v>
                </c:pt>
                <c:pt idx="162">
                  <c:v>114.21201572892069</c:v>
                </c:pt>
                <c:pt idx="163">
                  <c:v>114.39163364448106</c:v>
                </c:pt>
                <c:pt idx="164">
                  <c:v>114.56259342991433</c:v>
                </c:pt>
                <c:pt idx="165">
                  <c:v>114.72501963221085</c:v>
                </c:pt>
                <c:pt idx="166">
                  <c:v>114.87904325607093</c:v>
                </c:pt>
                <c:pt idx="167">
                  <c:v>115.02478713984297</c:v>
                </c:pt>
                <c:pt idx="168">
                  <c:v>115.1623818750097</c:v>
                </c:pt>
                <c:pt idx="169">
                  <c:v>115.2919528907327</c:v>
                </c:pt>
                <c:pt idx="170">
                  <c:v>115.41348174232627</c:v>
                </c:pt>
                <c:pt idx="171">
                  <c:v>115.52684501195797</c:v>
                </c:pt>
                <c:pt idx="172">
                  <c:v>115.63199216121383</c:v>
                </c:pt>
                <c:pt idx="173">
                  <c:v>115.72894746397749</c:v>
                </c:pt>
                <c:pt idx="174">
                  <c:v>115.81780022671501</c:v>
                </c:pt>
                <c:pt idx="175">
                  <c:v>115.89870751700622</c:v>
                </c:pt>
                <c:pt idx="176">
                  <c:v>115.97188123887227</c:v>
                </c:pt>
                <c:pt idx="177">
                  <c:v>116.03758745574046</c:v>
                </c:pt>
                <c:pt idx="178">
                  <c:v>116.09613509918145</c:v>
                </c:pt>
                <c:pt idx="179">
                  <c:v>116.14787963736015</c:v>
                </c:pt>
                <c:pt idx="180">
                  <c:v>116.19320563520658</c:v>
                </c:pt>
                <c:pt idx="181">
                  <c:v>116.23253223562031</c:v>
                </c:pt>
                <c:pt idx="182">
                  <c:v>116.26629785366839</c:v>
                </c:pt>
                <c:pt idx="183">
                  <c:v>116.29496018356782</c:v>
                </c:pt>
                <c:pt idx="184">
                  <c:v>116.31898738198807</c:v>
                </c:pt>
                <c:pt idx="185">
                  <c:v>116.33885352257644</c:v>
                </c:pt>
                <c:pt idx="186">
                  <c:v>116.3550317318747</c:v>
                </c:pt>
                <c:pt idx="187">
                  <c:v>116.36801012491313</c:v>
                </c:pt>
                <c:pt idx="188">
                  <c:v>116.37827158733872</c:v>
                </c:pt>
                <c:pt idx="189">
                  <c:v>116.38625236215864</c:v>
                </c:pt>
                <c:pt idx="190">
                  <c:v>116.39234647117644</c:v>
                </c:pt>
                <c:pt idx="191">
                  <c:v>116.39690268898418</c:v>
                </c:pt>
                <c:pt idx="192">
                  <c:v>116.40023940179429</c:v>
                </c:pt>
                <c:pt idx="193">
                  <c:v>116.40263444091063</c:v>
                </c:pt>
                <c:pt idx="194">
                  <c:v>116.40431475434367</c:v>
                </c:pt>
                <c:pt idx="195">
                  <c:v>116.40546264528228</c:v>
                </c:pt>
                <c:pt idx="196">
                  <c:v>116.40622310531452</c:v>
                </c:pt>
                <c:pt idx="197">
                  <c:v>116.40670884302936</c:v>
                </c:pt>
                <c:pt idx="198">
                  <c:v>116.40700598565699</c:v>
                </c:pt>
                <c:pt idx="199">
                  <c:v>116.40717813052768</c:v>
                </c:pt>
                <c:pt idx="200">
                  <c:v>116.40727148040325</c:v>
                </c:pt>
                <c:pt idx="201">
                  <c:v>116.40731797626044</c:v>
                </c:pt>
                <c:pt idx="202">
                  <c:v>116.40733864919378</c:v>
                </c:pt>
                <c:pt idx="203">
                  <c:v>116.40734651082245</c:v>
                </c:pt>
                <c:pt idx="204">
                  <c:v>116.40734886867858</c:v>
                </c:pt>
                <c:pt idx="205">
                  <c:v>116.40734934252424</c:v>
                </c:pt>
                <c:pt idx="206">
                  <c:v>116.40734938772502</c:v>
                </c:pt>
                <c:pt idx="207">
                  <c:v>116.40734938721781</c:v>
                </c:pt>
                <c:pt idx="208">
                  <c:v>116.40734938721877</c:v>
                </c:pt>
                <c:pt idx="209">
                  <c:v>116.40734938721877</c:v>
                </c:pt>
              </c:numCache>
            </c:numRef>
          </c:xVal>
          <c:yVal>
            <c:numRef>
              <c:f>Main!$U$2:$U$211</c:f>
              <c:numCache>
                <c:formatCode>General</c:formatCode>
                <c:ptCount val="210"/>
                <c:pt idx="0">
                  <c:v>286.75000004379694</c:v>
                </c:pt>
                <c:pt idx="1">
                  <c:v>286.74999992419407</c:v>
                </c:pt>
                <c:pt idx="2">
                  <c:v>286.74999945558108</c:v>
                </c:pt>
                <c:pt idx="3">
                  <c:v>286.74999847929416</c:v>
                </c:pt>
                <c:pt idx="4">
                  <c:v>286.7499969806255</c:v>
                </c:pt>
                <c:pt idx="5">
                  <c:v>286.74999522969921</c:v>
                </c:pt>
                <c:pt idx="6">
                  <c:v>286.74999393191626</c:v>
                </c:pt>
                <c:pt idx="7">
                  <c:v>286.74999436058846</c:v>
                </c:pt>
                <c:pt idx="8">
                  <c:v>286.74999860907553</c:v>
                </c:pt>
                <c:pt idx="9">
                  <c:v>286.75000973093353</c:v>
                </c:pt>
                <c:pt idx="10">
                  <c:v>286.75003203044844</c:v>
                </c:pt>
                <c:pt idx="11">
                  <c:v>286.75007116643116</c:v>
                </c:pt>
                <c:pt idx="12">
                  <c:v>286.7501343269812</c:v>
                </c:pt>
                <c:pt idx="13">
                  <c:v>286.75022990139882</c:v>
                </c:pt>
                <c:pt idx="14">
                  <c:v>286.75036792505358</c:v>
                </c:pt>
                <c:pt idx="15">
                  <c:v>286.75055920371136</c:v>
                </c:pt>
                <c:pt idx="16">
                  <c:v>286.75081529842026</c:v>
                </c:pt>
                <c:pt idx="17">
                  <c:v>286.7511473483018</c:v>
                </c:pt>
                <c:pt idx="18">
                  <c:v>286.75156353860575</c:v>
                </c:pt>
                <c:pt idx="19">
                  <c:v>286.75206697035003</c:v>
                </c:pt>
                <c:pt idx="20">
                  <c:v>286.75265547245448</c:v>
                </c:pt>
                <c:pt idx="21">
                  <c:v>286.75332041366732</c:v>
                </c:pt>
                <c:pt idx="22">
                  <c:v>286.7540427624474</c:v>
                </c:pt>
                <c:pt idx="23">
                  <c:v>286.75479186398093</c:v>
                </c:pt>
                <c:pt idx="24">
                  <c:v>286.75552373962279</c:v>
                </c:pt>
                <c:pt idx="25">
                  <c:v>286.75618124399995</c:v>
                </c:pt>
                <c:pt idx="26">
                  <c:v>286.75669615907896</c:v>
                </c:pt>
                <c:pt idx="27">
                  <c:v>286.7569857722512</c:v>
                </c:pt>
                <c:pt idx="28">
                  <c:v>286.75695712061503</c:v>
                </c:pt>
                <c:pt idx="29">
                  <c:v>286.75650661772278</c:v>
                </c:pt>
                <c:pt idx="30">
                  <c:v>286.75552089762942</c:v>
                </c:pt>
                <c:pt idx="31">
                  <c:v>286.75387905352108</c:v>
                </c:pt>
                <c:pt idx="32">
                  <c:v>286.75145487315496</c:v>
                </c:pt>
                <c:pt idx="33">
                  <c:v>286.74811730573316</c:v>
                </c:pt>
                <c:pt idx="34">
                  <c:v>286.74373598844062</c:v>
                </c:pt>
                <c:pt idx="35">
                  <c:v>286.7381801498658</c:v>
                </c:pt>
                <c:pt idx="36">
                  <c:v>286.73132429078447</c:v>
                </c:pt>
                <c:pt idx="37">
                  <c:v>286.72305130026609</c:v>
                </c:pt>
                <c:pt idx="38">
                  <c:v>286.71325151405807</c:v>
                </c:pt>
                <c:pt idx="39">
                  <c:v>286.70183120874759</c:v>
                </c:pt>
                <c:pt idx="40">
                  <c:v>286.68869147990836</c:v>
                </c:pt>
                <c:pt idx="41">
                  <c:v>286.67371955089379</c:v>
                </c:pt>
                <c:pt idx="42">
                  <c:v>286.65680211866066</c:v>
                </c:pt>
                <c:pt idx="43">
                  <c:v>286.63782537108608</c:v>
                </c:pt>
                <c:pt idx="44">
                  <c:v>286.61667416589557</c:v>
                </c:pt>
                <c:pt idx="45">
                  <c:v>286.59323271317163</c:v>
                </c:pt>
                <c:pt idx="46">
                  <c:v>286.56738477843487</c:v>
                </c:pt>
                <c:pt idx="47">
                  <c:v>286.53901220608014</c:v>
                </c:pt>
                <c:pt idx="48">
                  <c:v>286.50799593350547</c:v>
                </c:pt>
                <c:pt idx="49">
                  <c:v>286.47421585466668</c:v>
                </c:pt>
                <c:pt idx="50">
                  <c:v>286.43755121235228</c:v>
                </c:pt>
                <c:pt idx="51">
                  <c:v>286.39787912659864</c:v>
                </c:pt>
                <c:pt idx="52">
                  <c:v>286.35507587486859</c:v>
                </c:pt>
                <c:pt idx="53">
                  <c:v>286.30901687004808</c:v>
                </c:pt>
                <c:pt idx="54">
                  <c:v>286.25957546306915</c:v>
                </c:pt>
                <c:pt idx="55">
                  <c:v>286.20662387582183</c:v>
                </c:pt>
                <c:pt idx="56">
                  <c:v>286.15003305712708</c:v>
                </c:pt>
                <c:pt idx="57">
                  <c:v>286.08967218256646</c:v>
                </c:pt>
                <c:pt idx="58">
                  <c:v>286.02540926356642</c:v>
                </c:pt>
                <c:pt idx="59">
                  <c:v>285.95710995869075</c:v>
                </c:pt>
                <c:pt idx="60">
                  <c:v>285.88463982867228</c:v>
                </c:pt>
                <c:pt idx="61">
                  <c:v>285.80786082928404</c:v>
                </c:pt>
                <c:pt idx="62">
                  <c:v>285.72663502068724</c:v>
                </c:pt>
                <c:pt idx="63">
                  <c:v>285.6408230242854</c:v>
                </c:pt>
                <c:pt idx="64">
                  <c:v>285.55028225430328</c:v>
                </c:pt>
                <c:pt idx="65">
                  <c:v>285.454869987731</c:v>
                </c:pt>
                <c:pt idx="66">
                  <c:v>285.35444153787529</c:v>
                </c:pt>
                <c:pt idx="67">
                  <c:v>285.2488503798894</c:v>
                </c:pt>
                <c:pt idx="68">
                  <c:v>285.13794794877123</c:v>
                </c:pt>
                <c:pt idx="69">
                  <c:v>285.02158531253065</c:v>
                </c:pt>
                <c:pt idx="70">
                  <c:v>284.89961306273858</c:v>
                </c:pt>
                <c:pt idx="71">
                  <c:v>284.77187669050539</c:v>
                </c:pt>
                <c:pt idx="72">
                  <c:v>284.63822468849713</c:v>
                </c:pt>
                <c:pt idx="73">
                  <c:v>284.49850160329595</c:v>
                </c:pt>
                <c:pt idx="74">
                  <c:v>284.35255202188296</c:v>
                </c:pt>
                <c:pt idx="75">
                  <c:v>284.20021920210962</c:v>
                </c:pt>
                <c:pt idx="76">
                  <c:v>284.04134428995405</c:v>
                </c:pt>
                <c:pt idx="77">
                  <c:v>283.87576934308197</c:v>
                </c:pt>
                <c:pt idx="78">
                  <c:v>283.7033369386379</c:v>
                </c:pt>
                <c:pt idx="79">
                  <c:v>283.52388854676855</c:v>
                </c:pt>
                <c:pt idx="80">
                  <c:v>283.33726062945675</c:v>
                </c:pt>
                <c:pt idx="81">
                  <c:v>283.14329560775184</c:v>
                </c:pt>
                <c:pt idx="82">
                  <c:v>282.9418372543156</c:v>
                </c:pt>
                <c:pt idx="83">
                  <c:v>282.73272187033496</c:v>
                </c:pt>
                <c:pt idx="84">
                  <c:v>282.51579724231192</c:v>
                </c:pt>
                <c:pt idx="85">
                  <c:v>282.29090282679346</c:v>
                </c:pt>
                <c:pt idx="86">
                  <c:v>282.05788246575884</c:v>
                </c:pt>
                <c:pt idx="87">
                  <c:v>281.81658646996664</c:v>
                </c:pt>
                <c:pt idx="88">
                  <c:v>281.56685707789671</c:v>
                </c:pt>
                <c:pt idx="89">
                  <c:v>281.30855280833862</c:v>
                </c:pt>
                <c:pt idx="90">
                  <c:v>281.04152072945777</c:v>
                </c:pt>
                <c:pt idx="91">
                  <c:v>280.76561806872604</c:v>
                </c:pt>
                <c:pt idx="92">
                  <c:v>280.48070607227197</c:v>
                </c:pt>
                <c:pt idx="93">
                  <c:v>280.18665044108161</c:v>
                </c:pt>
                <c:pt idx="94">
                  <c:v>279.88331538761685</c:v>
                </c:pt>
                <c:pt idx="95">
                  <c:v>279.57057470034971</c:v>
                </c:pt>
                <c:pt idx="96">
                  <c:v>279.24830485514013</c:v>
                </c:pt>
                <c:pt idx="97">
                  <c:v>278.91638935740411</c:v>
                </c:pt>
                <c:pt idx="98">
                  <c:v>278.57471531014386</c:v>
                </c:pt>
                <c:pt idx="99">
                  <c:v>278.22317801661285</c:v>
                </c:pt>
                <c:pt idx="100">
                  <c:v>277.86166882426897</c:v>
                </c:pt>
                <c:pt idx="101">
                  <c:v>277.4901020258992</c:v>
                </c:pt>
                <c:pt idx="102">
                  <c:v>277.1083830314023</c:v>
                </c:pt>
                <c:pt idx="103">
                  <c:v>276.71643269033967</c:v>
                </c:pt>
                <c:pt idx="104">
                  <c:v>276.31417271466523</c:v>
                </c:pt>
                <c:pt idx="105">
                  <c:v>275.90152601988513</c:v>
                </c:pt>
                <c:pt idx="106">
                  <c:v>275.47843798994921</c:v>
                </c:pt>
                <c:pt idx="107">
                  <c:v>275.04483824383232</c:v>
                </c:pt>
                <c:pt idx="108">
                  <c:v>274.60068030271481</c:v>
                </c:pt>
                <c:pt idx="109">
                  <c:v>274.14591224033035</c:v>
                </c:pt>
                <c:pt idx="110">
                  <c:v>273.68048860198894</c:v>
                </c:pt>
                <c:pt idx="111">
                  <c:v>273.20436389157396</c:v>
                </c:pt>
                <c:pt idx="112">
                  <c:v>272.71750504642142</c:v>
                </c:pt>
                <c:pt idx="113">
                  <c:v>272.21988442352313</c:v>
                </c:pt>
                <c:pt idx="114">
                  <c:v>271.7114587941989</c:v>
                </c:pt>
                <c:pt idx="115">
                  <c:v>271.19220370184121</c:v>
                </c:pt>
                <c:pt idx="116">
                  <c:v>270.66210573537421</c:v>
                </c:pt>
                <c:pt idx="117">
                  <c:v>270.12112474318661</c:v>
                </c:pt>
                <c:pt idx="118">
                  <c:v>269.56924610308425</c:v>
                </c:pt>
                <c:pt idx="119">
                  <c:v>269.00645673885549</c:v>
                </c:pt>
                <c:pt idx="120">
                  <c:v>268.43272823167524</c:v>
                </c:pt>
                <c:pt idx="121">
                  <c:v>267.84805684845833</c:v>
                </c:pt>
                <c:pt idx="122">
                  <c:v>267.25242937735413</c:v>
                </c:pt>
                <c:pt idx="123">
                  <c:v>266.64584797441557</c:v>
                </c:pt>
                <c:pt idx="124">
                  <c:v>266.02830317477793</c:v>
                </c:pt>
                <c:pt idx="125">
                  <c:v>265.39979086557241</c:v>
                </c:pt>
                <c:pt idx="126">
                  <c:v>264.76033907093642</c:v>
                </c:pt>
                <c:pt idx="127">
                  <c:v>264.10996097456115</c:v>
                </c:pt>
                <c:pt idx="128">
                  <c:v>263.44867304184362</c:v>
                </c:pt>
                <c:pt idx="129">
                  <c:v>262.77652343454179</c:v>
                </c:pt>
                <c:pt idx="130">
                  <c:v>262.09354252655839</c:v>
                </c:pt>
                <c:pt idx="131">
                  <c:v>261.39979213944434</c:v>
                </c:pt>
                <c:pt idx="132">
                  <c:v>260.69534498729166</c:v>
                </c:pt>
                <c:pt idx="133">
                  <c:v>259.98027394536302</c:v>
                </c:pt>
                <c:pt idx="134">
                  <c:v>259.25467247227647</c:v>
                </c:pt>
                <c:pt idx="135">
                  <c:v>258.51864370533076</c:v>
                </c:pt>
                <c:pt idx="136">
                  <c:v>257.77228934906537</c:v>
                </c:pt>
                <c:pt idx="137">
                  <c:v>257.01576359181917</c:v>
                </c:pt>
                <c:pt idx="138">
                  <c:v>256.24918505801492</c:v>
                </c:pt>
                <c:pt idx="139">
                  <c:v>255.47270296993591</c:v>
                </c:pt>
                <c:pt idx="140">
                  <c:v>254.6865081585012</c:v>
                </c:pt>
                <c:pt idx="141">
                  <c:v>253.89074214366116</c:v>
                </c:pt>
                <c:pt idx="142">
                  <c:v>253.08561123160359</c:v>
                </c:pt>
                <c:pt idx="143">
                  <c:v>252.2712823871216</c:v>
                </c:pt>
                <c:pt idx="144">
                  <c:v>251.44798781132235</c:v>
                </c:pt>
                <c:pt idx="145">
                  <c:v>250.61590733130581</c:v>
                </c:pt>
                <c:pt idx="146">
                  <c:v>249.77526288383072</c:v>
                </c:pt>
                <c:pt idx="147">
                  <c:v>248.92628257310344</c:v>
                </c:pt>
                <c:pt idx="148">
                  <c:v>248.06917654750492</c:v>
                </c:pt>
                <c:pt idx="149">
                  <c:v>247.20417314415741</c:v>
                </c:pt>
                <c:pt idx="150">
                  <c:v>246.33150662057645</c:v>
                </c:pt>
                <c:pt idx="151">
                  <c:v>245.45139265527487</c:v>
                </c:pt>
                <c:pt idx="152">
                  <c:v>244.56407749102232</c:v>
                </c:pt>
                <c:pt idx="153">
                  <c:v>243.6697761098022</c:v>
                </c:pt>
                <c:pt idx="154">
                  <c:v>242.76872195985669</c:v>
                </c:pt>
                <c:pt idx="155">
                  <c:v>241.86115445703527</c:v>
                </c:pt>
                <c:pt idx="156">
                  <c:v>240.947268966498</c:v>
                </c:pt>
                <c:pt idx="157">
                  <c:v>240.02730496381045</c:v>
                </c:pt>
                <c:pt idx="158">
                  <c:v>239.10148288182492</c:v>
                </c:pt>
                <c:pt idx="159">
                  <c:v>238.17001694825692</c:v>
                </c:pt>
                <c:pt idx="160">
                  <c:v>237.23310261515488</c:v>
                </c:pt>
                <c:pt idx="161">
                  <c:v>236.29095495310762</c:v>
                </c:pt>
                <c:pt idx="162">
                  <c:v>235.34377036251408</c:v>
                </c:pt>
                <c:pt idx="163">
                  <c:v>234.39175240774864</c:v>
                </c:pt>
                <c:pt idx="164">
                  <c:v>233.43508623676874</c:v>
                </c:pt>
                <c:pt idx="165">
                  <c:v>232.47396455248946</c:v>
                </c:pt>
                <c:pt idx="166">
                  <c:v>231.50854900742274</c:v>
                </c:pt>
                <c:pt idx="167">
                  <c:v>230.53903513946366</c:v>
                </c:pt>
                <c:pt idx="168">
                  <c:v>229.56557463077681</c:v>
                </c:pt>
                <c:pt idx="169">
                  <c:v>228.58834054975824</c:v>
                </c:pt>
                <c:pt idx="170">
                  <c:v>227.60875536567622</c:v>
                </c:pt>
                <c:pt idx="171">
                  <c:v>226.62958677471551</c:v>
                </c:pt>
                <c:pt idx="172">
                  <c:v>225.65366708958709</c:v>
                </c:pt>
                <c:pt idx="173">
                  <c:v>224.68384285830635</c:v>
                </c:pt>
                <c:pt idx="174">
                  <c:v>223.72300241407351</c:v>
                </c:pt>
                <c:pt idx="175">
                  <c:v>222.77401898795836</c:v>
                </c:pt>
                <c:pt idx="176">
                  <c:v>221.83980404367335</c:v>
                </c:pt>
                <c:pt idx="177">
                  <c:v>220.92326380801302</c:v>
                </c:pt>
                <c:pt idx="178">
                  <c:v>220.02734193678253</c:v>
                </c:pt>
                <c:pt idx="179">
                  <c:v>219.1549368706836</c:v>
                </c:pt>
                <c:pt idx="180">
                  <c:v>218.30900686861997</c:v>
                </c:pt>
                <c:pt idx="181">
                  <c:v>217.49245496417805</c:v>
                </c:pt>
                <c:pt idx="182">
                  <c:v>216.7082284687211</c:v>
                </c:pt>
                <c:pt idx="183">
                  <c:v>215.95924468801263</c:v>
                </c:pt>
                <c:pt idx="184">
                  <c:v>215.24842669737703</c:v>
                </c:pt>
                <c:pt idx="185">
                  <c:v>214.57868210214497</c:v>
                </c:pt>
                <c:pt idx="186">
                  <c:v>213.95290956550784</c:v>
                </c:pt>
                <c:pt idx="187">
                  <c:v>213.3727178550437</c:v>
                </c:pt>
                <c:pt idx="188">
                  <c:v>212.83829353566858</c:v>
                </c:pt>
                <c:pt idx="189">
                  <c:v>212.34979366791782</c:v>
                </c:pt>
                <c:pt idx="190">
                  <c:v>211.90730884141522</c:v>
                </c:pt>
                <c:pt idx="191">
                  <c:v>211.5109790017795</c:v>
                </c:pt>
                <c:pt idx="192">
                  <c:v>211.1595608234434</c:v>
                </c:pt>
                <c:pt idx="193">
                  <c:v>210.85044433904909</c:v>
                </c:pt>
                <c:pt idx="194">
                  <c:v>210.58095406928211</c:v>
                </c:pt>
                <c:pt idx="195">
                  <c:v>210.34841764727881</c:v>
                </c:pt>
                <c:pt idx="196">
                  <c:v>210.15012035225681</c:v>
                </c:pt>
                <c:pt idx="197">
                  <c:v>209.98335730780101</c:v>
                </c:pt>
                <c:pt idx="198">
                  <c:v>209.84540287676805</c:v>
                </c:pt>
                <c:pt idx="199">
                  <c:v>209.73356600869963</c:v>
                </c:pt>
                <c:pt idx="200">
                  <c:v>209.64509230767464</c:v>
                </c:pt>
                <c:pt idx="201">
                  <c:v>209.57725082348597</c:v>
                </c:pt>
                <c:pt idx="202">
                  <c:v>209.52731457771671</c:v>
                </c:pt>
                <c:pt idx="203">
                  <c:v>209.49253932858912</c:v>
                </c:pt>
                <c:pt idx="204">
                  <c:v>209.47019707870922</c:v>
                </c:pt>
                <c:pt idx="205">
                  <c:v>209.45754557871732</c:v>
                </c:pt>
                <c:pt idx="206">
                  <c:v>209.4518283287174</c:v>
                </c:pt>
                <c:pt idx="207">
                  <c:v>209.4503295787174</c:v>
                </c:pt>
                <c:pt idx="208">
                  <c:v>209.45028057871741</c:v>
                </c:pt>
                <c:pt idx="209">
                  <c:v>209.45028057871741</c:v>
                </c:pt>
              </c:numCache>
            </c:numRef>
          </c:yVal>
          <c:smooth val="0"/>
        </c:ser>
        <c:ser>
          <c:idx val="3"/>
          <c:order val="3"/>
          <c:tx>
            <c:v>Right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Main!$W$2:$W$211</c:f>
              <c:numCache>
                <c:formatCode>General</c:formatCode>
                <c:ptCount val="210"/>
                <c:pt idx="0">
                  <c:v>1.0773201283364657E-3</c:v>
                </c:pt>
                <c:pt idx="1">
                  <c:v>2.5483201234741803E-3</c:v>
                </c:pt>
                <c:pt idx="2">
                  <c:v>8.4038201050581334E-3</c:v>
                </c:pt>
                <c:pt idx="3">
                  <c:v>2.1559320069728299E-2</c:v>
                </c:pt>
                <c:pt idx="4">
                  <c:v>4.4956820022891225E-2</c:v>
                </c:pt>
                <c:pt idx="5">
                  <c:v>8.150881998207328E-2</c:v>
                </c:pt>
                <c:pt idx="6">
                  <c:v>0.13414606996663975</c:v>
                </c:pt>
                <c:pt idx="7">
                  <c:v>0.20580249983585111</c:v>
                </c:pt>
                <c:pt idx="8">
                  <c:v>0.29940374974075734</c:v>
                </c:pt>
                <c:pt idx="9">
                  <c:v>0.41788574922720667</c:v>
                </c:pt>
                <c:pt idx="10">
                  <c:v>0.56417524755649884</c:v>
                </c:pt>
                <c:pt idx="11">
                  <c:v>0.74121624330495273</c:v>
                </c:pt>
                <c:pt idx="12">
                  <c:v>0.9519467339998664</c:v>
                </c:pt>
                <c:pt idx="13">
                  <c:v>1.1993372158377724</c:v>
                </c:pt>
                <c:pt idx="14">
                  <c:v>1.4863266831624673</c:v>
                </c:pt>
                <c:pt idx="15">
                  <c:v>1.8158968784554612</c:v>
                </c:pt>
                <c:pt idx="16">
                  <c:v>2.19101629219286</c:v>
                </c:pt>
                <c:pt idx="17">
                  <c:v>2.6146779135948357</c:v>
                </c:pt>
                <c:pt idx="18">
                  <c:v>3.0884189826046979</c:v>
                </c:pt>
                <c:pt idx="19">
                  <c:v>3.6123189926555419</c:v>
                </c:pt>
                <c:pt idx="20">
                  <c:v>4.1864574427881989</c:v>
                </c:pt>
                <c:pt idx="21">
                  <c:v>4.8109138399681619</c:v>
                </c:pt>
                <c:pt idx="22">
                  <c:v>5.485820703617196</c:v>
                </c:pt>
                <c:pt idx="23">
                  <c:v>6.2097998150870595</c:v>
                </c:pt>
                <c:pt idx="24">
                  <c:v>6.9800172152829827</c:v>
                </c:pt>
                <c:pt idx="25">
                  <c:v>7.7936501969377563</c:v>
                </c:pt>
                <c:pt idx="26">
                  <c:v>8.647836289387703</c:v>
                </c:pt>
                <c:pt idx="27">
                  <c:v>9.5397689911917496</c:v>
                </c:pt>
                <c:pt idx="28">
                  <c:v>10.466574560819819</c:v>
                </c:pt>
                <c:pt idx="29">
                  <c:v>11.425399453393846</c:v>
                </c:pt>
                <c:pt idx="30">
                  <c:v>12.413382950748977</c:v>
                </c:pt>
                <c:pt idx="31">
                  <c:v>13.427650835055429</c:v>
                </c:pt>
                <c:pt idx="32">
                  <c:v>14.465315410433409</c:v>
                </c:pt>
                <c:pt idx="33">
                  <c:v>15.523497947482205</c:v>
                </c:pt>
                <c:pt idx="34">
                  <c:v>16.599272392534427</c:v>
                </c:pt>
                <c:pt idx="35">
                  <c:v>17.689746058510703</c:v>
                </c:pt>
                <c:pt idx="36">
                  <c:v>18.791977850036844</c:v>
                </c:pt>
                <c:pt idx="37">
                  <c:v>19.903009994726233</c:v>
                </c:pt>
                <c:pt idx="38">
                  <c:v>21.019923999980406</c:v>
                </c:pt>
                <c:pt idx="39">
                  <c:v>22.139710219138724</c:v>
                </c:pt>
                <c:pt idx="40">
                  <c:v>23.260906947173044</c:v>
                </c:pt>
                <c:pt idx="41">
                  <c:v>24.383522804606674</c:v>
                </c:pt>
                <c:pt idx="42">
                  <c:v>25.507565747160545</c:v>
                </c:pt>
                <c:pt idx="43">
                  <c:v>26.633043013413921</c:v>
                </c:pt>
                <c:pt idx="44">
                  <c:v>27.759974296616882</c:v>
                </c:pt>
                <c:pt idx="45">
                  <c:v>28.888365206955296</c:v>
                </c:pt>
                <c:pt idx="46">
                  <c:v>30.018220462135293</c:v>
                </c:pt>
                <c:pt idx="47">
                  <c:v>31.149570259847859</c:v>
                </c:pt>
                <c:pt idx="48">
                  <c:v>32.282417271025771</c:v>
                </c:pt>
                <c:pt idx="49">
                  <c:v>33.416776278028557</c:v>
                </c:pt>
                <c:pt idx="50">
                  <c:v>34.552647643028962</c:v>
                </c:pt>
                <c:pt idx="51">
                  <c:v>35.69007008351241</c:v>
                </c:pt>
                <c:pt idx="52">
                  <c:v>36.829028040442388</c:v>
                </c:pt>
                <c:pt idx="53">
                  <c:v>37.96954416388418</c:v>
                </c:pt>
                <c:pt idx="54">
                  <c:v>39.111639472660094</c:v>
                </c:pt>
                <c:pt idx="55">
                  <c:v>40.255306882026844</c:v>
                </c:pt>
                <c:pt idx="56">
                  <c:v>41.400577114918889</c:v>
                </c:pt>
                <c:pt idx="57">
                  <c:v>42.54743934475016</c:v>
                </c:pt>
                <c:pt idx="58">
                  <c:v>43.695933446007892</c:v>
                </c:pt>
                <c:pt idx="59">
                  <c:v>44.84603112348703</c:v>
                </c:pt>
                <c:pt idx="60">
                  <c:v>45.997780849969679</c:v>
                </c:pt>
                <c:pt idx="61">
                  <c:v>47.151162599078489</c:v>
                </c:pt>
                <c:pt idx="62">
                  <c:v>48.30618012191362</c:v>
                </c:pt>
                <c:pt idx="63">
                  <c:v>49.462860561927634</c:v>
                </c:pt>
                <c:pt idx="64">
                  <c:v>50.621188479546916</c:v>
                </c:pt>
                <c:pt idx="65">
                  <c:v>51.781171537694227</c:v>
                </c:pt>
                <c:pt idx="66">
                  <c:v>52.942813859743374</c:v>
                </c:pt>
                <c:pt idx="67">
                  <c:v>54.106115805603636</c:v>
                </c:pt>
                <c:pt idx="68">
                  <c:v>55.27106068267652</c:v>
                </c:pt>
                <c:pt idx="69">
                  <c:v>56.437640770890255</c:v>
                </c:pt>
                <c:pt idx="70">
                  <c:v>57.605869924039773</c:v>
                </c:pt>
                <c:pt idx="71">
                  <c:v>58.775704826766507</c:v>
                </c:pt>
                <c:pt idx="72">
                  <c:v>59.947149470705739</c:v>
                </c:pt>
                <c:pt idx="73">
                  <c:v>61.120176153794027</c:v>
                </c:pt>
                <c:pt idx="74">
                  <c:v>62.294764457759918</c:v>
                </c:pt>
                <c:pt idx="75">
                  <c:v>63.470887734589539</c:v>
                </c:pt>
                <c:pt idx="76">
                  <c:v>64.648499820590473</c:v>
                </c:pt>
                <c:pt idx="77">
                  <c:v>65.827560711477389</c:v>
                </c:pt>
                <c:pt idx="78">
                  <c:v>67.008035895592585</c:v>
                </c:pt>
                <c:pt idx="79">
                  <c:v>68.189882772587524</c:v>
                </c:pt>
                <c:pt idx="80">
                  <c:v>69.373011730992005</c:v>
                </c:pt>
                <c:pt idx="81">
                  <c:v>70.557363378026096</c:v>
                </c:pt>
                <c:pt idx="82">
                  <c:v>71.742881551108397</c:v>
                </c:pt>
                <c:pt idx="83">
                  <c:v>72.929448790255677</c:v>
                </c:pt>
                <c:pt idx="84">
                  <c:v>74.117001473716485</c:v>
                </c:pt>
                <c:pt idx="85">
                  <c:v>75.305413445944851</c:v>
                </c:pt>
                <c:pt idx="86">
                  <c:v>76.494560096244911</c:v>
                </c:pt>
                <c:pt idx="87">
                  <c:v>77.684329928841962</c:v>
                </c:pt>
                <c:pt idx="88">
                  <c:v>78.874547845566696</c:v>
                </c:pt>
                <c:pt idx="89">
                  <c:v>80.065088716074868</c:v>
                </c:pt>
                <c:pt idx="90">
                  <c:v>81.255749910201629</c:v>
                </c:pt>
                <c:pt idx="91">
                  <c:v>82.446339850520815</c:v>
                </c:pt>
                <c:pt idx="92">
                  <c:v>83.636651645310153</c:v>
                </c:pt>
                <c:pt idx="93">
                  <c:v>84.826462376293506</c:v>
                </c:pt>
                <c:pt idx="94">
                  <c:v>86.015507963987162</c:v>
                </c:pt>
                <c:pt idx="95">
                  <c:v>87.203520173721699</c:v>
                </c:pt>
                <c:pt idx="96">
                  <c:v>88.390201173407561</c:v>
                </c:pt>
                <c:pt idx="97">
                  <c:v>89.575235571214762</c:v>
                </c:pt>
                <c:pt idx="98">
                  <c:v>90.758277876969672</c:v>
                </c:pt>
                <c:pt idx="99">
                  <c:v>91.938964524992215</c:v>
                </c:pt>
                <c:pt idx="100">
                  <c:v>93.116878062535775</c:v>
                </c:pt>
                <c:pt idx="101">
                  <c:v>94.291619270739346</c:v>
                </c:pt>
                <c:pt idx="102">
                  <c:v>95.462723160041747</c:v>
                </c:pt>
                <c:pt idx="103">
                  <c:v>96.62971965719268</c:v>
                </c:pt>
                <c:pt idx="104">
                  <c:v>97.792098393949232</c:v>
                </c:pt>
                <c:pt idx="105">
                  <c:v>98.949310583357658</c:v>
                </c:pt>
                <c:pt idx="106">
                  <c:v>100.10081590111221</c:v>
                </c:pt>
                <c:pt idx="107">
                  <c:v>101.24600325301421</c:v>
                </c:pt>
                <c:pt idx="108">
                  <c:v>102.38427316294053</c:v>
                </c:pt>
                <c:pt idx="109">
                  <c:v>103.51498213716737</c:v>
                </c:pt>
                <c:pt idx="110">
                  <c:v>104.63746826494756</c:v>
                </c:pt>
                <c:pt idx="111">
                  <c:v>105.7510429091769</c:v>
                </c:pt>
                <c:pt idx="112">
                  <c:v>106.85501526113508</c:v>
                </c:pt>
                <c:pt idx="113">
                  <c:v>107.94868350386584</c:v>
                </c:pt>
                <c:pt idx="114">
                  <c:v>109.03130731862939</c:v>
                </c:pt>
                <c:pt idx="115">
                  <c:v>110.1021649673805</c:v>
                </c:pt>
                <c:pt idx="116">
                  <c:v>111.16054414069986</c:v>
                </c:pt>
                <c:pt idx="117">
                  <c:v>112.20569578782144</c:v>
                </c:pt>
                <c:pt idx="118">
                  <c:v>113.23691006690214</c:v>
                </c:pt>
                <c:pt idx="119">
                  <c:v>114.25348786840931</c:v>
                </c:pt>
                <c:pt idx="120">
                  <c:v>115.25472648856797</c:v>
                </c:pt>
                <c:pt idx="121">
                  <c:v>116.23997159734074</c:v>
                </c:pt>
                <c:pt idx="122">
                  <c:v>117.20858147910323</c:v>
                </c:pt>
                <c:pt idx="123">
                  <c:v>118.15995845141498</c:v>
                </c:pt>
                <c:pt idx="124">
                  <c:v>119.09352440976326</c:v>
                </c:pt>
                <c:pt idx="125">
                  <c:v>120.00874290350212</c:v>
                </c:pt>
                <c:pt idx="126">
                  <c:v>120.90514530898525</c:v>
                </c:pt>
                <c:pt idx="127">
                  <c:v>121.78228852215985</c:v>
                </c:pt>
                <c:pt idx="128">
                  <c:v>122.63977547187207</c:v>
                </c:pt>
                <c:pt idx="129">
                  <c:v>123.4772789194745</c:v>
                </c:pt>
                <c:pt idx="130">
                  <c:v>124.2945013951084</c:v>
                </c:pt>
                <c:pt idx="131">
                  <c:v>125.09121496657741</c:v>
                </c:pt>
                <c:pt idx="132">
                  <c:v>125.86724301568898</c:v>
                </c:pt>
                <c:pt idx="133">
                  <c:v>126.62245245730449</c:v>
                </c:pt>
                <c:pt idx="134">
                  <c:v>127.35676697010783</c:v>
                </c:pt>
                <c:pt idx="135">
                  <c:v>128.07015731177464</c:v>
                </c:pt>
                <c:pt idx="136">
                  <c:v>128.76263354909165</c:v>
                </c:pt>
                <c:pt idx="137">
                  <c:v>129.43427381390666</c:v>
                </c:pt>
                <c:pt idx="138">
                  <c:v>130.08516995700992</c:v>
                </c:pt>
                <c:pt idx="139">
                  <c:v>130.71546518792729</c:v>
                </c:pt>
                <c:pt idx="140">
                  <c:v>131.32535300531168</c:v>
                </c:pt>
                <c:pt idx="141">
                  <c:v>131.91502917643462</c:v>
                </c:pt>
                <c:pt idx="142">
                  <c:v>132.48474665160603</c:v>
                </c:pt>
                <c:pt idx="143">
                  <c:v>133.03476208026848</c:v>
                </c:pt>
                <c:pt idx="144">
                  <c:v>133.56538050286332</c:v>
                </c:pt>
                <c:pt idx="145">
                  <c:v>134.07690102054173</c:v>
                </c:pt>
                <c:pt idx="146">
                  <c:v>134.569656021409</c:v>
                </c:pt>
                <c:pt idx="147">
                  <c:v>135.04399130872861</c:v>
                </c:pt>
                <c:pt idx="148">
                  <c:v>135.50025620902278</c:v>
                </c:pt>
                <c:pt idx="149">
                  <c:v>135.93881533185805</c:v>
                </c:pt>
                <c:pt idx="150">
                  <c:v>136.36004086377193</c:v>
                </c:pt>
                <c:pt idx="151">
                  <c:v>136.76430381691972</c:v>
                </c:pt>
                <c:pt idx="152">
                  <c:v>137.15198733565171</c:v>
                </c:pt>
                <c:pt idx="153">
                  <c:v>137.52346647988972</c:v>
                </c:pt>
                <c:pt idx="154">
                  <c:v>137.87912216185012</c:v>
                </c:pt>
                <c:pt idx="155">
                  <c:v>138.21933453591188</c:v>
                </c:pt>
                <c:pt idx="156">
                  <c:v>138.54447135694079</c:v>
                </c:pt>
                <c:pt idx="157">
                  <c:v>138.85490858175126</c:v>
                </c:pt>
                <c:pt idx="158">
                  <c:v>139.15101250238624</c:v>
                </c:pt>
                <c:pt idx="159">
                  <c:v>139.43314321003254</c:v>
                </c:pt>
                <c:pt idx="160">
                  <c:v>139.7016525744294</c:v>
                </c:pt>
                <c:pt idx="161">
                  <c:v>139.95689073977275</c:v>
                </c:pt>
                <c:pt idx="162">
                  <c:v>140.19919788279847</c:v>
                </c:pt>
                <c:pt idx="163">
                  <c:v>140.42890857137687</c:v>
                </c:pt>
                <c:pt idx="164">
                  <c:v>140.64634738848292</c:v>
                </c:pt>
                <c:pt idx="165">
                  <c:v>140.85183280068944</c:v>
                </c:pt>
                <c:pt idx="166">
                  <c:v>141.04567232972798</c:v>
                </c:pt>
                <c:pt idx="167">
                  <c:v>141.22817029947598</c:v>
                </c:pt>
                <c:pt idx="168">
                  <c:v>141.39961809000062</c:v>
                </c:pt>
                <c:pt idx="169">
                  <c:v>141.56030239066615</c:v>
                </c:pt>
                <c:pt idx="170">
                  <c:v>141.71031856979027</c:v>
                </c:pt>
                <c:pt idx="171">
                  <c:v>141.84963196375344</c:v>
                </c:pt>
                <c:pt idx="172">
                  <c:v>141.97829330454988</c:v>
                </c:pt>
                <c:pt idx="173">
                  <c:v>142.09643871388141</c:v>
                </c:pt>
                <c:pt idx="174">
                  <c:v>142.20428292308799</c:v>
                </c:pt>
                <c:pt idx="175">
                  <c:v>142.30210921439286</c:v>
                </c:pt>
                <c:pt idx="176">
                  <c:v>142.39026499320752</c:v>
                </c:pt>
                <c:pt idx="177">
                  <c:v>142.46915194876064</c:v>
                </c:pt>
                <c:pt idx="178">
                  <c:v>142.53921934306155</c:v>
                </c:pt>
                <c:pt idx="179">
                  <c:v>142.60095518588523</c:v>
                </c:pt>
                <c:pt idx="180">
                  <c:v>142.65488204976177</c:v>
                </c:pt>
                <c:pt idx="181">
                  <c:v>142.70154676878465</c:v>
                </c:pt>
                <c:pt idx="182">
                  <c:v>142.74151674131156</c:v>
                </c:pt>
                <c:pt idx="183">
                  <c:v>142.77537068754802</c:v>
                </c:pt>
                <c:pt idx="184">
                  <c:v>142.80369345201777</c:v>
                </c:pt>
                <c:pt idx="185">
                  <c:v>142.82706889018911</c:v>
                </c:pt>
                <c:pt idx="186">
                  <c:v>142.8460738450288</c:v>
                </c:pt>
                <c:pt idx="187">
                  <c:v>142.86129960236732</c:v>
                </c:pt>
                <c:pt idx="188">
                  <c:v>142.87332395632595</c:v>
                </c:pt>
                <c:pt idx="189">
                  <c:v>142.88266782309461</c:v>
                </c:pt>
                <c:pt idx="190">
                  <c:v>142.88979714334869</c:v>
                </c:pt>
                <c:pt idx="191">
                  <c:v>142.89512500480959</c:v>
                </c:pt>
                <c:pt idx="192">
                  <c:v>142.89902565254141</c:v>
                </c:pt>
                <c:pt idx="193">
                  <c:v>142.90182541456841</c:v>
                </c:pt>
                <c:pt idx="194">
                  <c:v>142.90379019505565</c:v>
                </c:pt>
                <c:pt idx="195">
                  <c:v>142.90513337789167</c:v>
                </c:pt>
                <c:pt idx="196">
                  <c:v>142.90602404381698</c:v>
                </c:pt>
                <c:pt idx="197">
                  <c:v>142.90659376786152</c:v>
                </c:pt>
                <c:pt idx="198">
                  <c:v>142.90694289965481</c:v>
                </c:pt>
                <c:pt idx="199">
                  <c:v>142.90714580178931</c:v>
                </c:pt>
                <c:pt idx="200">
                  <c:v>142.90725622473772</c:v>
                </c:pt>
                <c:pt idx="201">
                  <c:v>142.90731150193412</c:v>
                </c:pt>
                <c:pt idx="202">
                  <c:v>142.9073362669414</c:v>
                </c:pt>
                <c:pt idx="203">
                  <c:v>142.90734579137208</c:v>
                </c:pt>
                <c:pt idx="204">
                  <c:v>142.90734870829641</c:v>
                </c:pt>
                <c:pt idx="205">
                  <c:v>142.90734932130346</c:v>
                </c:pt>
                <c:pt idx="206">
                  <c:v>142.9073493866471</c:v>
                </c:pt>
                <c:pt idx="207">
                  <c:v>142.90734938721781</c:v>
                </c:pt>
                <c:pt idx="208">
                  <c:v>142.90734938721877</c:v>
                </c:pt>
                <c:pt idx="209">
                  <c:v>142.90734938721877</c:v>
                </c:pt>
              </c:numCache>
            </c:numRef>
          </c:xVal>
          <c:yVal>
            <c:numRef>
              <c:f>Main!$X$2:$X$211</c:f>
              <c:numCache>
                <c:formatCode>General</c:formatCode>
                <c:ptCount val="210"/>
                <c:pt idx="0">
                  <c:v>313.24999995620306</c:v>
                </c:pt>
                <c:pt idx="1">
                  <c:v>313.24999983660018</c:v>
                </c:pt>
                <c:pt idx="2">
                  <c:v>313.24999937224351</c:v>
                </c:pt>
                <c:pt idx="3">
                  <c:v>313.24999840808937</c:v>
                </c:pt>
                <c:pt idx="4">
                  <c:v>313.24999692752215</c:v>
                </c:pt>
                <c:pt idx="5">
                  <c:v>313.24999520004616</c:v>
                </c:pt>
                <c:pt idx="6">
                  <c:v>313.24999392408768</c:v>
                </c:pt>
                <c:pt idx="7">
                  <c:v>313.24999436011143</c:v>
                </c:pt>
                <c:pt idx="8">
                  <c:v>313.2499985822443</c:v>
                </c:pt>
                <c:pt idx="9">
                  <c:v>313.25000961633424</c:v>
                </c:pt>
                <c:pt idx="10">
                  <c:v>313.25003172833522</c:v>
                </c:pt>
                <c:pt idx="11">
                  <c:v>313.25007053094788</c:v>
                </c:pt>
                <c:pt idx="12">
                  <c:v>313.25013315821195</c:v>
                </c:pt>
                <c:pt idx="13">
                  <c:v>313.25022795776965</c:v>
                </c:pt>
                <c:pt idx="14">
                  <c:v>313.25036491029442</c:v>
                </c:pt>
                <c:pt idx="15">
                  <c:v>313.25055480767952</c:v>
                </c:pt>
                <c:pt idx="16">
                  <c:v>313.25080920760746</c:v>
                </c:pt>
                <c:pt idx="17">
                  <c:v>313.251139307659</c:v>
                </c:pt>
                <c:pt idx="18">
                  <c:v>313.2515534172494</c:v>
                </c:pt>
                <c:pt idx="19">
                  <c:v>313.25205483535171</c:v>
                </c:pt>
                <c:pt idx="20">
                  <c:v>313.25264163304263</c:v>
                </c:pt>
                <c:pt idx="21">
                  <c:v>313.25330544157953</c:v>
                </c:pt>
                <c:pt idx="22">
                  <c:v>313.25402759252381</c:v>
                </c:pt>
                <c:pt idx="23">
                  <c:v>313.25477764281015</c:v>
                </c:pt>
                <c:pt idx="24">
                  <c:v>313.25551170585442</c:v>
                </c:pt>
                <c:pt idx="25">
                  <c:v>313.25617250769238</c:v>
                </c:pt>
                <c:pt idx="26">
                  <c:v>313.2566912771299</c:v>
                </c:pt>
                <c:pt idx="27">
                  <c:v>313.2569843467632</c:v>
                </c:pt>
                <c:pt idx="28">
                  <c:v>313.25695710844462</c:v>
                </c:pt>
                <c:pt idx="29">
                  <c:v>313.25650363690607</c:v>
                </c:pt>
                <c:pt idx="30">
                  <c:v>313.25550737308271</c:v>
                </c:pt>
                <c:pt idx="31">
                  <c:v>313.25384327245416</c:v>
                </c:pt>
                <c:pt idx="32">
                  <c:v>313.25137998963038</c:v>
                </c:pt>
                <c:pt idx="33">
                  <c:v>313.24798015423374</c:v>
                </c:pt>
                <c:pt idx="34">
                  <c:v>313.24350621450338</c:v>
                </c:pt>
                <c:pt idx="35">
                  <c:v>313.2378187901644</c:v>
                </c:pt>
                <c:pt idx="36">
                  <c:v>313.23078304592804</c:v>
                </c:pt>
                <c:pt idx="37">
                  <c:v>313.22227175872604</c:v>
                </c:pt>
                <c:pt idx="38">
                  <c:v>313.21216359993849</c:v>
                </c:pt>
                <c:pt idx="39">
                  <c:v>313.20035386114711</c:v>
                </c:pt>
                <c:pt idx="40">
                  <c:v>313.18673057433341</c:v>
                </c:pt>
                <c:pt idx="41">
                  <c:v>313.17116680809102</c:v>
                </c:pt>
                <c:pt idx="42">
                  <c:v>313.1535339849118</c:v>
                </c:pt>
                <c:pt idx="43">
                  <c:v>313.13370186975243</c:v>
                </c:pt>
                <c:pt idx="44">
                  <c:v>313.1115371982612</c:v>
                </c:pt>
                <c:pt idx="45">
                  <c:v>313.08690520178567</c:v>
                </c:pt>
                <c:pt idx="46">
                  <c:v>313.05966941302961</c:v>
                </c:pt>
                <c:pt idx="47">
                  <c:v>313.02968875399341</c:v>
                </c:pt>
                <c:pt idx="48">
                  <c:v>312.9968209322231</c:v>
                </c:pt>
                <c:pt idx="49">
                  <c:v>312.96092039089103</c:v>
                </c:pt>
                <c:pt idx="50">
                  <c:v>312.9218401299475</c:v>
                </c:pt>
                <c:pt idx="51">
                  <c:v>312.87942659788376</c:v>
                </c:pt>
                <c:pt idx="52">
                  <c:v>312.83352722468373</c:v>
                </c:pt>
                <c:pt idx="53">
                  <c:v>312.78398386841008</c:v>
                </c:pt>
                <c:pt idx="54">
                  <c:v>312.73063403639037</c:v>
                </c:pt>
                <c:pt idx="55">
                  <c:v>312.6733143733552</c:v>
                </c:pt>
                <c:pt idx="56">
                  <c:v>312.61185424134226</c:v>
                </c:pt>
                <c:pt idx="57">
                  <c:v>312.54608284315725</c:v>
                </c:pt>
                <c:pt idx="58">
                  <c:v>312.47581986191346</c:v>
                </c:pt>
                <c:pt idx="59">
                  <c:v>312.40088767014714</c:v>
                </c:pt>
                <c:pt idx="60">
                  <c:v>312.32109594323396</c:v>
                </c:pt>
                <c:pt idx="61">
                  <c:v>312.23625619229205</c:v>
                </c:pt>
                <c:pt idx="62">
                  <c:v>312.14617371566521</c:v>
                </c:pt>
                <c:pt idx="63">
                  <c:v>312.05064481475404</c:v>
                </c:pt>
                <c:pt idx="64">
                  <c:v>311.94946520760766</c:v>
                </c:pt>
                <c:pt idx="65">
                  <c:v>311.84242264390213</c:v>
                </c:pt>
                <c:pt idx="66">
                  <c:v>311.72929881165254</c:v>
                </c:pt>
                <c:pt idx="67">
                  <c:v>311.60986929975797</c:v>
                </c:pt>
                <c:pt idx="68">
                  <c:v>311.48390608371761</c:v>
                </c:pt>
                <c:pt idx="69">
                  <c:v>311.35117376675862</c:v>
                </c:pt>
                <c:pt idx="70">
                  <c:v>311.21142543519227</c:v>
                </c:pt>
                <c:pt idx="71">
                  <c:v>311.06441615142541</c:v>
                </c:pt>
                <c:pt idx="72">
                  <c:v>310.90988625177027</c:v>
                </c:pt>
                <c:pt idx="73">
                  <c:v>310.74757281575694</c:v>
                </c:pt>
                <c:pt idx="74">
                  <c:v>310.57720366550723</c:v>
                </c:pt>
                <c:pt idx="75">
                  <c:v>310.3984989209527</c:v>
                </c:pt>
                <c:pt idx="76">
                  <c:v>310.21117415746824</c:v>
                </c:pt>
                <c:pt idx="77">
                  <c:v>310.01493542221488</c:v>
                </c:pt>
                <c:pt idx="78">
                  <c:v>309.80947769711906</c:v>
                </c:pt>
                <c:pt idx="79">
                  <c:v>309.59448679557039</c:v>
                </c:pt>
                <c:pt idx="80">
                  <c:v>309.36965004132742</c:v>
                </c:pt>
                <c:pt idx="81">
                  <c:v>309.13463910702376</c:v>
                </c:pt>
                <c:pt idx="82">
                  <c:v>308.88911281055437</c:v>
                </c:pt>
                <c:pt idx="83">
                  <c:v>308.63273492677041</c:v>
                </c:pt>
                <c:pt idx="84">
                  <c:v>308.3651448552813</c:v>
                </c:pt>
                <c:pt idx="85">
                  <c:v>308.08598647071773</c:v>
                </c:pt>
                <c:pt idx="86">
                  <c:v>307.79489370410687</c:v>
                </c:pt>
                <c:pt idx="87">
                  <c:v>307.49148468170756</c:v>
                </c:pt>
                <c:pt idx="88">
                  <c:v>307.17538533565352</c:v>
                </c:pt>
                <c:pt idx="89">
                  <c:v>306.84619496826633</c:v>
                </c:pt>
                <c:pt idx="90">
                  <c:v>306.50352522834277</c:v>
                </c:pt>
                <c:pt idx="91">
                  <c:v>306.14697488472115</c:v>
                </c:pt>
                <c:pt idx="92">
                  <c:v>305.77613665897519</c:v>
                </c:pt>
                <c:pt idx="93">
                  <c:v>305.3905975292314</c:v>
                </c:pt>
                <c:pt idx="94">
                  <c:v>304.98994963268564</c:v>
                </c:pt>
                <c:pt idx="95">
                  <c:v>304.57377790014078</c:v>
                </c:pt>
                <c:pt idx="96">
                  <c:v>304.14166986750553</c:v>
                </c:pt>
                <c:pt idx="97">
                  <c:v>303.69321220336701</c:v>
                </c:pt>
                <c:pt idx="98">
                  <c:v>303.22799710589828</c:v>
                </c:pt>
                <c:pt idx="99">
                  <c:v>302.74561862513218</c:v>
                </c:pt>
                <c:pt idx="100">
                  <c:v>302.24569186236994</c:v>
                </c:pt>
                <c:pt idx="101">
                  <c:v>301.72782090355645</c:v>
                </c:pt>
                <c:pt idx="102">
                  <c:v>301.19163969696643</c:v>
                </c:pt>
                <c:pt idx="103">
                  <c:v>300.63678662795706</c:v>
                </c:pt>
                <c:pt idx="104">
                  <c:v>300.06292399884205</c:v>
                </c:pt>
                <c:pt idx="105">
                  <c:v>299.469742465926</c:v>
                </c:pt>
                <c:pt idx="106">
                  <c:v>298.85693664114063</c:v>
                </c:pt>
                <c:pt idx="107">
                  <c:v>298.22425381933391</c:v>
                </c:pt>
                <c:pt idx="108">
                  <c:v>297.57145102778867</c:v>
                </c:pt>
                <c:pt idx="109">
                  <c:v>296.89833068055174</c:v>
                </c:pt>
                <c:pt idx="110">
                  <c:v>296.20473091503322</c:v>
                </c:pt>
                <c:pt idx="111">
                  <c:v>295.49053605892948</c:v>
                </c:pt>
                <c:pt idx="112">
                  <c:v>294.75566417909243</c:v>
                </c:pt>
                <c:pt idx="113">
                  <c:v>294.00007584184596</c:v>
                </c:pt>
                <c:pt idx="114">
                  <c:v>293.22380202248638</c:v>
                </c:pt>
                <c:pt idx="115">
                  <c:v>292.4269072759206</c:v>
                </c:pt>
                <c:pt idx="116">
                  <c:v>291.60949671457877</c:v>
                </c:pt>
                <c:pt idx="117">
                  <c:v>290.77176148909763</c:v>
                </c:pt>
                <c:pt idx="118">
                  <c:v>289.91392162543269</c:v>
                </c:pt>
                <c:pt idx="119">
                  <c:v>289.03625019851654</c:v>
                </c:pt>
                <c:pt idx="120">
                  <c:v>288.13909339949566</c:v>
                </c:pt>
                <c:pt idx="121">
                  <c:v>287.22282507786053</c:v>
                </c:pt>
                <c:pt idx="122">
                  <c:v>286.28788191218678</c:v>
                </c:pt>
                <c:pt idx="123">
                  <c:v>285.33473448072402</c:v>
                </c:pt>
                <c:pt idx="124">
                  <c:v>284.36391473102816</c:v>
                </c:pt>
                <c:pt idx="125">
                  <c:v>283.37599607128561</c:v>
                </c:pt>
                <c:pt idx="126">
                  <c:v>282.37155913209881</c:v>
                </c:pt>
                <c:pt idx="127">
                  <c:v>281.35123879152269</c:v>
                </c:pt>
                <c:pt idx="128">
                  <c:v>280.31570289914049</c:v>
                </c:pt>
                <c:pt idx="129">
                  <c:v>279.26561651834538</c:v>
                </c:pt>
                <c:pt idx="130">
                  <c:v>278.20169116231602</c:v>
                </c:pt>
                <c:pt idx="131">
                  <c:v>277.12462842201307</c:v>
                </c:pt>
                <c:pt idx="132">
                  <c:v>276.03513638027044</c:v>
                </c:pt>
                <c:pt idx="133">
                  <c:v>274.9339375927193</c:v>
                </c:pt>
                <c:pt idx="134">
                  <c:v>273.82174349988003</c:v>
                </c:pt>
                <c:pt idx="135">
                  <c:v>272.69926168084021</c:v>
                </c:pt>
                <c:pt idx="136">
                  <c:v>271.56720464766562</c:v>
                </c:pt>
                <c:pt idx="137">
                  <c:v>270.42622808384345</c:v>
                </c:pt>
                <c:pt idx="138">
                  <c:v>269.27702054215769</c:v>
                </c:pt>
                <c:pt idx="139">
                  <c:v>268.12023220812915</c:v>
                </c:pt>
                <c:pt idx="140">
                  <c:v>266.95645832662228</c:v>
                </c:pt>
                <c:pt idx="141">
                  <c:v>265.78633314068537</c:v>
                </c:pt>
                <c:pt idx="142">
                  <c:v>264.61040868259295</c:v>
                </c:pt>
                <c:pt idx="143">
                  <c:v>263.42926110747601</c:v>
                </c:pt>
                <c:pt idx="144">
                  <c:v>262.24337985379526</c:v>
                </c:pt>
                <c:pt idx="145">
                  <c:v>261.05328860974487</c:v>
                </c:pt>
                <c:pt idx="146">
                  <c:v>259.85944694046236</c:v>
                </c:pt>
                <c:pt idx="147">
                  <c:v>258.66228539811527</c:v>
                </c:pt>
                <c:pt idx="148">
                  <c:v>257.46223055178069</c:v>
                </c:pt>
                <c:pt idx="149">
                  <c:v>256.25966738494344</c:v>
                </c:pt>
                <c:pt idx="150">
                  <c:v>255.05495113962277</c:v>
                </c:pt>
                <c:pt idx="151">
                  <c:v>253.84843294429871</c:v>
                </c:pt>
                <c:pt idx="152">
                  <c:v>252.64040900057358</c:v>
                </c:pt>
                <c:pt idx="153">
                  <c:v>251.43118437138523</c:v>
                </c:pt>
                <c:pt idx="154">
                  <c:v>250.22102248891304</c:v>
                </c:pt>
                <c:pt idx="155">
                  <c:v>249.01015774442945</c:v>
                </c:pt>
                <c:pt idx="156">
                  <c:v>247.7988479960936</c:v>
                </c:pt>
                <c:pt idx="157">
                  <c:v>246.58728471517131</c:v>
                </c:pt>
                <c:pt idx="158">
                  <c:v>245.37565753157301</c:v>
                </c:pt>
                <c:pt idx="159">
                  <c:v>244.16414216041917</c:v>
                </c:pt>
                <c:pt idx="160">
                  <c:v>242.95291420081205</c:v>
                </c:pt>
                <c:pt idx="161">
                  <c:v>241.74211048893173</c:v>
                </c:pt>
                <c:pt idx="162">
                  <c:v>240.5318686365618</c:v>
                </c:pt>
                <c:pt idx="163">
                  <c:v>239.32230150305662</c:v>
                </c:pt>
                <c:pt idx="164">
                  <c:v>238.11352394917421</c:v>
                </c:pt>
                <c:pt idx="165">
                  <c:v>236.90562718173072</c:v>
                </c:pt>
                <c:pt idx="166">
                  <c:v>235.69871880370141</c:v>
                </c:pt>
                <c:pt idx="167">
                  <c:v>234.49285746595504</c:v>
                </c:pt>
                <c:pt idx="168">
                  <c:v>233.28813232660494</c:v>
                </c:pt>
                <c:pt idx="169">
                  <c:v>232.08459776989321</c:v>
                </c:pt>
                <c:pt idx="170">
                  <c:v>230.88386954227119</c:v>
                </c:pt>
                <c:pt idx="171">
                  <c:v>229.68914345671817</c:v>
                </c:pt>
                <c:pt idx="172">
                  <c:v>228.50365236404906</c:v>
                </c:pt>
                <c:pt idx="173">
                  <c:v>227.33061545644185</c:v>
                </c:pt>
                <c:pt idx="174">
                  <c:v>226.17321279565493</c:v>
                </c:pt>
                <c:pt idx="175">
                  <c:v>225.03463368454874</c:v>
                </c:pt>
                <c:pt idx="176">
                  <c:v>223.91802439018969</c:v>
                </c:pt>
                <c:pt idx="177">
                  <c:v>222.82652376170176</c:v>
                </c:pt>
                <c:pt idx="178">
                  <c:v>221.76322663083914</c:v>
                </c:pt>
                <c:pt idx="179">
                  <c:v>220.73125981476082</c:v>
                </c:pt>
                <c:pt idx="180">
                  <c:v>219.7336757183441</c:v>
                </c:pt>
                <c:pt idx="181">
                  <c:v>218.77357542812169</c:v>
                </c:pt>
                <c:pt idx="182">
                  <c:v>217.85399670505083</c:v>
                </c:pt>
                <c:pt idx="183">
                  <c:v>216.97799860368366</c:v>
                </c:pt>
                <c:pt idx="184">
                  <c:v>216.14861800156265</c:v>
                </c:pt>
                <c:pt idx="185">
                  <c:v>215.3689014634412</c:v>
                </c:pt>
                <c:pt idx="186">
                  <c:v>214.64188544251388</c:v>
                </c:pt>
                <c:pt idx="187">
                  <c:v>213.96905053385237</c:v>
                </c:pt>
                <c:pt idx="188">
                  <c:v>213.35034818570472</c:v>
                </c:pt>
                <c:pt idx="189">
                  <c:v>212.78564653469004</c:v>
                </c:pt>
                <c:pt idx="190">
                  <c:v>212.27487907388655</c:v>
                </c:pt>
                <c:pt idx="191">
                  <c:v>211.81792215790432</c:v>
                </c:pt>
                <c:pt idx="192">
                  <c:v>211.41318897096468</c:v>
                </c:pt>
                <c:pt idx="193">
                  <c:v>211.05751375160128</c:v>
                </c:pt>
                <c:pt idx="194">
                  <c:v>210.74769148890729</c:v>
                </c:pt>
                <c:pt idx="195">
                  <c:v>210.48052011994926</c:v>
                </c:pt>
                <c:pt idx="196">
                  <c:v>210.25283461487362</c:v>
                </c:pt>
                <c:pt idx="197">
                  <c:v>210.06145321456378</c:v>
                </c:pt>
                <c:pt idx="198">
                  <c:v>209.90322635068878</c:v>
                </c:pt>
                <c:pt idx="199">
                  <c:v>209.77495951167262</c:v>
                </c:pt>
                <c:pt idx="200">
                  <c:v>209.6735273220238</c:v>
                </c:pt>
                <c:pt idx="201">
                  <c:v>209.59577484178314</c:v>
                </c:pt>
                <c:pt idx="202">
                  <c:v>209.53855109718569</c:v>
                </c:pt>
                <c:pt idx="203">
                  <c:v>209.49871434833895</c:v>
                </c:pt>
                <c:pt idx="204">
                  <c:v>209.47311259850906</c:v>
                </c:pt>
                <c:pt idx="205">
                  <c:v>209.45860609852275</c:v>
                </c:pt>
                <c:pt idx="206">
                  <c:v>209.45206734852314</c:v>
                </c:pt>
                <c:pt idx="207">
                  <c:v>209.45033009852312</c:v>
                </c:pt>
                <c:pt idx="208">
                  <c:v>209.45028109852313</c:v>
                </c:pt>
                <c:pt idx="209">
                  <c:v>209.45028109852313</c:v>
                </c:pt>
              </c:numCache>
            </c:numRef>
          </c:yVal>
          <c:smooth val="0"/>
        </c:ser>
        <c:ser>
          <c:idx val="4"/>
          <c:order val="4"/>
          <c:tx>
            <c:v>LogFile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'Logfile Data'!$H$2:$H$290</c:f>
              <c:numCache>
                <c:formatCode>General</c:formatCode>
                <c:ptCount val="2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2.7714430803121765E-2</c:v>
                </c:pt>
                <c:pt idx="7">
                  <c:v>9.7478336594513895E-2</c:v>
                </c:pt>
                <c:pt idx="8">
                  <c:v>0.24942982534288366</c:v>
                </c:pt>
                <c:pt idx="9">
                  <c:v>0.51223896424096182</c:v>
                </c:pt>
                <c:pt idx="10">
                  <c:v>0.78364920334719312</c:v>
                </c:pt>
                <c:pt idx="11">
                  <c:v>1.0302120261972167</c:v>
                </c:pt>
                <c:pt idx="12">
                  <c:v>1.3685191143539646</c:v>
                </c:pt>
                <c:pt idx="13">
                  <c:v>1.697269544820672</c:v>
                </c:pt>
                <c:pt idx="14">
                  <c:v>2.3194106740534615</c:v>
                </c:pt>
                <c:pt idx="15">
                  <c:v>2.8947237642591794</c:v>
                </c:pt>
                <c:pt idx="16">
                  <c:v>3.7261540160585529</c:v>
                </c:pt>
                <c:pt idx="17">
                  <c:v>4.5356018277874552</c:v>
                </c:pt>
                <c:pt idx="18">
                  <c:v>5.7989894949121528</c:v>
                </c:pt>
                <c:pt idx="19">
                  <c:v>6.7326731188008351</c:v>
                </c:pt>
                <c:pt idx="20">
                  <c:v>7.8842449484826318</c:v>
                </c:pt>
                <c:pt idx="21">
                  <c:v>9.2345911095255886</c:v>
                </c:pt>
                <c:pt idx="22">
                  <c:v>10.789442700247356</c:v>
                </c:pt>
                <c:pt idx="23">
                  <c:v>12.116844261224895</c:v>
                </c:pt>
                <c:pt idx="24">
                  <c:v>13.29325270007539</c:v>
                </c:pt>
                <c:pt idx="25">
                  <c:v>15.14147888084295</c:v>
                </c:pt>
                <c:pt idx="26">
                  <c:v>16.606480669113438</c:v>
                </c:pt>
                <c:pt idx="27">
                  <c:v>17.911888248617238</c:v>
                </c:pt>
                <c:pt idx="28">
                  <c:v>19.105484061016092</c:v>
                </c:pt>
                <c:pt idx="29">
                  <c:v>20.1175094099871</c:v>
                </c:pt>
                <c:pt idx="30">
                  <c:v>21.896922477443489</c:v>
                </c:pt>
                <c:pt idx="31">
                  <c:v>23.548276901213754</c:v>
                </c:pt>
                <c:pt idx="32">
                  <c:v>25.094512316436322</c:v>
                </c:pt>
                <c:pt idx="33">
                  <c:v>26.330162744052373</c:v>
                </c:pt>
                <c:pt idx="34">
                  <c:v>27.699601916079434</c:v>
                </c:pt>
                <c:pt idx="35">
                  <c:v>29.498120997064824</c:v>
                </c:pt>
                <c:pt idx="36">
                  <c:v>30.735681169971382</c:v>
                </c:pt>
                <c:pt idx="37">
                  <c:v>31.953175806159575</c:v>
                </c:pt>
                <c:pt idx="38">
                  <c:v>33.441123794729741</c:v>
                </c:pt>
                <c:pt idx="39">
                  <c:v>35.20907336707107</c:v>
                </c:pt>
                <c:pt idx="40">
                  <c:v>36.597630517672194</c:v>
                </c:pt>
                <c:pt idx="41">
                  <c:v>37.903047768410829</c:v>
                </c:pt>
                <c:pt idx="42">
                  <c:v>39.475094735625611</c:v>
                </c:pt>
                <c:pt idx="43">
                  <c:v>40.814922518651834</c:v>
                </c:pt>
                <c:pt idx="44">
                  <c:v>41.592826877192273</c:v>
                </c:pt>
                <c:pt idx="45">
                  <c:v>42.979494298078386</c:v>
                </c:pt>
                <c:pt idx="46">
                  <c:v>44.435934745708757</c:v>
                </c:pt>
                <c:pt idx="47">
                  <c:v>45.94302610863312</c:v>
                </c:pt>
                <c:pt idx="48">
                  <c:v>47.034391333960301</c:v>
                </c:pt>
                <c:pt idx="49">
                  <c:v>47.968058804366571</c:v>
                </c:pt>
                <c:pt idx="50">
                  <c:v>48.900709690797569</c:v>
                </c:pt>
                <c:pt idx="51">
                  <c:v>50.205018210829905</c:v>
                </c:pt>
                <c:pt idx="52">
                  <c:v>51.610449956037961</c:v>
                </c:pt>
                <c:pt idx="53">
                  <c:v>52.498932706039341</c:v>
                </c:pt>
                <c:pt idx="54">
                  <c:v>53.63078909222525</c:v>
                </c:pt>
                <c:pt idx="55">
                  <c:v>54.946788516107318</c:v>
                </c:pt>
                <c:pt idx="56">
                  <c:v>56.277497527264089</c:v>
                </c:pt>
                <c:pt idx="57">
                  <c:v>57.518171997374232</c:v>
                </c:pt>
                <c:pt idx="58">
                  <c:v>58.457695948653196</c:v>
                </c:pt>
                <c:pt idx="59">
                  <c:v>59.531358684699462</c:v>
                </c:pt>
                <c:pt idx="60">
                  <c:v>60.870145294493184</c:v>
                </c:pt>
                <c:pt idx="61">
                  <c:v>61.788398833571726</c:v>
                </c:pt>
                <c:pt idx="62">
                  <c:v>63.246237474847547</c:v>
                </c:pt>
                <c:pt idx="63">
                  <c:v>64.055322580344438</c:v>
                </c:pt>
                <c:pt idx="64">
                  <c:v>65.418274229852344</c:v>
                </c:pt>
                <c:pt idx="65">
                  <c:v>66.651768558252257</c:v>
                </c:pt>
                <c:pt idx="66">
                  <c:v>68.004333722394676</c:v>
                </c:pt>
                <c:pt idx="67">
                  <c:v>69.335582747804324</c:v>
                </c:pt>
                <c:pt idx="68">
                  <c:v>70.414784890203265</c:v>
                </c:pt>
                <c:pt idx="69">
                  <c:v>71.617811066223098</c:v>
                </c:pt>
                <c:pt idx="70">
                  <c:v>73.634394346037652</c:v>
                </c:pt>
                <c:pt idx="71">
                  <c:v>75.000581725237552</c:v>
                </c:pt>
                <c:pt idx="72">
                  <c:v>76.694539363932847</c:v>
                </c:pt>
                <c:pt idx="73">
                  <c:v>78.153914965333058</c:v>
                </c:pt>
                <c:pt idx="74">
                  <c:v>79.27520620224962</c:v>
                </c:pt>
                <c:pt idx="75">
                  <c:v>80.684529159124835</c:v>
                </c:pt>
                <c:pt idx="76">
                  <c:v>81.835405875894665</c:v>
                </c:pt>
                <c:pt idx="77">
                  <c:v>82.990893781088403</c:v>
                </c:pt>
                <c:pt idx="78">
                  <c:v>84.125232914465855</c:v>
                </c:pt>
                <c:pt idx="79">
                  <c:v>85.520808651958205</c:v>
                </c:pt>
                <c:pt idx="80">
                  <c:v>86.515132625940765</c:v>
                </c:pt>
                <c:pt idx="81">
                  <c:v>87.403290893235635</c:v>
                </c:pt>
                <c:pt idx="82">
                  <c:v>88.280432342911666</c:v>
                </c:pt>
                <c:pt idx="83">
                  <c:v>89.542607683221675</c:v>
                </c:pt>
                <c:pt idx="84">
                  <c:v>90.326957565758264</c:v>
                </c:pt>
                <c:pt idx="85">
                  <c:v>91.671957099024581</c:v>
                </c:pt>
                <c:pt idx="86">
                  <c:v>92.750890646610969</c:v>
                </c:pt>
                <c:pt idx="87">
                  <c:v>93.928810297767981</c:v>
                </c:pt>
                <c:pt idx="88">
                  <c:v>94.746778898341788</c:v>
                </c:pt>
                <c:pt idx="89">
                  <c:v>96.132411508955727</c:v>
                </c:pt>
                <c:pt idx="90">
                  <c:v>97.082700139926217</c:v>
                </c:pt>
                <c:pt idx="91">
                  <c:v>98.14105233381099</c:v>
                </c:pt>
                <c:pt idx="92">
                  <c:v>99.290291306441148</c:v>
                </c:pt>
                <c:pt idx="93">
                  <c:v>100.40187282761266</c:v>
                </c:pt>
                <c:pt idx="94">
                  <c:v>101.39082918775932</c:v>
                </c:pt>
                <c:pt idx="95">
                  <c:v>102.36275910378596</c:v>
                </c:pt>
                <c:pt idx="96">
                  <c:v>103.56591645838111</c:v>
                </c:pt>
                <c:pt idx="97">
                  <c:v>104.50613783678698</c:v>
                </c:pt>
                <c:pt idx="98">
                  <c:v>105.43932778646753</c:v>
                </c:pt>
                <c:pt idx="99">
                  <c:v>106.58465873804974</c:v>
                </c:pt>
                <c:pt idx="100">
                  <c:v>107.30414625367948</c:v>
                </c:pt>
                <c:pt idx="101">
                  <c:v>108.22438662977892</c:v>
                </c:pt>
                <c:pt idx="102">
                  <c:v>109.42581938479472</c:v>
                </c:pt>
                <c:pt idx="103">
                  <c:v>110.09840108509076</c:v>
                </c:pt>
                <c:pt idx="104">
                  <c:v>111.03490005900608</c:v>
                </c:pt>
                <c:pt idx="105">
                  <c:v>111.76821136439486</c:v>
                </c:pt>
                <c:pt idx="106">
                  <c:v>112.40320618207619</c:v>
                </c:pt>
                <c:pt idx="107">
                  <c:v>113.01552706736335</c:v>
                </c:pt>
                <c:pt idx="108">
                  <c:v>113.80448977516438</c:v>
                </c:pt>
                <c:pt idx="109">
                  <c:v>114.58977095416186</c:v>
                </c:pt>
                <c:pt idx="110">
                  <c:v>115.46901405450613</c:v>
                </c:pt>
                <c:pt idx="111">
                  <c:v>115.96410282074113</c:v>
                </c:pt>
                <c:pt idx="112">
                  <c:v>116.62320524449238</c:v>
                </c:pt>
                <c:pt idx="113">
                  <c:v>117.25577545413992</c:v>
                </c:pt>
                <c:pt idx="114">
                  <c:v>118.1742104962802</c:v>
                </c:pt>
                <c:pt idx="115">
                  <c:v>118.83932968376486</c:v>
                </c:pt>
                <c:pt idx="116">
                  <c:v>120.28095876060776</c:v>
                </c:pt>
                <c:pt idx="117">
                  <c:v>120.98599023995074</c:v>
                </c:pt>
                <c:pt idx="118">
                  <c:v>121.67552467700445</c:v>
                </c:pt>
                <c:pt idx="119">
                  <c:v>122.10952362758817</c:v>
                </c:pt>
                <c:pt idx="120">
                  <c:v>122.64492499854798</c:v>
                </c:pt>
                <c:pt idx="121">
                  <c:v>123.11410267694735</c:v>
                </c:pt>
                <c:pt idx="122">
                  <c:v>123.55793827509076</c:v>
                </c:pt>
                <c:pt idx="123">
                  <c:v>123.77084678371315</c:v>
                </c:pt>
                <c:pt idx="124">
                  <c:v>124.35700250344703</c:v>
                </c:pt>
                <c:pt idx="125">
                  <c:v>124.83295324932551</c:v>
                </c:pt>
                <c:pt idx="126">
                  <c:v>125.09046061181375</c:v>
                </c:pt>
                <c:pt idx="127">
                  <c:v>125.42602340492058</c:v>
                </c:pt>
                <c:pt idx="128">
                  <c:v>125.71309480002648</c:v>
                </c:pt>
                <c:pt idx="129">
                  <c:v>126.10399200821215</c:v>
                </c:pt>
                <c:pt idx="130">
                  <c:v>126.3202885551007</c:v>
                </c:pt>
                <c:pt idx="131">
                  <c:v>126.70523850853222</c:v>
                </c:pt>
                <c:pt idx="132">
                  <c:v>126.90527862645118</c:v>
                </c:pt>
                <c:pt idx="133">
                  <c:v>127.10264232104633</c:v>
                </c:pt>
                <c:pt idx="134">
                  <c:v>127.2590443486429</c:v>
                </c:pt>
                <c:pt idx="135">
                  <c:v>127.57964238073026</c:v>
                </c:pt>
                <c:pt idx="136">
                  <c:v>127.85810610901906</c:v>
                </c:pt>
                <c:pt idx="137">
                  <c:v>128.03322792406848</c:v>
                </c:pt>
                <c:pt idx="138">
                  <c:v>128.22061267629473</c:v>
                </c:pt>
                <c:pt idx="139">
                  <c:v>128.48948005673248</c:v>
                </c:pt>
                <c:pt idx="140">
                  <c:v>128.64846345543558</c:v>
                </c:pt>
                <c:pt idx="141">
                  <c:v>128.83186700618259</c:v>
                </c:pt>
                <c:pt idx="142">
                  <c:v>128.9596876957855</c:v>
                </c:pt>
                <c:pt idx="143">
                  <c:v>129.0649878088191</c:v>
                </c:pt>
                <c:pt idx="144">
                  <c:v>129.1976313630031</c:v>
                </c:pt>
                <c:pt idx="145">
                  <c:v>129.33064362134979</c:v>
                </c:pt>
                <c:pt idx="146">
                  <c:v>129.41008781548368</c:v>
                </c:pt>
                <c:pt idx="147">
                  <c:v>129.50221758645415</c:v>
                </c:pt>
                <c:pt idx="148">
                  <c:v>129.60063227041994</c:v>
                </c:pt>
                <c:pt idx="149">
                  <c:v>129.69316124463532</c:v>
                </c:pt>
                <c:pt idx="150">
                  <c:v>129.76841412961056</c:v>
                </c:pt>
                <c:pt idx="151">
                  <c:v>129.81303584659472</c:v>
                </c:pt>
                <c:pt idx="152">
                  <c:v>129.84686656394612</c:v>
                </c:pt>
                <c:pt idx="153">
                  <c:v>129.88163862730133</c:v>
                </c:pt>
                <c:pt idx="154">
                  <c:v>129.90718962552771</c:v>
                </c:pt>
                <c:pt idx="155">
                  <c:v>129.93589418776881</c:v>
                </c:pt>
                <c:pt idx="156">
                  <c:v>129.95786725403983</c:v>
                </c:pt>
                <c:pt idx="157">
                  <c:v>129.970846914145</c:v>
                </c:pt>
                <c:pt idx="158">
                  <c:v>129.98138652897268</c:v>
                </c:pt>
                <c:pt idx="159">
                  <c:v>129.99128048983107</c:v>
                </c:pt>
                <c:pt idx="160">
                  <c:v>129.99551585526348</c:v>
                </c:pt>
                <c:pt idx="161">
                  <c:v>129.99405469592961</c:v>
                </c:pt>
                <c:pt idx="162">
                  <c:v>129.9825836122929</c:v>
                </c:pt>
                <c:pt idx="163">
                  <c:v>129.97430048757948</c:v>
                </c:pt>
                <c:pt idx="164">
                  <c:v>129.95388141267179</c:v>
                </c:pt>
                <c:pt idx="165">
                  <c:v>129.94654164641858</c:v>
                </c:pt>
                <c:pt idx="166">
                  <c:v>129.92659729683098</c:v>
                </c:pt>
                <c:pt idx="167">
                  <c:v>129.91269043288568</c:v>
                </c:pt>
                <c:pt idx="168">
                  <c:v>129.88626596151286</c:v>
                </c:pt>
                <c:pt idx="169">
                  <c:v>129.86911360614661</c:v>
                </c:pt>
                <c:pt idx="170">
                  <c:v>129.8640209567981</c:v>
                </c:pt>
                <c:pt idx="171">
                  <c:v>129.86306905972361</c:v>
                </c:pt>
                <c:pt idx="172">
                  <c:v>129.86071430468152</c:v>
                </c:pt>
                <c:pt idx="173">
                  <c:v>129.86038930377285</c:v>
                </c:pt>
                <c:pt idx="174">
                  <c:v>129.86029844578096</c:v>
                </c:pt>
                <c:pt idx="175">
                  <c:v>129.86205562720528</c:v>
                </c:pt>
                <c:pt idx="176">
                  <c:v>129.86502017898655</c:v>
                </c:pt>
                <c:pt idx="177">
                  <c:v>129.8683461578492</c:v>
                </c:pt>
                <c:pt idx="178">
                  <c:v>129.87067442323641</c:v>
                </c:pt>
                <c:pt idx="179">
                  <c:v>129.87310887262413</c:v>
                </c:pt>
                <c:pt idx="180">
                  <c:v>129.87568883395284</c:v>
                </c:pt>
                <c:pt idx="181">
                  <c:v>129.87706170232298</c:v>
                </c:pt>
                <c:pt idx="183">
                  <c:v>129.65734938721877</c:v>
                </c:pt>
              </c:numCache>
            </c:numRef>
          </c:xVal>
          <c:yVal>
            <c:numRef>
              <c:f>'Logfile Data'!$I$2:$I$290</c:f>
              <c:numCache>
                <c:formatCode>General</c:formatCode>
                <c:ptCount val="289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299.99999774661779</c:v>
                </c:pt>
                <c:pt idx="7">
                  <c:v>299.99996772213564</c:v>
                </c:pt>
                <c:pt idx="8">
                  <c:v>299.99984928515647</c:v>
                </c:pt>
                <c:pt idx="9">
                  <c:v>299.99959857251696</c:v>
                </c:pt>
                <c:pt idx="10">
                  <c:v>299.99943439496252</c:v>
                </c:pt>
                <c:pt idx="11">
                  <c:v>299.99928524774759</c:v>
                </c:pt>
                <c:pt idx="12">
                  <c:v>299.99902155786947</c:v>
                </c:pt>
                <c:pt idx="13">
                  <c:v>299.99882269491621</c:v>
                </c:pt>
                <c:pt idx="14">
                  <c:v>299.9990978630637</c:v>
                </c:pt>
                <c:pt idx="15">
                  <c:v>299.99965355263492</c:v>
                </c:pt>
                <c:pt idx="16">
                  <c:v>300.00176263530562</c:v>
                </c:pt>
                <c:pt idx="17">
                  <c:v>300.00452233821983</c:v>
                </c:pt>
                <c:pt idx="18">
                  <c:v>300.00905019295078</c:v>
                </c:pt>
                <c:pt idx="19">
                  <c:v>300.01239642144714</c:v>
                </c:pt>
                <c:pt idx="20">
                  <c:v>300.0173275005281</c:v>
                </c:pt>
                <c:pt idx="21">
                  <c:v>300.02381679390743</c:v>
                </c:pt>
                <c:pt idx="22">
                  <c:v>300.0323743890068</c:v>
                </c:pt>
                <c:pt idx="23">
                  <c:v>300.04037519318592</c:v>
                </c:pt>
                <c:pt idx="24">
                  <c:v>300.04746589868955</c:v>
                </c:pt>
                <c:pt idx="25">
                  <c:v>300.05957369838734</c:v>
                </c:pt>
                <c:pt idx="26">
                  <c:v>300.07044949823955</c:v>
                </c:pt>
                <c:pt idx="27">
                  <c:v>300.08036836060609</c:v>
                </c:pt>
                <c:pt idx="28">
                  <c:v>300.08964597918293</c:v>
                </c:pt>
                <c:pt idx="29">
                  <c:v>300.09733563895315</c:v>
                </c:pt>
                <c:pt idx="30">
                  <c:v>300.10992438314628</c:v>
                </c:pt>
                <c:pt idx="31">
                  <c:v>300.12189538607743</c:v>
                </c:pt>
                <c:pt idx="32">
                  <c:v>300.13283447743322</c:v>
                </c:pt>
                <c:pt idx="33">
                  <c:v>300.14157628529665</c:v>
                </c:pt>
                <c:pt idx="34">
                  <c:v>300.15150362742651</c:v>
                </c:pt>
                <c:pt idx="35">
                  <c:v>300.16516929285388</c:v>
                </c:pt>
                <c:pt idx="36">
                  <c:v>300.1741406173885</c:v>
                </c:pt>
                <c:pt idx="37">
                  <c:v>300.1825414757933</c:v>
                </c:pt>
                <c:pt idx="38">
                  <c:v>300.19202937250606</c:v>
                </c:pt>
                <c:pt idx="39">
                  <c:v>300.20391985581671</c:v>
                </c:pt>
                <c:pt idx="40">
                  <c:v>300.21325870568177</c:v>
                </c:pt>
                <c:pt idx="41">
                  <c:v>300.22181054352416</c:v>
                </c:pt>
                <c:pt idx="42">
                  <c:v>300.23156031262124</c:v>
                </c:pt>
                <c:pt idx="43">
                  <c:v>300.23916831113149</c:v>
                </c:pt>
                <c:pt idx="44">
                  <c:v>300.2433139688207</c:v>
                </c:pt>
                <c:pt idx="45">
                  <c:v>300.24852566798188</c:v>
                </c:pt>
                <c:pt idx="46">
                  <c:v>300.24993243028513</c:v>
                </c:pt>
                <c:pt idx="47">
                  <c:v>300.24902078238603</c:v>
                </c:pt>
                <c:pt idx="48">
                  <c:v>300.24436051808561</c:v>
                </c:pt>
                <c:pt idx="49">
                  <c:v>300.23792922986098</c:v>
                </c:pt>
                <c:pt idx="50">
                  <c:v>300.22548150992827</c:v>
                </c:pt>
                <c:pt idx="51">
                  <c:v>300.20374719363451</c:v>
                </c:pt>
                <c:pt idx="52">
                  <c:v>300.17198457622965</c:v>
                </c:pt>
                <c:pt idx="53">
                  <c:v>300.14926724282992</c:v>
                </c:pt>
                <c:pt idx="54">
                  <c:v>300.11202309467802</c:v>
                </c:pt>
                <c:pt idx="55">
                  <c:v>300.06297044252398</c:v>
                </c:pt>
                <c:pt idx="56">
                  <c:v>299.99987459046758</c:v>
                </c:pt>
                <c:pt idx="57">
                  <c:v>299.93496957897008</c:v>
                </c:pt>
                <c:pt idx="58">
                  <c:v>299.87660614624986</c:v>
                </c:pt>
                <c:pt idx="59">
                  <c:v>299.80445295533531</c:v>
                </c:pt>
                <c:pt idx="60">
                  <c:v>299.70179952673811</c:v>
                </c:pt>
                <c:pt idx="61">
                  <c:v>299.6273595212129</c:v>
                </c:pt>
                <c:pt idx="62">
                  <c:v>299.50302817219938</c:v>
                </c:pt>
                <c:pt idx="63">
                  <c:v>299.43061060009683</c:v>
                </c:pt>
                <c:pt idx="64">
                  <c:v>299.29710030421012</c:v>
                </c:pt>
                <c:pt idx="65">
                  <c:v>299.16582955634311</c:v>
                </c:pt>
                <c:pt idx="66">
                  <c:v>299.01567677434309</c:v>
                </c:pt>
                <c:pt idx="67">
                  <c:v>298.85588245884861</c:v>
                </c:pt>
                <c:pt idx="68">
                  <c:v>298.72137162113495</c:v>
                </c:pt>
                <c:pt idx="69">
                  <c:v>298.56075409536413</c:v>
                </c:pt>
                <c:pt idx="70">
                  <c:v>298.26963335280141</c:v>
                </c:pt>
                <c:pt idx="71">
                  <c:v>298.05558030119909</c:v>
                </c:pt>
                <c:pt idx="72">
                  <c:v>297.76740631290551</c:v>
                </c:pt>
                <c:pt idx="73">
                  <c:v>297.49733118608754</c:v>
                </c:pt>
                <c:pt idx="74">
                  <c:v>297.28070101394434</c:v>
                </c:pt>
                <c:pt idx="75">
                  <c:v>296.98410417941511</c:v>
                </c:pt>
                <c:pt idx="76">
                  <c:v>296.73117999321522</c:v>
                </c:pt>
                <c:pt idx="77">
                  <c:v>296.45559153361387</c:v>
                </c:pt>
                <c:pt idx="78">
                  <c:v>296.17393249195038</c:v>
                </c:pt>
                <c:pt idx="79">
                  <c:v>295.79934527638682</c:v>
                </c:pt>
                <c:pt idx="80">
                  <c:v>295.51207281561636</c:v>
                </c:pt>
                <c:pt idx="81">
                  <c:v>295.24654736990408</c:v>
                </c:pt>
                <c:pt idx="82">
                  <c:v>294.9648493867499</c:v>
                </c:pt>
                <c:pt idx="83">
                  <c:v>294.54462083867685</c:v>
                </c:pt>
                <c:pt idx="84">
                  <c:v>294.26309299112717</c:v>
                </c:pt>
                <c:pt idx="85">
                  <c:v>293.76169847810445</c:v>
                </c:pt>
                <c:pt idx="86">
                  <c:v>293.32743047685278</c:v>
                </c:pt>
                <c:pt idx="87">
                  <c:v>292.83482504882267</c:v>
                </c:pt>
                <c:pt idx="88">
                  <c:v>292.46576170783106</c:v>
                </c:pt>
                <c:pt idx="89">
                  <c:v>291.79249650266786</c:v>
                </c:pt>
                <c:pt idx="90">
                  <c:v>291.31466212038038</c:v>
                </c:pt>
                <c:pt idx="91">
                  <c:v>290.76478290802766</c:v>
                </c:pt>
                <c:pt idx="92">
                  <c:v>290.12762716378825</c:v>
                </c:pt>
                <c:pt idx="93">
                  <c:v>289.47273384183927</c:v>
                </c:pt>
                <c:pt idx="94">
                  <c:v>288.87345471441341</c:v>
                </c:pt>
                <c:pt idx="95">
                  <c:v>288.25224620102</c:v>
                </c:pt>
                <c:pt idx="96">
                  <c:v>287.44513929738042</c:v>
                </c:pt>
                <c:pt idx="97">
                  <c:v>286.80027924792518</c:v>
                </c:pt>
                <c:pt idx="98">
                  <c:v>286.1320660611712</c:v>
                </c:pt>
                <c:pt idx="99">
                  <c:v>285.29243881164541</c:v>
                </c:pt>
                <c:pt idx="100">
                  <c:v>284.75135482802557</c:v>
                </c:pt>
                <c:pt idx="101">
                  <c:v>284.01845323620051</c:v>
                </c:pt>
                <c:pt idx="102">
                  <c:v>283.00011704296696</c:v>
                </c:pt>
                <c:pt idx="103">
                  <c:v>282.41184151077402</c:v>
                </c:pt>
                <c:pt idx="104">
                  <c:v>281.53839975363911</c:v>
                </c:pt>
                <c:pt idx="105">
                  <c:v>280.83260365788146</c:v>
                </c:pt>
                <c:pt idx="106">
                  <c:v>280.20258411777894</c:v>
                </c:pt>
                <c:pt idx="107">
                  <c:v>279.5769825289575</c:v>
                </c:pt>
                <c:pt idx="108">
                  <c:v>278.72245099488822</c:v>
                </c:pt>
                <c:pt idx="109">
                  <c:v>277.84648263757452</c:v>
                </c:pt>
                <c:pt idx="110">
                  <c:v>276.80402330928598</c:v>
                </c:pt>
                <c:pt idx="111">
                  <c:v>276.19904269186242</c:v>
                </c:pt>
                <c:pt idx="112">
                  <c:v>275.37029911287055</c:v>
                </c:pt>
                <c:pt idx="113">
                  <c:v>274.52948735263453</c:v>
                </c:pt>
                <c:pt idx="114">
                  <c:v>273.2748504430175</c:v>
                </c:pt>
                <c:pt idx="115">
                  <c:v>272.31377107496155</c:v>
                </c:pt>
                <c:pt idx="116">
                  <c:v>270.04696968418261</c:v>
                </c:pt>
                <c:pt idx="117">
                  <c:v>268.87291993602929</c:v>
                </c:pt>
                <c:pt idx="118">
                  <c:v>267.65443697353999</c:v>
                </c:pt>
                <c:pt idx="119">
                  <c:v>266.86353618291361</c:v>
                </c:pt>
                <c:pt idx="120">
                  <c:v>265.82244348793643</c:v>
                </c:pt>
                <c:pt idx="121">
                  <c:v>264.8795788084891</c:v>
                </c:pt>
                <c:pt idx="122">
                  <c:v>263.92452307216837</c:v>
                </c:pt>
                <c:pt idx="123">
                  <c:v>263.45023428150142</c:v>
                </c:pt>
                <c:pt idx="124">
                  <c:v>262.04314766239258</c:v>
                </c:pt>
                <c:pt idx="125">
                  <c:v>260.8553114051175</c:v>
                </c:pt>
                <c:pt idx="126">
                  <c:v>260.18641370165955</c:v>
                </c:pt>
                <c:pt idx="127">
                  <c:v>259.24275890518624</c:v>
                </c:pt>
                <c:pt idx="128">
                  <c:v>258.40263400136695</c:v>
                </c:pt>
                <c:pt idx="129">
                  <c:v>257.21128526469556</c:v>
                </c:pt>
                <c:pt idx="130">
                  <c:v>256.49194382420598</c:v>
                </c:pt>
                <c:pt idx="131">
                  <c:v>255.15081932795334</c:v>
                </c:pt>
                <c:pt idx="132">
                  <c:v>254.41886001675402</c:v>
                </c:pt>
                <c:pt idx="133">
                  <c:v>253.66145848084818</c:v>
                </c:pt>
                <c:pt idx="134">
                  <c:v>253.02971981472899</c:v>
                </c:pt>
                <c:pt idx="135">
                  <c:v>251.59724844484776</c:v>
                </c:pt>
                <c:pt idx="136">
                  <c:v>250.2866553265082</c:v>
                </c:pt>
                <c:pt idx="137">
                  <c:v>249.37342760242464</c:v>
                </c:pt>
                <c:pt idx="138">
                  <c:v>248.34388268766898</c:v>
                </c:pt>
                <c:pt idx="139">
                  <c:v>246.69030914673732</c:v>
                </c:pt>
                <c:pt idx="140">
                  <c:v>245.59319121021161</c:v>
                </c:pt>
                <c:pt idx="141">
                  <c:v>244.18784953115841</c:v>
                </c:pt>
                <c:pt idx="142">
                  <c:v>243.15211527339349</c:v>
                </c:pt>
                <c:pt idx="143">
                  <c:v>242.24554532661469</c:v>
                </c:pt>
                <c:pt idx="144">
                  <c:v>241.02757787385053</c:v>
                </c:pt>
                <c:pt idx="145">
                  <c:v>239.63481402526085</c:v>
                </c:pt>
                <c:pt idx="146">
                  <c:v>238.74384171401212</c:v>
                </c:pt>
                <c:pt idx="147">
                  <c:v>237.5614390316982</c:v>
                </c:pt>
                <c:pt idx="148">
                  <c:v>236.11982126990404</c:v>
                </c:pt>
                <c:pt idx="149">
                  <c:v>234.66344953577374</c:v>
                </c:pt>
                <c:pt idx="150">
                  <c:v>233.26733093129695</c:v>
                </c:pt>
                <c:pt idx="151">
                  <c:v>232.35671433528097</c:v>
                </c:pt>
                <c:pt idx="152">
                  <c:v>231.59866686671973</c:v>
                </c:pt>
                <c:pt idx="153">
                  <c:v>230.60059721823092</c:v>
                </c:pt>
                <c:pt idx="154">
                  <c:v>229.75234696722953</c:v>
                </c:pt>
                <c:pt idx="155">
                  <c:v>228.65274535719149</c:v>
                </c:pt>
                <c:pt idx="156">
                  <c:v>227.67343005128791</c:v>
                </c:pt>
                <c:pt idx="157">
                  <c:v>226.86981636975193</c:v>
                </c:pt>
                <c:pt idx="158">
                  <c:v>226.09101660844232</c:v>
                </c:pt>
                <c:pt idx="159">
                  <c:v>225.16980382846546</c:v>
                </c:pt>
                <c:pt idx="160">
                  <c:v>224.5992845408766</c:v>
                </c:pt>
                <c:pt idx="161">
                  <c:v>223.86915409936188</c:v>
                </c:pt>
                <c:pt idx="162">
                  <c:v>223.081765547846</c:v>
                </c:pt>
                <c:pt idx="163">
                  <c:v>222.51320221270981</c:v>
                </c:pt>
                <c:pt idx="164">
                  <c:v>221.78431193225532</c:v>
                </c:pt>
                <c:pt idx="165">
                  <c:v>221.54741944327299</c:v>
                </c:pt>
                <c:pt idx="166">
                  <c:v>220.96002086890789</c:v>
                </c:pt>
                <c:pt idx="167">
                  <c:v>220.59713263383873</c:v>
                </c:pt>
                <c:pt idx="168">
                  <c:v>219.95450975702224</c:v>
                </c:pt>
                <c:pt idx="169">
                  <c:v>219.57454002815803</c:v>
                </c:pt>
                <c:pt idx="170">
                  <c:v>219.47241022718165</c:v>
                </c:pt>
                <c:pt idx="171">
                  <c:v>219.45332054475617</c:v>
                </c:pt>
                <c:pt idx="172">
                  <c:v>219.40559509925441</c:v>
                </c:pt>
                <c:pt idx="173">
                  <c:v>219.39891330835707</c:v>
                </c:pt>
                <c:pt idx="174">
                  <c:v>219.39700412904219</c:v>
                </c:pt>
                <c:pt idx="175">
                  <c:v>219.43519052250952</c:v>
                </c:pt>
                <c:pt idx="176">
                  <c:v>219.5001084300076</c:v>
                </c:pt>
                <c:pt idx="177">
                  <c:v>219.5726631593177</c:v>
                </c:pt>
                <c:pt idx="178">
                  <c:v>219.62326013066161</c:v>
                </c:pt>
                <c:pt idx="179">
                  <c:v>219.6757655752366</c:v>
                </c:pt>
                <c:pt idx="180">
                  <c:v>219.73017763658211</c:v>
                </c:pt>
                <c:pt idx="181">
                  <c:v>219.758814848729</c:v>
                </c:pt>
                <c:pt idx="183">
                  <c:v>209.45028083862027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1296"/>
        <c:axId val="206152592"/>
      </c:scatterChart>
      <c:valAx>
        <c:axId val="206161296"/>
        <c:scaling>
          <c:orientation val="minMax"/>
          <c:max val="35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location (inches)</a:t>
                </a:r>
              </a:p>
            </c:rich>
          </c:tx>
          <c:layout>
            <c:manualLayout>
              <c:xMode val="edge"/>
              <c:yMode val="edge"/>
              <c:x val="0.4154477415213928"/>
              <c:y val="5.630148474065116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52592"/>
        <c:crosses val="autoZero"/>
        <c:crossBetween val="midCat"/>
        <c:majorUnit val="50"/>
      </c:valAx>
      <c:valAx>
        <c:axId val="206152592"/>
        <c:scaling>
          <c:orientation val="maxMin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location  (inches)</a:t>
                </a:r>
              </a:p>
            </c:rich>
          </c:tx>
          <c:layout>
            <c:manualLayout>
              <c:xMode val="edge"/>
              <c:yMode val="edge"/>
              <c:x val="3.8816108685104317E-3"/>
              <c:y val="0.47323202944122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129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166686</xdr:rowOff>
    </xdr:from>
    <xdr:to>
      <xdr:col>10</xdr:col>
      <xdr:colOff>381000</xdr:colOff>
      <xdr:row>41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1</xdr:col>
          <xdr:colOff>476250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Center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57150</xdr:rowOff>
        </xdr:from>
        <xdr:to>
          <xdr:col>3</xdr:col>
          <xdr:colOff>542925</xdr:colOff>
          <xdr:row>3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Fixed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11"/>
  <sheetViews>
    <sheetView tabSelected="1" workbookViewId="0">
      <selection activeCell="Q1" sqref="Q1"/>
    </sheetView>
  </sheetViews>
  <sheetFormatPr defaultRowHeight="15" x14ac:dyDescent="0.25"/>
  <cols>
    <col min="1" max="1" width="12.85546875" customWidth="1"/>
    <col min="4" max="16" width="9.140625" customWidth="1"/>
  </cols>
  <sheetData>
    <row r="1" spans="1:24" x14ac:dyDescent="0.25">
      <c r="E1" s="4" t="s">
        <v>20</v>
      </c>
      <c r="K1" t="s">
        <v>0</v>
      </c>
      <c r="L1" t="s">
        <v>8</v>
      </c>
      <c r="M1" t="s">
        <v>9</v>
      </c>
      <c r="N1" t="s">
        <v>3</v>
      </c>
      <c r="O1" t="s">
        <v>7</v>
      </c>
      <c r="Q1" t="s">
        <v>10</v>
      </c>
      <c r="R1" t="s">
        <v>11</v>
      </c>
      <c r="T1" t="s">
        <v>14</v>
      </c>
      <c r="U1" t="s">
        <v>15</v>
      </c>
      <c r="W1" t="s">
        <v>16</v>
      </c>
      <c r="X1" t="s">
        <v>17</v>
      </c>
    </row>
    <row r="2" spans="1:24" x14ac:dyDescent="0.25">
      <c r="E2" s="4" t="s">
        <v>26</v>
      </c>
      <c r="K2">
        <f>Original!A2</f>
        <v>0.02</v>
      </c>
      <c r="L2">
        <f>IF(Original!$D$2=0, Original!B2, L3)</f>
        <v>0</v>
      </c>
      <c r="M2">
        <f>IF(Original!$D$2=0, Original!C2, M3)</f>
        <v>300</v>
      </c>
      <c r="N2">
        <v>0</v>
      </c>
      <c r="O2">
        <f>IF(Original!$D$2=0, Original!H2, O3)</f>
        <v>6.2831039999999998</v>
      </c>
      <c r="Q2">
        <f>L2</f>
        <v>0</v>
      </c>
      <c r="R2">
        <f>M2</f>
        <v>300</v>
      </c>
      <c r="T2">
        <f>Q2 + $B$10/2 * SIN($O2)</f>
        <v>-1.0773201283364657E-3</v>
      </c>
      <c r="U2">
        <f>R2 - $B$10/2 * COS($O2)</f>
        <v>286.75000004379694</v>
      </c>
      <c r="W2">
        <f>Q2 - $B$10/2 * SIN($O2)</f>
        <v>1.0773201283364657E-3</v>
      </c>
      <c r="X2">
        <f>R2 + $B$10/2 * COS($O2)</f>
        <v>313.24999995620306</v>
      </c>
    </row>
    <row r="3" spans="1:24" x14ac:dyDescent="0.25">
      <c r="E3" s="4" t="s">
        <v>21</v>
      </c>
      <c r="L3">
        <f>IF(Original!$D$2=0, Original!B3, Original!B2)</f>
        <v>0</v>
      </c>
      <c r="M3">
        <f>IF(Original!$D$2=0, Original!C3, Original!C2)</f>
        <v>300</v>
      </c>
      <c r="N3">
        <f>IF(Original!$D$2=0, Original!D3, Original!D2)</f>
        <v>1.4710000000000001E-3</v>
      </c>
      <c r="O3">
        <f>IF(Original!$D$2=0, Original!H3, Original!H2)</f>
        <v>6.2831039999999998</v>
      </c>
      <c r="Q3">
        <f>Q2 + ($N3-$N2)*COS($O3)</f>
        <v>1.4709999951377144E-3</v>
      </c>
      <c r="R3">
        <f>R2 + ($N3-$N2)*SIN($O3)</f>
        <v>299.99999988039713</v>
      </c>
      <c r="T3">
        <f t="shared" ref="T3:T4" si="0">Q3 + $B$10/2 * SIN($O3)</f>
        <v>3.9367986680124869E-4</v>
      </c>
      <c r="U3">
        <f t="shared" ref="U3:U4" si="1">R3 - $B$10/2 * COS($O3)</f>
        <v>286.74999992419407</v>
      </c>
      <c r="W3">
        <f t="shared" ref="W3:W4" si="2">Q3 - $B$10/2 * SIN($O3)</f>
        <v>2.5483201234741803E-3</v>
      </c>
      <c r="X3">
        <f t="shared" ref="X3:X4" si="3">R3 + $B$10/2 * COS($O3)</f>
        <v>313.24999983660018</v>
      </c>
    </row>
    <row r="4" spans="1:24" x14ac:dyDescent="0.25">
      <c r="E4" s="4" t="s">
        <v>23</v>
      </c>
      <c r="L4">
        <f>IF(Original!$D$2=0, Original!B4, Original!B3)</f>
        <v>0</v>
      </c>
      <c r="M4">
        <f>IF(Original!$D$2=0, Original!C4, Original!C3)</f>
        <v>300</v>
      </c>
      <c r="N4">
        <f>IF(Original!$D$2=0, Original!D4, Original!D3)</f>
        <v>7.3530000000000002E-3</v>
      </c>
      <c r="O4">
        <f>IF(Original!$D$2=0, Original!H4, Original!H3)</f>
        <v>6.2831060000000001</v>
      </c>
      <c r="Q4">
        <f>Q3 + ($N4-$N3)*COS($O4)</f>
        <v>7.3529999766399155E-3</v>
      </c>
      <c r="R4">
        <f>R3 + ($N4-$N3)*SIN($O4)</f>
        <v>299.99999941391229</v>
      </c>
      <c r="T4">
        <f t="shared" si="0"/>
        <v>6.3021798482216975E-3</v>
      </c>
      <c r="U4">
        <f t="shared" si="1"/>
        <v>286.74999945558108</v>
      </c>
      <c r="W4">
        <f t="shared" si="2"/>
        <v>8.4038201050581334E-3</v>
      </c>
      <c r="X4">
        <f t="shared" si="3"/>
        <v>313.24999937224351</v>
      </c>
    </row>
    <row r="5" spans="1:24" x14ac:dyDescent="0.25">
      <c r="E5" s="4" t="s">
        <v>22</v>
      </c>
      <c r="L5">
        <f>IF(Original!$D$2=0, Original!B5, Original!B4)</f>
        <v>0</v>
      </c>
      <c r="M5">
        <f>IF(Original!$D$2=0, Original!C5, Original!C4)</f>
        <v>300</v>
      </c>
      <c r="N5">
        <f>IF(Original!$D$2=0, Original!D5, Original!D4)</f>
        <v>2.0587999999999999E-2</v>
      </c>
      <c r="O5">
        <f>IF(Original!$D$2=0, Original!H5, Original!H4)</f>
        <v>6.283112</v>
      </c>
      <c r="Q5">
        <f t="shared" ref="Q5:Q68" si="4">Q4 + ($N5-$N4)*COS($O5)</f>
        <v>2.058799994107785E-2</v>
      </c>
      <c r="R5">
        <f t="shared" ref="R5:R68" si="5">R4 + ($N5-$N4)*SIN($O5)</f>
        <v>299.99999844369177</v>
      </c>
      <c r="T5">
        <f>Q5 + $B$10/2 * SIN($O5)</f>
        <v>1.9616679812427401E-2</v>
      </c>
      <c r="U5">
        <f t="shared" ref="U5" si="6">R5 - $B$10/2 * COS($O5)</f>
        <v>286.74999847929416</v>
      </c>
      <c r="W5">
        <f t="shared" ref="W5" si="7">Q5 - $B$10/2 * SIN($O5)</f>
        <v>2.1559320069728299E-2</v>
      </c>
      <c r="X5">
        <f t="shared" ref="X5" si="8">R5 + $B$10/2 * COS($O5)</f>
        <v>313.24999840808937</v>
      </c>
    </row>
    <row r="6" spans="1:24" x14ac:dyDescent="0.25">
      <c r="E6" s="4" t="s">
        <v>24</v>
      </c>
      <c r="L6">
        <f>IF(Original!$D$2=0, Original!B6, Original!B5)</f>
        <v>0</v>
      </c>
      <c r="M6">
        <f>IF(Original!$D$2=0, Original!C6, Original!C5)</f>
        <v>300</v>
      </c>
      <c r="N6">
        <f>IF(Original!$D$2=0, Original!D6, Original!D5)</f>
        <v>4.4117999999999997E-2</v>
      </c>
      <c r="O6">
        <f>IF(Original!$D$2=0, Original!H6, Original!H5)</f>
        <v>6.2831219999999997</v>
      </c>
      <c r="Q6">
        <f t="shared" si="4"/>
        <v>4.4117999893926091E-2</v>
      </c>
      <c r="R6">
        <f t="shared" si="5"/>
        <v>299.99999695407382</v>
      </c>
      <c r="T6">
        <f t="shared" ref="T6:T69" si="9">Q6 + $B$10/2 * SIN($O6)</f>
        <v>4.3279179764960957E-2</v>
      </c>
      <c r="U6">
        <f t="shared" ref="U6:U69" si="10">R6 - $B$10/2 * COS($O6)</f>
        <v>286.7499969806255</v>
      </c>
      <c r="W6">
        <f t="shared" ref="W6:W69" si="11">Q6 - $B$10/2 * SIN($O6)</f>
        <v>4.4956820022891225E-2</v>
      </c>
      <c r="X6">
        <f t="shared" ref="X6:X69" si="12">R6 + $B$10/2 * COS($O6)</f>
        <v>313.24999692752215</v>
      </c>
    </row>
    <row r="7" spans="1:24" x14ac:dyDescent="0.25">
      <c r="A7" s="1" t="s">
        <v>18</v>
      </c>
      <c r="C7" s="3">
        <f>MAX(Left!E:E)</f>
        <v>54.007575376283157</v>
      </c>
      <c r="E7" s="4" t="s">
        <v>25</v>
      </c>
      <c r="L7">
        <f>IF(Original!$D$2=0, Original!B7, Original!B6)</f>
        <v>0</v>
      </c>
      <c r="M7">
        <f>IF(Original!$D$2=0, Original!C7, Original!C6)</f>
        <v>300</v>
      </c>
      <c r="N7">
        <f>IF(Original!$D$2=0, Original!D7, Original!D6)</f>
        <v>8.0881999999999996E-2</v>
      </c>
      <c r="O7">
        <f>IF(Original!$D$2=0, Original!H7, Original!H6)</f>
        <v>6.2831380000000001</v>
      </c>
      <c r="Q7">
        <f t="shared" si="4"/>
        <v>8.0881999852787739E-2</v>
      </c>
      <c r="R7">
        <f t="shared" si="5"/>
        <v>299.99999521487268</v>
      </c>
      <c r="T7">
        <f t="shared" si="9"/>
        <v>8.0255179723502199E-2</v>
      </c>
      <c r="U7">
        <f t="shared" si="10"/>
        <v>286.74999522969921</v>
      </c>
      <c r="W7">
        <f t="shared" si="11"/>
        <v>8.150881998207328E-2</v>
      </c>
      <c r="X7">
        <f t="shared" si="12"/>
        <v>313.24999520004616</v>
      </c>
    </row>
    <row r="8" spans="1:24" x14ac:dyDescent="0.25">
      <c r="A8" s="1" t="s">
        <v>19</v>
      </c>
      <c r="C8" s="3">
        <f>MAX(Right!E:E)</f>
        <v>67.343083998772357</v>
      </c>
      <c r="E8" s="4" t="s">
        <v>28</v>
      </c>
      <c r="L8">
        <f>IF(Original!$D$2=0, Original!B8, Original!B7)</f>
        <v>0</v>
      </c>
      <c r="M8">
        <f>IF(Original!$D$2=0, Original!C8, Original!C7)</f>
        <v>300</v>
      </c>
      <c r="N8">
        <f>IF(Original!$D$2=0, Original!D8, Original!D7)</f>
        <v>0.133824</v>
      </c>
      <c r="O8">
        <f>IF(Original!$D$2=0, Original!H8, Original!H7)</f>
        <v>6.2831609999999998</v>
      </c>
      <c r="Q8">
        <f t="shared" si="4"/>
        <v>0.13382399983714766</v>
      </c>
      <c r="R8">
        <f t="shared" si="5"/>
        <v>299.99999392800197</v>
      </c>
      <c r="T8">
        <f t="shared" si="9"/>
        <v>0.13350192970765556</v>
      </c>
      <c r="U8">
        <f t="shared" si="10"/>
        <v>286.74999393191626</v>
      </c>
      <c r="W8">
        <f t="shared" si="11"/>
        <v>0.13414606996663975</v>
      </c>
      <c r="X8">
        <f t="shared" si="12"/>
        <v>313.24999392408768</v>
      </c>
    </row>
    <row r="9" spans="1:24" x14ac:dyDescent="0.25">
      <c r="E9" s="4" t="s">
        <v>27</v>
      </c>
      <c r="L9">
        <f>IF(Original!$D$2=0, Original!B9, Original!B8)</f>
        <v>1.3573999999999999E-2</v>
      </c>
      <c r="M9">
        <f>IF(Original!$D$2=0, Original!C9, Original!C8)</f>
        <v>300</v>
      </c>
      <c r="N9">
        <f>IF(Original!$D$2=0, Original!D9, Original!D8)</f>
        <v>0.20588200000000001</v>
      </c>
      <c r="O9">
        <f>IF(Original!$D$2=0, Original!H9, Original!H8)</f>
        <v>6.0000000000000002E-6</v>
      </c>
      <c r="Q9">
        <f t="shared" si="4"/>
        <v>0.20588199983585062</v>
      </c>
      <c r="R9">
        <f t="shared" si="5"/>
        <v>299.99999436034994</v>
      </c>
      <c r="T9">
        <f t="shared" si="9"/>
        <v>0.20596149983585013</v>
      </c>
      <c r="U9">
        <f t="shared" si="10"/>
        <v>286.74999436058846</v>
      </c>
      <c r="W9">
        <f t="shared" si="11"/>
        <v>0.20580249983585111</v>
      </c>
      <c r="X9">
        <f t="shared" si="12"/>
        <v>313.24999436011143</v>
      </c>
    </row>
    <row r="10" spans="1:24" x14ac:dyDescent="0.25">
      <c r="A10" s="1" t="s">
        <v>13</v>
      </c>
      <c r="B10" s="2">
        <v>26.5</v>
      </c>
      <c r="E10" s="4" t="s">
        <v>29</v>
      </c>
      <c r="L10">
        <f>IF(Original!$D$2=0, Original!B10, Original!B9)</f>
        <v>0.107691</v>
      </c>
      <c r="M10">
        <f>IF(Original!$D$2=0, Original!C10, Original!C9)</f>
        <v>300.00000199999999</v>
      </c>
      <c r="N10">
        <f>IF(Original!$D$2=0, Original!D10, Original!D9)</f>
        <v>0.3</v>
      </c>
      <c r="O10">
        <f>IF(Original!$D$2=0, Original!H10, Original!H9)</f>
        <v>4.5000000000000003E-5</v>
      </c>
      <c r="Q10">
        <f t="shared" si="4"/>
        <v>0.29999999974055613</v>
      </c>
      <c r="R10">
        <f t="shared" si="5"/>
        <v>299.99999859565992</v>
      </c>
      <c r="T10">
        <f t="shared" si="9"/>
        <v>0.30059624974035493</v>
      </c>
      <c r="U10">
        <f t="shared" si="10"/>
        <v>286.74999860907553</v>
      </c>
      <c r="W10">
        <f t="shared" si="11"/>
        <v>0.29940374974075734</v>
      </c>
      <c r="X10">
        <f t="shared" si="12"/>
        <v>313.2499985822443</v>
      </c>
    </row>
    <row r="11" spans="1:24" x14ac:dyDescent="0.25">
      <c r="E11" s="4"/>
      <c r="L11">
        <f>IF(Original!$D$2=0, Original!B11, Original!B10)</f>
        <v>0.22680900000000001</v>
      </c>
      <c r="M11">
        <f>IF(Original!$D$2=0, Original!C11, Original!C10)</f>
        <v>300.00001099999997</v>
      </c>
      <c r="N11">
        <f>IF(Original!$D$2=0, Original!D11, Original!D10)</f>
        <v>0.41911799999999999</v>
      </c>
      <c r="O11">
        <f>IF(Original!$D$2=0, Original!H11, Original!H10)</f>
        <v>9.2999999999999997E-5</v>
      </c>
      <c r="Q11">
        <f t="shared" si="4"/>
        <v>0.41911799922543036</v>
      </c>
      <c r="R11">
        <f t="shared" si="5"/>
        <v>300.00000967363388</v>
      </c>
      <c r="T11">
        <f t="shared" si="9"/>
        <v>0.42035024922365405</v>
      </c>
      <c r="U11">
        <f t="shared" si="10"/>
        <v>286.75000973093353</v>
      </c>
      <c r="W11">
        <f t="shared" si="11"/>
        <v>0.41788574922720667</v>
      </c>
      <c r="X11">
        <f t="shared" si="12"/>
        <v>313.25000961633424</v>
      </c>
    </row>
    <row r="12" spans="1:24" x14ac:dyDescent="0.25">
      <c r="A12" s="1" t="s">
        <v>12</v>
      </c>
      <c r="B12" t="s">
        <v>39</v>
      </c>
      <c r="L12">
        <f>IF(Original!$D$2=0, Original!B12, Original!B11)</f>
        <v>0.37386900000000001</v>
      </c>
      <c r="M12">
        <f>IF(Original!$D$2=0, Original!C12, Original!C11)</f>
        <v>300.00002899999998</v>
      </c>
      <c r="N12">
        <f>IF(Original!$D$2=0, Original!D12, Original!D11)</f>
        <v>0.56617600000000001</v>
      </c>
      <c r="O12">
        <f>IF(Original!$D$2=0, Original!H12, Original!H11)</f>
        <v>1.5100000000000001E-4</v>
      </c>
      <c r="Q12">
        <f t="shared" si="4"/>
        <v>0.56617599754889569</v>
      </c>
      <c r="R12">
        <f t="shared" si="5"/>
        <v>300.00003187939183</v>
      </c>
      <c r="T12">
        <f t="shared" si="9"/>
        <v>0.56817674754129255</v>
      </c>
      <c r="U12">
        <f t="shared" si="10"/>
        <v>286.75003203044844</v>
      </c>
      <c r="W12">
        <f t="shared" si="11"/>
        <v>0.56417524755649884</v>
      </c>
      <c r="X12">
        <f t="shared" si="12"/>
        <v>313.25003172833522</v>
      </c>
    </row>
    <row r="13" spans="1:24" x14ac:dyDescent="0.25">
      <c r="L13">
        <f>IF(Original!$D$2=0, Original!B13, Original!B12)</f>
        <v>0.55180899999999999</v>
      </c>
      <c r="M13">
        <f>IF(Original!$D$2=0, Original!C13, Original!C12)</f>
        <v>300.00006200000001</v>
      </c>
      <c r="N13">
        <f>IF(Original!$D$2=0, Original!D13, Original!D12)</f>
        <v>0.74411799999999995</v>
      </c>
      <c r="O13">
        <f>IF(Original!$D$2=0, Original!H13, Original!H12)</f>
        <v>2.1900000000000001E-4</v>
      </c>
      <c r="Q13">
        <f t="shared" si="4"/>
        <v>0.74411799328175754</v>
      </c>
      <c r="R13">
        <f t="shared" si="5"/>
        <v>300.00007084868952</v>
      </c>
      <c r="T13">
        <f t="shared" si="9"/>
        <v>0.74701974325856235</v>
      </c>
      <c r="U13">
        <f t="shared" si="10"/>
        <v>286.75007116643116</v>
      </c>
      <c r="W13">
        <f t="shared" si="11"/>
        <v>0.74121624330495273</v>
      </c>
      <c r="X13">
        <f t="shared" si="12"/>
        <v>313.25007053094788</v>
      </c>
    </row>
    <row r="14" spans="1:24" x14ac:dyDescent="0.25">
      <c r="L14">
        <f>IF(Original!$D$2=0, Original!B14, Original!B13)</f>
        <v>0.763575</v>
      </c>
      <c r="M14">
        <f>IF(Original!$D$2=0, Original!C14, Original!C13)</f>
        <v>300.00011599999999</v>
      </c>
      <c r="N14">
        <f>IF(Original!$D$2=0, Original!D14, Original!D13)</f>
        <v>0.95588200000000001</v>
      </c>
      <c r="O14">
        <f>IF(Original!$D$2=0, Original!H14, Original!H13)</f>
        <v>2.9700000000000001E-4</v>
      </c>
      <c r="Q14">
        <f t="shared" si="4"/>
        <v>0.95588198394201229</v>
      </c>
      <c r="R14">
        <f t="shared" si="5"/>
        <v>300.00013374259657</v>
      </c>
      <c r="T14">
        <f t="shared" si="9"/>
        <v>0.95981723388415818</v>
      </c>
      <c r="U14">
        <f t="shared" si="10"/>
        <v>286.7501343269812</v>
      </c>
      <c r="W14">
        <f t="shared" si="11"/>
        <v>0.9519467339998664</v>
      </c>
      <c r="X14">
        <f t="shared" si="12"/>
        <v>313.25013315821195</v>
      </c>
    </row>
    <row r="15" spans="1:24" x14ac:dyDescent="0.25">
      <c r="L15">
        <f>IF(Original!$D$2=0, Original!B15, Original!B14)</f>
        <v>1.012103</v>
      </c>
      <c r="M15">
        <f>IF(Original!$D$2=0, Original!C15, Original!C14)</f>
        <v>300.000201</v>
      </c>
      <c r="N15">
        <f>IF(Original!$D$2=0, Original!D15, Original!D14)</f>
        <v>1.204412</v>
      </c>
      <c r="O15">
        <f>IF(Original!$D$2=0, Original!H15, Original!H14)</f>
        <v>3.8299999999999999E-4</v>
      </c>
      <c r="Q15">
        <f t="shared" si="4"/>
        <v>1.204411965713704</v>
      </c>
      <c r="R15">
        <f t="shared" si="5"/>
        <v>300.00022892958424</v>
      </c>
      <c r="T15">
        <f t="shared" si="9"/>
        <v>1.2094867155896356</v>
      </c>
      <c r="U15">
        <f t="shared" si="10"/>
        <v>286.75022990139882</v>
      </c>
      <c r="W15">
        <f t="shared" si="11"/>
        <v>1.1993372158377724</v>
      </c>
      <c r="X15">
        <f t="shared" si="12"/>
        <v>313.25022795776965</v>
      </c>
    </row>
    <row r="16" spans="1:24" x14ac:dyDescent="0.25">
      <c r="L16">
        <f>IF(Original!$D$2=0, Original!B16, Original!B15)</f>
        <v>1.3003389999999999</v>
      </c>
      <c r="M16">
        <f>IF(Original!$D$2=0, Original!C16, Original!C15)</f>
        <v>300.00032499999998</v>
      </c>
      <c r="N16">
        <f>IF(Original!$D$2=0, Original!D16, Original!D15)</f>
        <v>1.4926470000000001</v>
      </c>
      <c r="O16">
        <f>IF(Original!$D$2=0, Original!H16, Original!H15)</f>
        <v>4.7699999999999999E-4</v>
      </c>
      <c r="Q16">
        <f t="shared" si="4"/>
        <v>1.492646932922794</v>
      </c>
      <c r="R16">
        <f t="shared" si="5"/>
        <v>300.000366417674</v>
      </c>
      <c r="T16">
        <f t="shared" si="9"/>
        <v>1.4989671826831208</v>
      </c>
      <c r="U16">
        <f t="shared" si="10"/>
        <v>286.75036792505358</v>
      </c>
      <c r="W16">
        <f t="shared" si="11"/>
        <v>1.4863266831624673</v>
      </c>
      <c r="X16">
        <f t="shared" si="12"/>
        <v>313.25036491029442</v>
      </c>
    </row>
    <row r="17" spans="12:24" x14ac:dyDescent="0.25">
      <c r="L17">
        <f>IF(Original!$D$2=0, Original!B17, Original!B16)</f>
        <v>1.631221</v>
      </c>
      <c r="M17">
        <f>IF(Original!$D$2=0, Original!C17, Original!C16)</f>
        <v>300.00049999999999</v>
      </c>
      <c r="N17">
        <f>IF(Original!$D$2=0, Original!D17, Original!D16)</f>
        <v>1.823529</v>
      </c>
      <c r="O17">
        <f>IF(Original!$D$2=0, Original!H17, Original!H16)</f>
        <v>5.7600000000000001E-4</v>
      </c>
      <c r="Q17">
        <f t="shared" si="4"/>
        <v>1.8235288780334422</v>
      </c>
      <c r="R17">
        <f t="shared" si="5"/>
        <v>300.00055700569544</v>
      </c>
      <c r="T17">
        <f t="shared" si="9"/>
        <v>1.8311608776114232</v>
      </c>
      <c r="U17">
        <f t="shared" si="10"/>
        <v>286.75055920371136</v>
      </c>
      <c r="W17">
        <f t="shared" si="11"/>
        <v>1.8158968784554612</v>
      </c>
      <c r="X17">
        <f t="shared" si="12"/>
        <v>313.25055480767952</v>
      </c>
    </row>
    <row r="18" spans="12:24" x14ac:dyDescent="0.25">
      <c r="L18">
        <f>IF(Original!$D$2=0, Original!B18, Original!B17)</f>
        <v>2.007692</v>
      </c>
      <c r="M18">
        <f>IF(Original!$D$2=0, Original!C18, Original!C17)</f>
        <v>300.00073600000002</v>
      </c>
      <c r="N18">
        <f>IF(Original!$D$2=0, Original!D18, Original!D17)</f>
        <v>2.2000000000000002</v>
      </c>
      <c r="O18">
        <f>IF(Original!$D$2=0, Original!H18, Original!H17)</f>
        <v>6.78E-4</v>
      </c>
      <c r="Q18">
        <f t="shared" si="4"/>
        <v>2.1999997915045983</v>
      </c>
      <c r="R18">
        <f t="shared" si="5"/>
        <v>300.00081225301386</v>
      </c>
      <c r="T18">
        <f t="shared" si="9"/>
        <v>2.2089832908163367</v>
      </c>
      <c r="U18">
        <f t="shared" si="10"/>
        <v>286.75081529842026</v>
      </c>
      <c r="W18">
        <f t="shared" si="11"/>
        <v>2.19101629219286</v>
      </c>
      <c r="X18">
        <f t="shared" si="12"/>
        <v>313.25080920760746</v>
      </c>
    </row>
    <row r="19" spans="12:24" x14ac:dyDescent="0.25">
      <c r="L19">
        <f>IF(Original!$D$2=0, Original!B19, Original!B18)</f>
        <v>2.4326919999999999</v>
      </c>
      <c r="M19">
        <f>IF(Original!$D$2=0, Original!C19, Original!C18)</f>
        <v>300.00104599999997</v>
      </c>
      <c r="N19">
        <f>IF(Original!$D$2=0, Original!D19, Original!D18)</f>
        <v>2.625</v>
      </c>
      <c r="O19">
        <f>IF(Original!$D$2=0, Original!H19, Original!H18)</f>
        <v>7.7899999999999996E-4</v>
      </c>
      <c r="Q19">
        <f t="shared" si="4"/>
        <v>2.6249996625508922</v>
      </c>
      <c r="R19">
        <f t="shared" si="5"/>
        <v>300.0011433279804</v>
      </c>
      <c r="T19">
        <f t="shared" si="9"/>
        <v>2.6353214115069488</v>
      </c>
      <c r="U19">
        <f t="shared" si="10"/>
        <v>286.7511473483018</v>
      </c>
      <c r="W19">
        <f t="shared" si="11"/>
        <v>2.6146779135948357</v>
      </c>
      <c r="X19">
        <f t="shared" si="12"/>
        <v>313.251139307659</v>
      </c>
    </row>
    <row r="20" spans="12:24" x14ac:dyDescent="0.25">
      <c r="L20">
        <f>IF(Original!$D$2=0, Original!B20, Original!B19)</f>
        <v>2.9076919999999999</v>
      </c>
      <c r="M20">
        <f>IF(Original!$D$2=0, Original!C20, Original!C19)</f>
        <v>300.001439</v>
      </c>
      <c r="N20">
        <f>IF(Original!$D$2=0, Original!D20, Original!D19)</f>
        <v>3.1</v>
      </c>
      <c r="O20">
        <f>IF(Original!$D$2=0, Original!H20, Original!H19)</f>
        <v>8.7399999999999999E-4</v>
      </c>
      <c r="Q20">
        <f t="shared" si="4"/>
        <v>3.0999994811303537</v>
      </c>
      <c r="R20">
        <f t="shared" si="5"/>
        <v>300.00155847792757</v>
      </c>
      <c r="T20">
        <f t="shared" si="9"/>
        <v>3.1115799796560095</v>
      </c>
      <c r="U20">
        <f t="shared" si="10"/>
        <v>286.75156353860575</v>
      </c>
      <c r="W20">
        <f t="shared" si="11"/>
        <v>3.0884189826046979</v>
      </c>
      <c r="X20">
        <f t="shared" si="12"/>
        <v>313.2515534172494</v>
      </c>
    </row>
    <row r="21" spans="12:24" x14ac:dyDescent="0.25">
      <c r="L21">
        <f>IF(Original!$D$2=0, Original!B21, Original!B20)</f>
        <v>3.4326919999999999</v>
      </c>
      <c r="M21">
        <f>IF(Original!$D$2=0, Original!C21, Original!C20)</f>
        <v>300.00192099999998</v>
      </c>
      <c r="N21">
        <f>IF(Original!$D$2=0, Original!D21, Original!D20)</f>
        <v>3.625</v>
      </c>
      <c r="O21">
        <f>IF(Original!$D$2=0, Original!H21, Original!H20)</f>
        <v>9.5699999999999995E-4</v>
      </c>
      <c r="Q21">
        <f t="shared" si="4"/>
        <v>3.6249992407200096</v>
      </c>
      <c r="R21">
        <f t="shared" si="5"/>
        <v>300.00206090285087</v>
      </c>
      <c r="T21">
        <f t="shared" si="9"/>
        <v>3.6376794887844772</v>
      </c>
      <c r="U21">
        <f t="shared" si="10"/>
        <v>286.75206697035003</v>
      </c>
      <c r="W21">
        <f t="shared" si="11"/>
        <v>3.6123189926555419</v>
      </c>
      <c r="X21">
        <f t="shared" si="12"/>
        <v>313.25205483535171</v>
      </c>
    </row>
    <row r="22" spans="12:24" x14ac:dyDescent="0.25">
      <c r="L22">
        <f>IF(Original!$D$2=0, Original!B22, Original!B21)</f>
        <v>4.0076919999999996</v>
      </c>
      <c r="M22">
        <f>IF(Original!$D$2=0, Original!C22, Original!C21)</f>
        <v>300.00249100000002</v>
      </c>
      <c r="N22">
        <f>IF(Original!$D$2=0, Original!D22, Original!D21)</f>
        <v>4.2</v>
      </c>
      <c r="O22">
        <f>IF(Original!$D$2=0, Original!H22, Original!H21)</f>
        <v>1.0219999999999999E-3</v>
      </c>
      <c r="Q22">
        <f t="shared" si="4"/>
        <v>4.199998940430886</v>
      </c>
      <c r="R22">
        <f t="shared" si="5"/>
        <v>300.00264855274855</v>
      </c>
      <c r="T22">
        <f t="shared" si="9"/>
        <v>4.213540438073573</v>
      </c>
      <c r="U22">
        <f t="shared" si="10"/>
        <v>286.75265547245448</v>
      </c>
      <c r="W22">
        <f t="shared" si="11"/>
        <v>4.1864574427881989</v>
      </c>
      <c r="X22">
        <f t="shared" si="12"/>
        <v>313.25264163304263</v>
      </c>
    </row>
    <row r="23" spans="12:24" x14ac:dyDescent="0.25">
      <c r="L23">
        <f>IF(Original!$D$2=0, Original!B23, Original!B22)</f>
        <v>4.6326919999999996</v>
      </c>
      <c r="M23">
        <f>IF(Original!$D$2=0, Original!C23, Original!C22)</f>
        <v>300.00314400000002</v>
      </c>
      <c r="N23">
        <f>IF(Original!$D$2=0, Original!D23, Original!D22)</f>
        <v>4.8250000000000002</v>
      </c>
      <c r="O23">
        <f>IF(Original!$D$2=0, Original!H23, Original!H22)</f>
        <v>1.0629999999999999E-3</v>
      </c>
      <c r="Q23">
        <f t="shared" si="4"/>
        <v>4.8249985873156067</v>
      </c>
      <c r="R23">
        <f t="shared" si="5"/>
        <v>300.00331292762343</v>
      </c>
      <c r="T23">
        <f t="shared" si="9"/>
        <v>4.8390833346630515</v>
      </c>
      <c r="U23">
        <f t="shared" si="10"/>
        <v>286.75332041366732</v>
      </c>
      <c r="W23">
        <f t="shared" si="11"/>
        <v>4.8109138399681619</v>
      </c>
      <c r="X23">
        <f t="shared" si="12"/>
        <v>313.25330544157953</v>
      </c>
    </row>
    <row r="24" spans="12:24" x14ac:dyDescent="0.25">
      <c r="L24">
        <f>IF(Original!$D$2=0, Original!B24, Original!B23)</f>
        <v>5.3076920000000003</v>
      </c>
      <c r="M24">
        <f>IF(Original!$D$2=0, Original!C24, Original!C23)</f>
        <v>300.00386600000002</v>
      </c>
      <c r="N24">
        <f>IF(Original!$D$2=0, Original!D24, Original!D23)</f>
        <v>5.5</v>
      </c>
      <c r="O24">
        <f>IF(Original!$D$2=0, Original!H24, Original!H23)</f>
        <v>1.07E-3</v>
      </c>
      <c r="Q24">
        <f t="shared" si="4"/>
        <v>5.4999982009118931</v>
      </c>
      <c r="R24">
        <f t="shared" si="5"/>
        <v>300.0040351774856</v>
      </c>
      <c r="T24">
        <f t="shared" si="9"/>
        <v>5.5141756982065901</v>
      </c>
      <c r="U24">
        <f t="shared" si="10"/>
        <v>286.7540427624474</v>
      </c>
      <c r="W24">
        <f t="shared" si="11"/>
        <v>5.485820703617196</v>
      </c>
      <c r="X24">
        <f t="shared" si="12"/>
        <v>313.25402759252381</v>
      </c>
    </row>
    <row r="25" spans="12:24" x14ac:dyDescent="0.25">
      <c r="L25">
        <f>IF(Original!$D$2=0, Original!B25, Original!B24)</f>
        <v>6.0312210000000004</v>
      </c>
      <c r="M25">
        <f>IF(Original!$D$2=0, Original!C25, Original!C24)</f>
        <v>300.00463100000002</v>
      </c>
      <c r="N25">
        <f>IF(Original!$D$2=0, Original!D25, Original!D24)</f>
        <v>6.2235290000000001</v>
      </c>
      <c r="O25">
        <f>IF(Original!$D$2=0, Original!H25, Original!H24)</f>
        <v>1.036E-3</v>
      </c>
      <c r="Q25">
        <f t="shared" si="4"/>
        <v>6.2235268126315368</v>
      </c>
      <c r="R25">
        <f t="shared" si="5"/>
        <v>300.00478475339554</v>
      </c>
      <c r="T25">
        <f t="shared" si="9"/>
        <v>6.2372538101760142</v>
      </c>
      <c r="U25">
        <f t="shared" si="10"/>
        <v>286.75479186398093</v>
      </c>
      <c r="W25">
        <f t="shared" si="11"/>
        <v>6.2097998150870595</v>
      </c>
      <c r="X25">
        <f t="shared" si="12"/>
        <v>313.25477764281015</v>
      </c>
    </row>
    <row r="26" spans="12:24" x14ac:dyDescent="0.25">
      <c r="L26">
        <f>IF(Original!$D$2=0, Original!B26, Original!B25)</f>
        <v>6.8003390000000001</v>
      </c>
      <c r="M26">
        <f>IF(Original!$D$2=0, Original!C26, Original!C25)</f>
        <v>300.00539900000001</v>
      </c>
      <c r="N26">
        <f>IF(Original!$D$2=0, Original!D26, Original!D25)</f>
        <v>6.9926469999999998</v>
      </c>
      <c r="O26">
        <f>IF(Original!$D$2=0, Original!H26, Original!H25)</f>
        <v>9.5299999999999996E-4</v>
      </c>
      <c r="Q26">
        <f t="shared" si="4"/>
        <v>6.9926444633716187</v>
      </c>
      <c r="R26">
        <f t="shared" si="5"/>
        <v>300.0055177227386</v>
      </c>
      <c r="T26">
        <f t="shared" si="9"/>
        <v>7.0052717114602547</v>
      </c>
      <c r="U26">
        <f t="shared" si="10"/>
        <v>286.75552373962279</v>
      </c>
      <c r="W26">
        <f t="shared" si="11"/>
        <v>6.9800172152829827</v>
      </c>
      <c r="X26">
        <f t="shared" si="12"/>
        <v>313.25551170585442</v>
      </c>
    </row>
    <row r="27" spans="12:24" x14ac:dyDescent="0.25">
      <c r="L27">
        <f>IF(Original!$D$2=0, Original!B27, Original!B26)</f>
        <v>7.6121030000000003</v>
      </c>
      <c r="M27">
        <f>IF(Original!$D$2=0, Original!C27, Original!C26)</f>
        <v>300.00611900000001</v>
      </c>
      <c r="N27">
        <f>IF(Original!$D$2=0, Original!D27, Original!D26)</f>
        <v>7.8044120000000001</v>
      </c>
      <c r="O27">
        <f>IF(Original!$D$2=0, Original!H27, Original!H26)</f>
        <v>8.12E-4</v>
      </c>
      <c r="Q27">
        <f t="shared" si="4"/>
        <v>7.8044091957554427</v>
      </c>
      <c r="R27">
        <f t="shared" si="5"/>
        <v>300.00617687584617</v>
      </c>
      <c r="T27">
        <f t="shared" si="9"/>
        <v>7.8151681945731291</v>
      </c>
      <c r="U27">
        <f t="shared" si="10"/>
        <v>286.75618124399995</v>
      </c>
      <c r="W27">
        <f t="shared" si="11"/>
        <v>7.7936501969377563</v>
      </c>
      <c r="X27">
        <f t="shared" si="12"/>
        <v>313.25617250769238</v>
      </c>
    </row>
    <row r="28" spans="12:24" x14ac:dyDescent="0.25">
      <c r="L28">
        <f>IF(Original!$D$2=0, Original!B28, Original!B27)</f>
        <v>8.4635730000000002</v>
      </c>
      <c r="M28">
        <f>IF(Original!$D$2=0, Original!C28, Original!C27)</f>
        <v>300.00672700000001</v>
      </c>
      <c r="N28">
        <f>IF(Original!$D$2=0, Original!D28, Original!D27)</f>
        <v>8.6558820000000001</v>
      </c>
      <c r="O28">
        <f>IF(Original!$D$2=0, Original!H28, Original!H27)</f>
        <v>6.0700000000000001E-4</v>
      </c>
      <c r="Q28">
        <f t="shared" si="4"/>
        <v>8.6558790388938132</v>
      </c>
      <c r="R28">
        <f t="shared" si="5"/>
        <v>300.00669371810443</v>
      </c>
      <c r="T28">
        <f t="shared" si="9"/>
        <v>8.6639217883999233</v>
      </c>
      <c r="U28">
        <f t="shared" si="10"/>
        <v>286.75669615907896</v>
      </c>
      <c r="W28">
        <f t="shared" si="11"/>
        <v>8.647836289387703</v>
      </c>
      <c r="X28">
        <f t="shared" si="12"/>
        <v>313.2566912771299</v>
      </c>
    </row>
    <row r="29" spans="12:24" x14ac:dyDescent="0.25">
      <c r="L29">
        <f>IF(Original!$D$2=0, Original!B29, Original!B28)</f>
        <v>9.3518100000000004</v>
      </c>
      <c r="M29">
        <f>IF(Original!$D$2=0, Original!C29, Original!C28)</f>
        <v>300.00714699999997</v>
      </c>
      <c r="N29">
        <f>IF(Original!$D$2=0, Original!D29, Original!D28)</f>
        <v>9.5441179999999992</v>
      </c>
      <c r="O29">
        <f>IF(Original!$D$2=0, Original!H29, Original!H28)</f>
        <v>3.28E-4</v>
      </c>
      <c r="Q29">
        <f t="shared" si="4"/>
        <v>9.5441149911138226</v>
      </c>
      <c r="R29">
        <f t="shared" si="5"/>
        <v>300.0069850595072</v>
      </c>
      <c r="T29">
        <f t="shared" si="9"/>
        <v>9.5484609910358955</v>
      </c>
      <c r="U29">
        <f t="shared" si="10"/>
        <v>286.7569857722512</v>
      </c>
      <c r="W29">
        <f t="shared" si="11"/>
        <v>9.5397689911917496</v>
      </c>
      <c r="X29">
        <f t="shared" si="12"/>
        <v>313.2569843467632</v>
      </c>
    </row>
    <row r="30" spans="12:24" x14ac:dyDescent="0.25">
      <c r="L30">
        <f>IF(Original!$D$2=0, Original!B30, Original!B29)</f>
        <v>10.273868999999999</v>
      </c>
      <c r="M30">
        <f>IF(Original!$D$2=0, Original!C30, Original!C29)</f>
        <v>300.00729000000001</v>
      </c>
      <c r="N30">
        <f>IF(Original!$D$2=0, Original!D30, Original!D29)</f>
        <v>10.466176000000001</v>
      </c>
      <c r="O30">
        <f>IF(Original!$D$2=0, Original!H30, Original!H29)</f>
        <v>6.2831549999999998</v>
      </c>
      <c r="Q30">
        <f t="shared" si="4"/>
        <v>10.466172990690357</v>
      </c>
      <c r="R30">
        <f t="shared" si="5"/>
        <v>300.00695711452983</v>
      </c>
      <c r="T30">
        <f t="shared" si="9"/>
        <v>10.465771420560895</v>
      </c>
      <c r="U30">
        <f t="shared" si="10"/>
        <v>286.75695712061503</v>
      </c>
      <c r="W30">
        <f t="shared" si="11"/>
        <v>10.466574560819819</v>
      </c>
      <c r="X30">
        <f t="shared" si="12"/>
        <v>313.25695710844462</v>
      </c>
    </row>
    <row r="31" spans="12:24" x14ac:dyDescent="0.25">
      <c r="L31">
        <f>IF(Original!$D$2=0, Original!B31, Original!B30)</f>
        <v>11.22681</v>
      </c>
      <c r="M31">
        <f>IF(Original!$D$2=0, Original!C31, Original!C30)</f>
        <v>300.00705599999998</v>
      </c>
      <c r="N31">
        <f>IF(Original!$D$2=0, Original!D31, Original!D30)</f>
        <v>11.419117999999999</v>
      </c>
      <c r="O31">
        <f>IF(Original!$D$2=0, Original!H31, Original!H30)</f>
        <v>6.2827109999999999</v>
      </c>
      <c r="Q31">
        <f t="shared" si="4"/>
        <v>11.419114883499962</v>
      </c>
      <c r="R31">
        <f t="shared" si="5"/>
        <v>300.00650512731443</v>
      </c>
      <c r="T31">
        <f t="shared" si="9"/>
        <v>11.412830313606078</v>
      </c>
      <c r="U31">
        <f t="shared" si="10"/>
        <v>286.75650661772278</v>
      </c>
      <c r="W31">
        <f t="shared" si="11"/>
        <v>11.425399453393846</v>
      </c>
      <c r="X31">
        <f t="shared" si="12"/>
        <v>313.25650363690607</v>
      </c>
    </row>
    <row r="32" spans="12:24" x14ac:dyDescent="0.25">
      <c r="L32">
        <f>IF(Original!$D$2=0, Original!B32, Original!B31)</f>
        <v>12.207693000000001</v>
      </c>
      <c r="M32">
        <f>IF(Original!$D$2=0, Original!C32, Original!C31)</f>
        <v>300.00633399999998</v>
      </c>
      <c r="N32">
        <f>IF(Original!$D$2=0, Original!D32, Original!D31)</f>
        <v>12.4</v>
      </c>
      <c r="O32">
        <f>IF(Original!$D$2=0, Original!H32, Original!H31)</f>
        <v>6.2821749999999996</v>
      </c>
      <c r="Q32">
        <f t="shared" si="4"/>
        <v>12.399996382896775</v>
      </c>
      <c r="R32">
        <f t="shared" si="5"/>
        <v>300.00551413535607</v>
      </c>
      <c r="T32">
        <f t="shared" si="9"/>
        <v>12.386609815044574</v>
      </c>
      <c r="U32">
        <f t="shared" si="10"/>
        <v>286.75552089762942</v>
      </c>
      <c r="W32">
        <f t="shared" si="11"/>
        <v>12.413382950748977</v>
      </c>
      <c r="X32">
        <f t="shared" si="12"/>
        <v>313.25550737308271</v>
      </c>
    </row>
    <row r="33" spans="12:24" x14ac:dyDescent="0.25">
      <c r="L33">
        <f>IF(Original!$D$2=0, Original!B33, Original!B32)</f>
        <v>13.213573999999999</v>
      </c>
      <c r="M33">
        <f>IF(Original!$D$2=0, Original!C33, Original!C32)</f>
        <v>300.00500699999998</v>
      </c>
      <c r="N33">
        <f>IF(Original!$D$2=0, Original!D33, Original!D32)</f>
        <v>13.405882</v>
      </c>
      <c r="O33">
        <f>IF(Original!$D$2=0, Original!H33, Original!H32)</f>
        <v>6.281542</v>
      </c>
      <c r="Q33">
        <f t="shared" si="4"/>
        <v>13.40587702472579</v>
      </c>
      <c r="R33">
        <f t="shared" si="5"/>
        <v>300.00386116298762</v>
      </c>
      <c r="T33">
        <f t="shared" si="9"/>
        <v>13.38410321439615</v>
      </c>
      <c r="U33">
        <f t="shared" si="10"/>
        <v>286.75387905352108</v>
      </c>
      <c r="W33">
        <f t="shared" si="11"/>
        <v>13.427650835055429</v>
      </c>
      <c r="X33">
        <f t="shared" si="12"/>
        <v>313.25384327245416</v>
      </c>
    </row>
    <row r="34" spans="12:24" x14ac:dyDescent="0.25">
      <c r="L34">
        <f>IF(Original!$D$2=0, Original!B34, Original!B33)</f>
        <v>14.241512</v>
      </c>
      <c r="M34">
        <f>IF(Original!$D$2=0, Original!C34, Original!C33)</f>
        <v>300.002949</v>
      </c>
      <c r="N34">
        <f>IF(Original!$D$2=0, Original!D34, Original!D33)</f>
        <v>14.433824</v>
      </c>
      <c r="O34">
        <f>IF(Original!$D$2=0, Original!H34, Original!H33)</f>
        <v>6.2808080000000004</v>
      </c>
      <c r="Q34">
        <f t="shared" si="4"/>
        <v>14.433816119974088</v>
      </c>
      <c r="R34">
        <f t="shared" si="5"/>
        <v>300.00141743139267</v>
      </c>
      <c r="T34">
        <f t="shared" si="9"/>
        <v>14.402316829514767</v>
      </c>
      <c r="U34">
        <f t="shared" si="10"/>
        <v>286.75145487315496</v>
      </c>
      <c r="W34">
        <f t="shared" si="11"/>
        <v>14.465315410433409</v>
      </c>
      <c r="X34">
        <f t="shared" si="12"/>
        <v>313.25137998963038</v>
      </c>
    </row>
    <row r="35" spans="12:24" x14ac:dyDescent="0.25">
      <c r="L35">
        <f>IF(Original!$D$2=0, Original!B35, Original!B34)</f>
        <v>15.288569000000001</v>
      </c>
      <c r="M35">
        <f>IF(Original!$D$2=0, Original!C35, Original!C34)</f>
        <v>300.00002799999999</v>
      </c>
      <c r="N35">
        <f>IF(Original!$D$2=0, Original!D35, Original!D34)</f>
        <v>15.480881999999999</v>
      </c>
      <c r="O35">
        <f>IF(Original!$D$2=0, Original!H35, Original!H34)</f>
        <v>6.2799680000000002</v>
      </c>
      <c r="Q35">
        <f t="shared" si="4"/>
        <v>15.480868700895797</v>
      </c>
      <c r="R35">
        <f t="shared" si="5"/>
        <v>299.99804872998345</v>
      </c>
      <c r="T35">
        <f t="shared" si="9"/>
        <v>15.438239454309389</v>
      </c>
      <c r="U35">
        <f t="shared" si="10"/>
        <v>286.74811730573316</v>
      </c>
      <c r="W35">
        <f t="shared" si="11"/>
        <v>15.523497947482205</v>
      </c>
      <c r="X35">
        <f t="shared" si="12"/>
        <v>313.24798015423374</v>
      </c>
    </row>
    <row r="36" spans="12:24" x14ac:dyDescent="0.25">
      <c r="L36">
        <f>IF(Original!$D$2=0, Original!B36, Original!B35)</f>
        <v>16.351796</v>
      </c>
      <c r="M36">
        <f>IF(Original!$D$2=0, Original!C36, Original!C35)</f>
        <v>299.99611199999998</v>
      </c>
      <c r="N36">
        <f>IF(Original!$D$2=0, Original!D36, Original!D35)</f>
        <v>16.544118000000001</v>
      </c>
      <c r="O36">
        <f>IF(Original!$D$2=0, Original!H36, Original!H35)</f>
        <v>6.2790210000000002</v>
      </c>
      <c r="Q36">
        <f t="shared" si="4"/>
        <v>16.544095481879879</v>
      </c>
      <c r="R36">
        <f t="shared" si="5"/>
        <v>299.993621101472</v>
      </c>
      <c r="T36">
        <f t="shared" si="9"/>
        <v>16.48891857122533</v>
      </c>
      <c r="U36">
        <f t="shared" si="10"/>
        <v>286.74373598844062</v>
      </c>
      <c r="W36">
        <f t="shared" si="11"/>
        <v>16.599272392534427</v>
      </c>
      <c r="X36">
        <f t="shared" si="12"/>
        <v>313.24350621450338</v>
      </c>
    </row>
    <row r="37" spans="12:24" x14ac:dyDescent="0.25">
      <c r="L37">
        <f>IF(Original!$D$2=0, Original!B37, Original!B36)</f>
        <v>17.428256999999999</v>
      </c>
      <c r="M37">
        <f>IF(Original!$D$2=0, Original!C37, Original!C36)</f>
        <v>299.99106899999998</v>
      </c>
      <c r="N37">
        <f>IF(Original!$D$2=0, Original!D37, Original!D36)</f>
        <v>17.620588000000001</v>
      </c>
      <c r="O37">
        <f>IF(Original!$D$2=0, Original!H37, Original!H36)</f>
        <v>6.2779629999999997</v>
      </c>
      <c r="Q37">
        <f t="shared" si="4"/>
        <v>17.62055080290336</v>
      </c>
      <c r="R37">
        <f t="shared" si="5"/>
        <v>299.9879994700151</v>
      </c>
      <c r="T37">
        <f t="shared" si="9"/>
        <v>17.551355547296016</v>
      </c>
      <c r="U37">
        <f t="shared" si="10"/>
        <v>286.7381801498658</v>
      </c>
      <c r="W37">
        <f t="shared" si="11"/>
        <v>17.689746058510703</v>
      </c>
      <c r="X37">
        <f t="shared" si="12"/>
        <v>313.2378187901644</v>
      </c>
    </row>
    <row r="38" spans="12:24" x14ac:dyDescent="0.25">
      <c r="L38">
        <f>IF(Original!$D$2=0, Original!B38, Original!B37)</f>
        <v>18.515004000000001</v>
      </c>
      <c r="M38">
        <f>IF(Original!$D$2=0, Original!C38, Original!C37)</f>
        <v>299.98476699999998</v>
      </c>
      <c r="N38">
        <f>IF(Original!$D$2=0, Original!D38, Original!D37)</f>
        <v>18.707353000000001</v>
      </c>
      <c r="O38">
        <f>IF(Original!$D$2=0, Original!H38, Original!H37)</f>
        <v>6.2767939999999998</v>
      </c>
      <c r="Q38">
        <f t="shared" si="4"/>
        <v>18.707293606451795</v>
      </c>
      <c r="R38">
        <f t="shared" si="5"/>
        <v>299.98105366835625</v>
      </c>
      <c r="T38">
        <f t="shared" si="9"/>
        <v>18.622609362866747</v>
      </c>
      <c r="U38">
        <f t="shared" si="10"/>
        <v>286.73132429078447</v>
      </c>
      <c r="W38">
        <f t="shared" si="11"/>
        <v>18.791977850036844</v>
      </c>
      <c r="X38">
        <f t="shared" si="12"/>
        <v>313.23078304592804</v>
      </c>
    </row>
    <row r="39" spans="12:24" x14ac:dyDescent="0.25">
      <c r="L39">
        <f>IF(Original!$D$2=0, Original!B39, Original!B38)</f>
        <v>19.609092</v>
      </c>
      <c r="M39">
        <f>IF(Original!$D$2=0, Original!C39, Original!C38)</f>
        <v>299.97708399999999</v>
      </c>
      <c r="N39">
        <f>IF(Original!$D$2=0, Original!D39, Original!D38)</f>
        <v>19.801470999999999</v>
      </c>
      <c r="O39">
        <f>IF(Original!$D$2=0, Original!H39, Original!H38)</f>
        <v>6.2755150000000004</v>
      </c>
      <c r="Q39">
        <f t="shared" si="4"/>
        <v>19.801379421152518</v>
      </c>
      <c r="R39">
        <f t="shared" si="5"/>
        <v>299.97266152949607</v>
      </c>
      <c r="T39">
        <f t="shared" si="9"/>
        <v>19.699748847578803</v>
      </c>
      <c r="U39">
        <f t="shared" si="10"/>
        <v>286.72305130026609</v>
      </c>
      <c r="W39">
        <f t="shared" si="11"/>
        <v>19.903009994726233</v>
      </c>
      <c r="X39">
        <f t="shared" si="12"/>
        <v>313.22227175872604</v>
      </c>
    </row>
    <row r="40" spans="12:24" x14ac:dyDescent="0.25">
      <c r="L40">
        <f>IF(Original!$D$2=0, Original!B40, Original!B39)</f>
        <v>20.707585000000002</v>
      </c>
      <c r="M40">
        <f>IF(Original!$D$2=0, Original!C40, Original!C39)</f>
        <v>299.96790399999998</v>
      </c>
      <c r="N40">
        <f>IF(Original!$D$2=0, Original!D40, Original!D39)</f>
        <v>20.9</v>
      </c>
      <c r="O40">
        <f>IF(Original!$D$2=0, Original!H40, Original!H39)</f>
        <v>6.2741239999999996</v>
      </c>
      <c r="Q40">
        <f t="shared" si="4"/>
        <v>20.899863322842712</v>
      </c>
      <c r="R40">
        <f t="shared" si="5"/>
        <v>299.96270755699828</v>
      </c>
      <c r="T40">
        <f t="shared" si="9"/>
        <v>20.779802645705018</v>
      </c>
      <c r="U40">
        <f t="shared" si="10"/>
        <v>286.71325151405807</v>
      </c>
      <c r="W40">
        <f t="shared" si="11"/>
        <v>21.019923999980406</v>
      </c>
      <c r="X40">
        <f t="shared" si="12"/>
        <v>313.21216359993849</v>
      </c>
    </row>
    <row r="41" spans="12:24" x14ac:dyDescent="0.25">
      <c r="L41">
        <f>IF(Original!$D$2=0, Original!B41, Original!B40)</f>
        <v>21.807534</v>
      </c>
      <c r="M41">
        <f>IF(Original!$D$2=0, Original!C41, Original!C40)</f>
        <v>299.95712300000002</v>
      </c>
      <c r="N41">
        <f>IF(Original!$D$2=0, Original!D41, Original!D40)</f>
        <v>22</v>
      </c>
      <c r="O41">
        <f>IF(Original!$D$2=0, Original!H41, Original!H40)</f>
        <v>6.2726259999999998</v>
      </c>
      <c r="Q41">
        <f t="shared" si="4"/>
        <v>21.99980199898005</v>
      </c>
      <c r="R41">
        <f t="shared" si="5"/>
        <v>299.95109253494735</v>
      </c>
      <c r="T41">
        <f t="shared" si="9"/>
        <v>21.859893778821377</v>
      </c>
      <c r="U41">
        <f t="shared" si="10"/>
        <v>286.70183120874759</v>
      </c>
      <c r="W41">
        <f t="shared" si="11"/>
        <v>22.139710219138724</v>
      </c>
      <c r="X41">
        <f t="shared" si="12"/>
        <v>313.20035386114711</v>
      </c>
    </row>
    <row r="42" spans="12:24" x14ac:dyDescent="0.25">
      <c r="L42">
        <f>IF(Original!$D$2=0, Original!B42, Original!B41)</f>
        <v>22.907463</v>
      </c>
      <c r="M42">
        <f>IF(Original!$D$2=0, Original!C42, Original!C41)</f>
        <v>299.94463500000001</v>
      </c>
      <c r="N42">
        <f>IF(Original!$D$2=0, Original!D42, Original!D41)</f>
        <v>23.1</v>
      </c>
      <c r="O42">
        <f>IF(Original!$D$2=0, Original!H42, Original!H41)</f>
        <v>6.27102</v>
      </c>
      <c r="Q42">
        <f t="shared" si="4"/>
        <v>23.099720602899584</v>
      </c>
      <c r="R42">
        <f t="shared" si="5"/>
        <v>299.93771102712088</v>
      </c>
      <c r="T42">
        <f t="shared" si="9"/>
        <v>22.938534258626124</v>
      </c>
      <c r="U42">
        <f t="shared" si="10"/>
        <v>286.68869147990836</v>
      </c>
      <c r="W42">
        <f t="shared" si="11"/>
        <v>23.260906947173044</v>
      </c>
      <c r="X42">
        <f t="shared" si="12"/>
        <v>313.18673057433341</v>
      </c>
    </row>
    <row r="43" spans="12:24" x14ac:dyDescent="0.25">
      <c r="L43">
        <f>IF(Original!$D$2=0, Original!B43, Original!B42)</f>
        <v>24.007366999999999</v>
      </c>
      <c r="M43">
        <f>IF(Original!$D$2=0, Original!C43, Original!C42)</f>
        <v>299.93031999999999</v>
      </c>
      <c r="N43">
        <f>IF(Original!$D$2=0, Original!D43, Original!D42)</f>
        <v>24.2</v>
      </c>
      <c r="O43">
        <f>IF(Original!$D$2=0, Original!H43, Original!H42)</f>
        <v>6.2693050000000001</v>
      </c>
      <c r="Q43">
        <f t="shared" si="4"/>
        <v>24.199614639990788</v>
      </c>
      <c r="R43">
        <f t="shared" si="5"/>
        <v>299.9224431794924</v>
      </c>
      <c r="T43">
        <f t="shared" si="9"/>
        <v>24.015706475374902</v>
      </c>
      <c r="U43">
        <f t="shared" si="10"/>
        <v>286.67371955089379</v>
      </c>
      <c r="W43">
        <f t="shared" si="11"/>
        <v>24.383522804606674</v>
      </c>
      <c r="X43">
        <f t="shared" si="12"/>
        <v>313.17116680809102</v>
      </c>
    </row>
    <row r="44" spans="12:24" x14ac:dyDescent="0.25">
      <c r="L44">
        <f>IF(Original!$D$2=0, Original!B44, Original!B43)</f>
        <v>25.107247999999998</v>
      </c>
      <c r="M44">
        <f>IF(Original!$D$2=0, Original!C44, Original!C43)</f>
        <v>299.91405900000001</v>
      </c>
      <c r="N44">
        <f>IF(Original!$D$2=0, Original!D44, Original!D43)</f>
        <v>25.3</v>
      </c>
      <c r="O44">
        <f>IF(Original!$D$2=0, Original!H44, Original!H43)</f>
        <v>6.2674799999999999</v>
      </c>
      <c r="Q44">
        <f t="shared" si="4"/>
        <v>25.299478981608761</v>
      </c>
      <c r="R44">
        <f t="shared" si="5"/>
        <v>299.90516805178623</v>
      </c>
      <c r="T44">
        <f t="shared" si="9"/>
        <v>25.091392216056978</v>
      </c>
      <c r="U44">
        <f t="shared" si="10"/>
        <v>286.65680211866066</v>
      </c>
      <c r="W44">
        <f t="shared" si="11"/>
        <v>25.507565747160545</v>
      </c>
      <c r="X44">
        <f t="shared" si="12"/>
        <v>313.1535339849118</v>
      </c>
    </row>
    <row r="45" spans="12:24" x14ac:dyDescent="0.25">
      <c r="L45">
        <f>IF(Original!$D$2=0, Original!B45, Original!B44)</f>
        <v>26.207097999999998</v>
      </c>
      <c r="M45">
        <f>IF(Original!$D$2=0, Original!C45, Original!C44)</f>
        <v>299.89572900000002</v>
      </c>
      <c r="N45">
        <f>IF(Original!$D$2=0, Original!D45, Original!D44)</f>
        <v>26.4</v>
      </c>
      <c r="O45">
        <f>IF(Original!$D$2=0, Original!H45, Original!H44)</f>
        <v>6.2655440000000002</v>
      </c>
      <c r="Q45">
        <f t="shared" si="4"/>
        <v>26.399307817402459</v>
      </c>
      <c r="R45">
        <f t="shared" si="5"/>
        <v>299.88576362041925</v>
      </c>
      <c r="T45">
        <f t="shared" si="9"/>
        <v>26.165572621390996</v>
      </c>
      <c r="U45">
        <f t="shared" si="10"/>
        <v>286.63782537108608</v>
      </c>
      <c r="W45">
        <f t="shared" si="11"/>
        <v>26.633043013413921</v>
      </c>
      <c r="X45">
        <f t="shared" si="12"/>
        <v>313.13370186975243</v>
      </c>
    </row>
    <row r="46" spans="12:24" x14ac:dyDescent="0.25">
      <c r="L46">
        <f>IF(Original!$D$2=0, Original!B46, Original!B45)</f>
        <v>27.306906999999999</v>
      </c>
      <c r="M46">
        <f>IF(Original!$D$2=0, Original!C46, Original!C45)</f>
        <v>299.87520899999998</v>
      </c>
      <c r="N46">
        <f>IF(Original!$D$2=0, Original!D46, Original!D45)</f>
        <v>27.5</v>
      </c>
      <c r="O46">
        <f>IF(Original!$D$2=0, Original!H46, Original!H45)</f>
        <v>6.2634949999999998</v>
      </c>
      <c r="Q46">
        <f t="shared" si="4"/>
        <v>27.499094584783677</v>
      </c>
      <c r="R46">
        <f t="shared" si="5"/>
        <v>299.86410568207839</v>
      </c>
      <c r="T46">
        <f t="shared" si="9"/>
        <v>27.238214872950472</v>
      </c>
      <c r="U46">
        <f t="shared" si="10"/>
        <v>286.61667416589557</v>
      </c>
      <c r="W46">
        <f t="shared" si="11"/>
        <v>27.759974296616882</v>
      </c>
      <c r="X46">
        <f t="shared" si="12"/>
        <v>313.1115371982612</v>
      </c>
    </row>
    <row r="47" spans="12:24" x14ac:dyDescent="0.25">
      <c r="L47">
        <f>IF(Original!$D$2=0, Original!B47, Original!B46)</f>
        <v>28.406669000000001</v>
      </c>
      <c r="M47">
        <f>IF(Original!$D$2=0, Original!C47, Original!C46)</f>
        <v>299.852372</v>
      </c>
      <c r="N47">
        <f>IF(Original!$D$2=0, Original!D47, Original!D46)</f>
        <v>28.6</v>
      </c>
      <c r="O47">
        <f>IF(Original!$D$2=0, Original!H47, Original!H46)</f>
        <v>6.2613320000000003</v>
      </c>
      <c r="Q47">
        <f t="shared" si="4"/>
        <v>28.598831933367656</v>
      </c>
      <c r="R47">
        <f t="shared" si="5"/>
        <v>299.84006895747865</v>
      </c>
      <c r="T47">
        <f t="shared" si="9"/>
        <v>28.309298659780016</v>
      </c>
      <c r="U47">
        <f t="shared" si="10"/>
        <v>286.59323271317163</v>
      </c>
      <c r="W47">
        <f t="shared" si="11"/>
        <v>28.888365206955296</v>
      </c>
      <c r="X47">
        <f t="shared" si="12"/>
        <v>313.08690520178567</v>
      </c>
    </row>
    <row r="48" spans="12:24" x14ac:dyDescent="0.25">
      <c r="L48">
        <f>IF(Original!$D$2=0, Original!B48, Original!B47)</f>
        <v>29.506374999999998</v>
      </c>
      <c r="M48">
        <f>IF(Original!$D$2=0, Original!C48, Original!C47)</f>
        <v>299.82709399999999</v>
      </c>
      <c r="N48">
        <f>IF(Original!$D$2=0, Original!D48, Original!D47)</f>
        <v>29.7</v>
      </c>
      <c r="O48">
        <f>IF(Original!$D$2=0, Original!H48, Original!H47)</f>
        <v>6.2590539999999999</v>
      </c>
      <c r="Q48">
        <f t="shared" si="4"/>
        <v>29.698511672916869</v>
      </c>
      <c r="R48">
        <f t="shared" si="5"/>
        <v>299.81352709573224</v>
      </c>
      <c r="T48">
        <f t="shared" si="9"/>
        <v>29.378802883698445</v>
      </c>
      <c r="U48">
        <f t="shared" si="10"/>
        <v>286.56738477843487</v>
      </c>
      <c r="W48">
        <f t="shared" si="11"/>
        <v>30.018220462135293</v>
      </c>
      <c r="X48">
        <f t="shared" si="12"/>
        <v>313.05966941302961</v>
      </c>
    </row>
    <row r="49" spans="12:24" x14ac:dyDescent="0.25">
      <c r="L49">
        <f>IF(Original!$D$2=0, Original!B49, Original!B48)</f>
        <v>30.606024000000001</v>
      </c>
      <c r="M49">
        <f>IF(Original!$D$2=0, Original!C49, Original!C48)</f>
        <v>299.79924499999998</v>
      </c>
      <c r="N49">
        <f>IF(Original!$D$2=0, Original!D49, Original!D48)</f>
        <v>30.8</v>
      </c>
      <c r="O49">
        <f>IF(Original!$D$2=0, Original!H49, Original!H48)</f>
        <v>6.2566579999999998</v>
      </c>
      <c r="Q49">
        <f t="shared" si="4"/>
        <v>30.798124661698179</v>
      </c>
      <c r="R49">
        <f t="shared" si="5"/>
        <v>299.78435048003678</v>
      </c>
      <c r="T49">
        <f t="shared" si="9"/>
        <v>30.446679063548498</v>
      </c>
      <c r="U49">
        <f t="shared" si="10"/>
        <v>286.53901220608014</v>
      </c>
      <c r="W49">
        <f t="shared" si="11"/>
        <v>31.149570259847859</v>
      </c>
      <c r="X49">
        <f t="shared" si="12"/>
        <v>313.02968875399341</v>
      </c>
    </row>
    <row r="50" spans="12:24" x14ac:dyDescent="0.25">
      <c r="L50">
        <f>IF(Original!$D$2=0, Original!B50, Original!B49)</f>
        <v>31.705601999999999</v>
      </c>
      <c r="M50">
        <f>IF(Original!$D$2=0, Original!C50, Original!C49)</f>
        <v>299.76869699999997</v>
      </c>
      <c r="N50">
        <f>IF(Original!$D$2=0, Original!D50, Original!D49)</f>
        <v>31.9</v>
      </c>
      <c r="O50">
        <f>IF(Original!$D$2=0, Original!H50, Original!H49)</f>
        <v>6.254143</v>
      </c>
      <c r="Q50">
        <f t="shared" si="4"/>
        <v>31.897660793720416</v>
      </c>
      <c r="R50">
        <f t="shared" si="5"/>
        <v>299.75240843286429</v>
      </c>
      <c r="T50">
        <f t="shared" si="9"/>
        <v>31.512904316415057</v>
      </c>
      <c r="U50">
        <f t="shared" si="10"/>
        <v>286.50799593350547</v>
      </c>
      <c r="W50">
        <f t="shared" si="11"/>
        <v>32.282417271025771</v>
      </c>
      <c r="X50">
        <f t="shared" si="12"/>
        <v>312.9968209322231</v>
      </c>
    </row>
    <row r="51" spans="12:24" x14ac:dyDescent="0.25">
      <c r="L51">
        <f>IF(Original!$D$2=0, Original!B51, Original!B50)</f>
        <v>32.805097000000004</v>
      </c>
      <c r="M51">
        <f>IF(Original!$D$2=0, Original!C51, Original!C50)</f>
        <v>299.73531700000001</v>
      </c>
      <c r="N51">
        <f>IF(Original!$D$2=0, Original!D51, Original!D50)</f>
        <v>33</v>
      </c>
      <c r="O51">
        <f>IF(Original!$D$2=0, Original!H51, Original!H50)</f>
        <v>6.2515070000000001</v>
      </c>
      <c r="Q51">
        <f t="shared" si="4"/>
        <v>32.997108906544824</v>
      </c>
      <c r="R51">
        <f t="shared" si="5"/>
        <v>299.71756812277886</v>
      </c>
      <c r="T51">
        <f t="shared" si="9"/>
        <v>32.577441535061091</v>
      </c>
      <c r="U51">
        <f t="shared" si="10"/>
        <v>286.47421585466668</v>
      </c>
      <c r="W51">
        <f t="shared" si="11"/>
        <v>33.416776278028557</v>
      </c>
      <c r="X51">
        <f t="shared" si="12"/>
        <v>312.96092039089103</v>
      </c>
    </row>
    <row r="52" spans="12:24" x14ac:dyDescent="0.25">
      <c r="L52">
        <f>IF(Original!$D$2=0, Original!B52, Original!B51)</f>
        <v>33.904496000000002</v>
      </c>
      <c r="M52">
        <f>IF(Original!$D$2=0, Original!C52, Original!C51)</f>
        <v>299.69897099999997</v>
      </c>
      <c r="N52">
        <f>IF(Original!$D$2=0, Original!D52, Original!D51)</f>
        <v>34.1</v>
      </c>
      <c r="O52">
        <f>IF(Original!$D$2=0, Original!H52, Original!H51)</f>
        <v>6.2487490000000001</v>
      </c>
      <c r="Q52">
        <f t="shared" si="4"/>
        <v>34.09645674840727</v>
      </c>
      <c r="R52">
        <f t="shared" si="5"/>
        <v>299.67969567114989</v>
      </c>
      <c r="T52">
        <f t="shared" si="9"/>
        <v>33.640265853785579</v>
      </c>
      <c r="U52">
        <f t="shared" si="10"/>
        <v>286.43755121235228</v>
      </c>
      <c r="W52">
        <f t="shared" si="11"/>
        <v>34.552647643028962</v>
      </c>
      <c r="X52">
        <f t="shared" si="12"/>
        <v>312.9218401299475</v>
      </c>
    </row>
    <row r="53" spans="12:24" x14ac:dyDescent="0.25">
      <c r="L53">
        <f>IF(Original!$D$2=0, Original!B53, Original!B52)</f>
        <v>35.003787000000003</v>
      </c>
      <c r="M53">
        <f>IF(Original!$D$2=0, Original!C53, Original!C52)</f>
        <v>299.65952499999997</v>
      </c>
      <c r="N53">
        <f>IF(Original!$D$2=0, Original!D53, Original!D52)</f>
        <v>35.200000000000003</v>
      </c>
      <c r="O53">
        <f>IF(Original!$D$2=0, Original!H53, Original!H52)</f>
        <v>6.2458650000000002</v>
      </c>
      <c r="Q53">
        <f t="shared" si="4"/>
        <v>35.195690794385143</v>
      </c>
      <c r="R53">
        <f t="shared" si="5"/>
        <v>299.6386528622412</v>
      </c>
      <c r="T53">
        <f t="shared" si="9"/>
        <v>34.701311505257877</v>
      </c>
      <c r="U53">
        <f t="shared" si="10"/>
        <v>286.39787912659864</v>
      </c>
      <c r="W53">
        <f t="shared" si="11"/>
        <v>35.69007008351241</v>
      </c>
      <c r="X53">
        <f t="shared" si="12"/>
        <v>312.87942659788376</v>
      </c>
    </row>
    <row r="54" spans="12:24" x14ac:dyDescent="0.25">
      <c r="L54">
        <f>IF(Original!$D$2=0, Original!B54, Original!B53)</f>
        <v>36.102955999999999</v>
      </c>
      <c r="M54">
        <f>IF(Original!$D$2=0, Original!C54, Original!C53)</f>
        <v>299.61684000000002</v>
      </c>
      <c r="N54">
        <f>IF(Original!$D$2=0, Original!D54, Original!D53)</f>
        <v>36.299999999999997</v>
      </c>
      <c r="O54">
        <f>IF(Original!$D$2=0, Original!H54, Original!H53)</f>
        <v>6.2428549999999996</v>
      </c>
      <c r="Q54">
        <f t="shared" si="4"/>
        <v>36.294796322113314</v>
      </c>
      <c r="R54">
        <f t="shared" si="5"/>
        <v>299.59430154977616</v>
      </c>
      <c r="T54">
        <f t="shared" si="9"/>
        <v>35.760564603784239</v>
      </c>
      <c r="U54">
        <f t="shared" si="10"/>
        <v>286.35507587486859</v>
      </c>
      <c r="W54">
        <f t="shared" si="11"/>
        <v>36.829028040442388</v>
      </c>
      <c r="X54">
        <f t="shared" si="12"/>
        <v>312.83352722468373</v>
      </c>
    </row>
    <row r="55" spans="12:24" x14ac:dyDescent="0.25">
      <c r="L55">
        <f>IF(Original!$D$2=0, Original!B55, Original!B54)</f>
        <v>37.201988</v>
      </c>
      <c r="M55">
        <f>IF(Original!$D$2=0, Original!C55, Original!C54)</f>
        <v>299.57077600000002</v>
      </c>
      <c r="N55">
        <f>IF(Original!$D$2=0, Original!D55, Original!D54)</f>
        <v>37.4</v>
      </c>
      <c r="O55">
        <f>IF(Original!$D$2=0, Original!H55, Original!H54)</f>
        <v>6.2397159999999996</v>
      </c>
      <c r="Q55">
        <f t="shared" si="4"/>
        <v>37.393757216384948</v>
      </c>
      <c r="R55">
        <f t="shared" si="5"/>
        <v>299.54650036922908</v>
      </c>
      <c r="T55">
        <f t="shared" si="9"/>
        <v>36.817970268885716</v>
      </c>
      <c r="U55">
        <f t="shared" si="10"/>
        <v>286.30901687004808</v>
      </c>
      <c r="W55">
        <f t="shared" si="11"/>
        <v>37.96954416388418</v>
      </c>
      <c r="X55">
        <f t="shared" si="12"/>
        <v>312.78398386841008</v>
      </c>
    </row>
    <row r="56" spans="12:24" x14ac:dyDescent="0.25">
      <c r="L56">
        <f>IF(Original!$D$2=0, Original!B56, Original!B55)</f>
        <v>38.300871999999998</v>
      </c>
      <c r="M56">
        <f>IF(Original!$D$2=0, Original!C56, Original!C55)</f>
        <v>299.52118999999999</v>
      </c>
      <c r="N56">
        <f>IF(Original!$D$2=0, Original!D56, Original!D55)</f>
        <v>38.5</v>
      </c>
      <c r="O56">
        <f>IF(Original!$D$2=0, Original!H56, Original!H55)</f>
        <v>6.2364449999999998</v>
      </c>
      <c r="Q56">
        <f t="shared" si="4"/>
        <v>38.492555874145452</v>
      </c>
      <c r="R56">
        <f t="shared" si="5"/>
        <v>299.49510474972976</v>
      </c>
      <c r="T56">
        <f t="shared" si="9"/>
        <v>37.87347227563081</v>
      </c>
      <c r="U56">
        <f t="shared" si="10"/>
        <v>286.25957546306915</v>
      </c>
      <c r="W56">
        <f t="shared" si="11"/>
        <v>39.111639472660094</v>
      </c>
      <c r="X56">
        <f t="shared" si="12"/>
        <v>312.73063403639037</v>
      </c>
    </row>
    <row r="57" spans="12:24" x14ac:dyDescent="0.25">
      <c r="L57">
        <f>IF(Original!$D$2=0, Original!B57, Original!B56)</f>
        <v>39.399583999999997</v>
      </c>
      <c r="M57">
        <f>IF(Original!$D$2=0, Original!C57, Original!C56)</f>
        <v>299.46793700000001</v>
      </c>
      <c r="N57">
        <f>IF(Original!$D$2=0, Original!D57, Original!D56)</f>
        <v>39.6</v>
      </c>
      <c r="O57">
        <f>IF(Original!$D$2=0, Original!H57, Original!H56)</f>
        <v>6.2330410000000001</v>
      </c>
      <c r="Q57">
        <f t="shared" si="4"/>
        <v>39.591173215552494</v>
      </c>
      <c r="R57">
        <f t="shared" si="5"/>
        <v>299.43996912458852</v>
      </c>
      <c r="T57">
        <f t="shared" si="9"/>
        <v>38.927039549078145</v>
      </c>
      <c r="U57">
        <f t="shared" si="10"/>
        <v>286.20662387582183</v>
      </c>
      <c r="W57">
        <f t="shared" si="11"/>
        <v>40.255306882026844</v>
      </c>
      <c r="X57">
        <f t="shared" si="12"/>
        <v>312.6733143733552</v>
      </c>
    </row>
    <row r="58" spans="12:24" x14ac:dyDescent="0.25">
      <c r="L58">
        <f>IF(Original!$D$2=0, Original!B58, Original!B57)</f>
        <v>40.498103999999998</v>
      </c>
      <c r="M58">
        <f>IF(Original!$D$2=0, Original!C58, Original!C57)</f>
        <v>299.41086899999999</v>
      </c>
      <c r="N58">
        <f>IF(Original!$D$2=0, Original!D58, Original!D57)</f>
        <v>40.700000000000003</v>
      </c>
      <c r="O58">
        <f>IF(Original!$D$2=0, Original!H58, Original!H57)</f>
        <v>6.2294999999999998</v>
      </c>
      <c r="Q58">
        <f t="shared" si="4"/>
        <v>40.689588434519919</v>
      </c>
      <c r="R58">
        <f t="shared" si="5"/>
        <v>299.38094364923467</v>
      </c>
      <c r="T58">
        <f t="shared" si="9"/>
        <v>39.97859975412095</v>
      </c>
      <c r="U58">
        <f t="shared" si="10"/>
        <v>286.15003305712708</v>
      </c>
      <c r="W58">
        <f t="shared" si="11"/>
        <v>41.400577114918889</v>
      </c>
      <c r="X58">
        <f t="shared" si="12"/>
        <v>312.61185424134226</v>
      </c>
    </row>
    <row r="59" spans="12:24" x14ac:dyDescent="0.25">
      <c r="L59">
        <f>IF(Original!$D$2=0, Original!B59, Original!B58)</f>
        <v>41.596409999999999</v>
      </c>
      <c r="M59">
        <f>IF(Original!$D$2=0, Original!C59, Original!C58)</f>
        <v>299.34983599999998</v>
      </c>
      <c r="N59">
        <f>IF(Original!$D$2=0, Original!D59, Original!D58)</f>
        <v>41.8</v>
      </c>
      <c r="O59">
        <f>IF(Original!$D$2=0, Original!H59, Original!H58)</f>
        <v>6.2258209999999998</v>
      </c>
      <c r="Q59">
        <f t="shared" si="4"/>
        <v>41.787779065714247</v>
      </c>
      <c r="R59">
        <f t="shared" si="5"/>
        <v>299.31787751286186</v>
      </c>
      <c r="T59">
        <f t="shared" si="9"/>
        <v>41.028118786678334</v>
      </c>
      <c r="U59">
        <f t="shared" si="10"/>
        <v>286.08967218256646</v>
      </c>
      <c r="W59">
        <f t="shared" si="11"/>
        <v>42.54743934475016</v>
      </c>
      <c r="X59">
        <f t="shared" si="12"/>
        <v>312.54608284315725</v>
      </c>
    </row>
    <row r="60" spans="12:24" x14ac:dyDescent="0.25">
      <c r="L60">
        <f>IF(Original!$D$2=0, Original!B60, Original!B59)</f>
        <v>42.694479000000001</v>
      </c>
      <c r="M60">
        <f>IF(Original!$D$2=0, Original!C60, Original!C59)</f>
        <v>299.28468400000003</v>
      </c>
      <c r="N60">
        <f>IF(Original!$D$2=0, Original!D60, Original!D59)</f>
        <v>42.9</v>
      </c>
      <c r="O60">
        <f>IF(Original!$D$2=0, Original!H60, Original!H59)</f>
        <v>6.2219990000000003</v>
      </c>
      <c r="Q60">
        <f t="shared" si="4"/>
        <v>42.885720637721107</v>
      </c>
      <c r="R60">
        <f t="shared" si="5"/>
        <v>299.25061456273994</v>
      </c>
      <c r="T60">
        <f t="shared" si="9"/>
        <v>42.075507829434322</v>
      </c>
      <c r="U60">
        <f t="shared" si="10"/>
        <v>286.02540926356642</v>
      </c>
      <c r="W60">
        <f t="shared" si="11"/>
        <v>43.695933446007892</v>
      </c>
      <c r="X60">
        <f t="shared" si="12"/>
        <v>312.47581986191346</v>
      </c>
    </row>
    <row r="61" spans="12:24" x14ac:dyDescent="0.25">
      <c r="L61">
        <f>IF(Original!$D$2=0, Original!B61, Original!B60)</f>
        <v>43.792285999999997</v>
      </c>
      <c r="M61">
        <f>IF(Original!$D$2=0, Original!C61, Original!C60)</f>
        <v>299.21525800000001</v>
      </c>
      <c r="N61">
        <f>IF(Original!$D$2=0, Original!D61, Original!D60)</f>
        <v>44</v>
      </c>
      <c r="O61">
        <f>IF(Original!$D$2=0, Original!H61, Original!H60)</f>
        <v>6.2180340000000003</v>
      </c>
      <c r="Q61">
        <f t="shared" si="4"/>
        <v>43.983386882347602</v>
      </c>
      <c r="R61">
        <f t="shared" si="5"/>
        <v>299.17899881441895</v>
      </c>
      <c r="T61">
        <f t="shared" si="9"/>
        <v>43.120742641208174</v>
      </c>
      <c r="U61">
        <f t="shared" si="10"/>
        <v>285.95710995869075</v>
      </c>
      <c r="W61">
        <f t="shared" si="11"/>
        <v>44.84603112348703</v>
      </c>
      <c r="X61">
        <f t="shared" si="12"/>
        <v>312.40088767014714</v>
      </c>
    </row>
    <row r="62" spans="12:24" x14ac:dyDescent="0.25">
      <c r="L62">
        <f>IF(Original!$D$2=0, Original!B62, Original!B61)</f>
        <v>44.889803000000001</v>
      </c>
      <c r="M62">
        <f>IF(Original!$D$2=0, Original!C62, Original!C61)</f>
        <v>299.14139799999998</v>
      </c>
      <c r="N62">
        <f>IF(Original!$D$2=0, Original!D62, Original!D61)</f>
        <v>45.1</v>
      </c>
      <c r="O62">
        <f>IF(Original!$D$2=0, Original!H62, Original!H61)</f>
        <v>6.2139199999999999</v>
      </c>
      <c r="Q62">
        <f t="shared" si="4"/>
        <v>45.080749211631293</v>
      </c>
      <c r="R62">
        <f t="shared" si="5"/>
        <v>299.10286788595312</v>
      </c>
      <c r="T62">
        <f t="shared" si="9"/>
        <v>44.163717573292907</v>
      </c>
      <c r="U62">
        <f t="shared" si="10"/>
        <v>285.88463982867228</v>
      </c>
      <c r="W62">
        <f t="shared" si="11"/>
        <v>45.997780849969679</v>
      </c>
      <c r="X62">
        <f t="shared" si="12"/>
        <v>312.32109594323396</v>
      </c>
    </row>
    <row r="63" spans="12:24" x14ac:dyDescent="0.25">
      <c r="L63">
        <f>IF(Original!$D$2=0, Original!B63, Original!B62)</f>
        <v>45.987000999999999</v>
      </c>
      <c r="M63">
        <f>IF(Original!$D$2=0, Original!C63, Original!C62)</f>
        <v>299.06294200000002</v>
      </c>
      <c r="N63">
        <f>IF(Original!$D$2=0, Original!D63, Original!D62)</f>
        <v>46.2</v>
      </c>
      <c r="O63">
        <f>IF(Original!$D$2=0, Original!H63, Original!H62)</f>
        <v>6.2096559999999998</v>
      </c>
      <c r="Q63">
        <f t="shared" si="4"/>
        <v>46.177776943680684</v>
      </c>
      <c r="R63">
        <f t="shared" si="5"/>
        <v>299.02205851078804</v>
      </c>
      <c r="T63">
        <f t="shared" si="9"/>
        <v>45.204391288282878</v>
      </c>
      <c r="U63">
        <f t="shared" si="10"/>
        <v>285.80786082928404</v>
      </c>
      <c r="W63">
        <f t="shared" si="11"/>
        <v>47.151162599078489</v>
      </c>
      <c r="X63">
        <f t="shared" si="12"/>
        <v>312.23625619229205</v>
      </c>
    </row>
    <row r="64" spans="12:24" x14ac:dyDescent="0.25">
      <c r="L64">
        <f>IF(Original!$D$2=0, Original!B64, Original!B63)</f>
        <v>47.083848000000003</v>
      </c>
      <c r="M64">
        <f>IF(Original!$D$2=0, Original!C64, Original!C63)</f>
        <v>298.97972499999997</v>
      </c>
      <c r="N64">
        <f>IF(Original!$D$2=0, Original!D64, Original!D63)</f>
        <v>47.3</v>
      </c>
      <c r="O64">
        <f>IF(Original!$D$2=0, Original!H64, Original!H63)</f>
        <v>6.2052389999999997</v>
      </c>
      <c r="Q64">
        <f t="shared" si="4"/>
        <v>47.274437040453343</v>
      </c>
      <c r="R64">
        <f t="shared" si="5"/>
        <v>298.93640436817623</v>
      </c>
      <c r="T64">
        <f t="shared" si="9"/>
        <v>46.242693958993065</v>
      </c>
      <c r="U64">
        <f t="shared" si="10"/>
        <v>285.72663502068724</v>
      </c>
      <c r="W64">
        <f t="shared" si="11"/>
        <v>48.30618012191362</v>
      </c>
      <c r="X64">
        <f t="shared" si="12"/>
        <v>312.14617371566521</v>
      </c>
    </row>
    <row r="65" spans="12:24" x14ac:dyDescent="0.25">
      <c r="L65">
        <f>IF(Original!$D$2=0, Original!B65, Original!B64)</f>
        <v>48.180309999999999</v>
      </c>
      <c r="M65">
        <f>IF(Original!$D$2=0, Original!C65, Original!C64)</f>
        <v>298.89157699999998</v>
      </c>
      <c r="N65">
        <f>IF(Original!$D$2=0, Original!D65, Original!D64)</f>
        <v>48.4</v>
      </c>
      <c r="O65">
        <f>IF(Original!$D$2=0, Original!H65, Original!H64)</f>
        <v>6.2006639999999997</v>
      </c>
      <c r="Q65">
        <f t="shared" si="4"/>
        <v>48.370693794019964</v>
      </c>
      <c r="R65">
        <f t="shared" si="5"/>
        <v>298.84573391951972</v>
      </c>
      <c r="T65">
        <f t="shared" si="9"/>
        <v>47.278527026112293</v>
      </c>
      <c r="U65">
        <f t="shared" si="10"/>
        <v>285.6408230242854</v>
      </c>
      <c r="W65">
        <f t="shared" si="11"/>
        <v>49.462860561927634</v>
      </c>
      <c r="X65">
        <f t="shared" si="12"/>
        <v>312.05064481475404</v>
      </c>
    </row>
    <row r="66" spans="12:24" x14ac:dyDescent="0.25">
      <c r="L66">
        <f>IF(Original!$D$2=0, Original!B66, Original!B65)</f>
        <v>49.276350000000001</v>
      </c>
      <c r="M66">
        <f>IF(Original!$D$2=0, Original!C66, Original!C65)</f>
        <v>298.79832599999997</v>
      </c>
      <c r="N66">
        <f>IF(Original!$D$2=0, Original!D66, Original!D65)</f>
        <v>49.5</v>
      </c>
      <c r="O66">
        <f>IF(Original!$D$2=0, Original!H66, Original!H65)</f>
        <v>6.1959289999999996</v>
      </c>
      <c r="Q66">
        <f t="shared" si="4"/>
        <v>49.466508935477883</v>
      </c>
      <c r="R66">
        <f t="shared" si="5"/>
        <v>298.74987373095547</v>
      </c>
      <c r="T66">
        <f t="shared" si="9"/>
        <v>48.31182939140885</v>
      </c>
      <c r="U66">
        <f t="shared" si="10"/>
        <v>285.55028225430328</v>
      </c>
      <c r="W66">
        <f t="shared" si="11"/>
        <v>50.621188479546916</v>
      </c>
      <c r="X66">
        <f t="shared" si="12"/>
        <v>311.94946520760766</v>
      </c>
    </row>
    <row r="67" spans="12:24" x14ac:dyDescent="0.25">
      <c r="L67">
        <f>IF(Original!$D$2=0, Original!B67, Original!B66)</f>
        <v>50.371926999999999</v>
      </c>
      <c r="M67">
        <f>IF(Original!$D$2=0, Original!C67, Original!C66)</f>
        <v>298.69979699999999</v>
      </c>
      <c r="N67">
        <f>IF(Original!$D$2=0, Original!D67, Original!D66)</f>
        <v>50.6</v>
      </c>
      <c r="O67">
        <f>IF(Original!$D$2=0, Original!H67, Original!H66)</f>
        <v>6.1910299999999996</v>
      </c>
      <c r="Q67">
        <f t="shared" si="4"/>
        <v>50.56184130988499</v>
      </c>
      <c r="R67">
        <f t="shared" si="5"/>
        <v>298.64864631581656</v>
      </c>
      <c r="T67">
        <f t="shared" si="9"/>
        <v>49.342511082075752</v>
      </c>
      <c r="U67">
        <f t="shared" si="10"/>
        <v>285.454869987731</v>
      </c>
      <c r="W67">
        <f t="shared" si="11"/>
        <v>51.781171537694227</v>
      </c>
      <c r="X67">
        <f t="shared" si="12"/>
        <v>311.84242264390213</v>
      </c>
    </row>
    <row r="68" spans="12:24" x14ac:dyDescent="0.25">
      <c r="L68">
        <f>IF(Original!$D$2=0, Original!B68, Original!B67)</f>
        <v>51.466999000000001</v>
      </c>
      <c r="M68">
        <f>IF(Original!$D$2=0, Original!C68, Original!C67)</f>
        <v>298.59581100000003</v>
      </c>
      <c r="N68">
        <f>IF(Original!$D$2=0, Original!D68, Original!D67)</f>
        <v>51.7</v>
      </c>
      <c r="O68">
        <f>IF(Original!$D$2=0, Original!H68, Original!H67)</f>
        <v>6.1859630000000001</v>
      </c>
      <c r="Q68">
        <f t="shared" si="4"/>
        <v>51.656646706154994</v>
      </c>
      <c r="R68">
        <f t="shared" si="5"/>
        <v>298.54187017476391</v>
      </c>
      <c r="T68">
        <f t="shared" si="9"/>
        <v>50.370479552566614</v>
      </c>
      <c r="U68">
        <f t="shared" si="10"/>
        <v>285.35444153787529</v>
      </c>
      <c r="W68">
        <f t="shared" si="11"/>
        <v>52.942813859743374</v>
      </c>
      <c r="X68">
        <f t="shared" si="12"/>
        <v>311.72929881165254</v>
      </c>
    </row>
    <row r="69" spans="12:24" x14ac:dyDescent="0.25">
      <c r="L69">
        <f>IF(Original!$D$2=0, Original!B69, Original!B68)</f>
        <v>52.561520000000002</v>
      </c>
      <c r="M69">
        <f>IF(Original!$D$2=0, Original!C69, Original!C68)</f>
        <v>298.48618399999998</v>
      </c>
      <c r="N69">
        <f>IF(Original!$D$2=0, Original!D69, Original!D68)</f>
        <v>52.8</v>
      </c>
      <c r="O69">
        <f>IF(Original!$D$2=0, Original!H69, Original!H68)</f>
        <v>6.1807239999999997</v>
      </c>
      <c r="Q69">
        <f t="shared" ref="Q69:Q132" si="13">Q68 + ($N69-$N68)*COS($O69)</f>
        <v>52.750877680187273</v>
      </c>
      <c r="R69">
        <f t="shared" ref="R69:R132" si="14">R68 + ($N69-$N68)*SIN($O69)</f>
        <v>298.42935983982369</v>
      </c>
      <c r="T69">
        <f t="shared" si="9"/>
        <v>51.395639554770909</v>
      </c>
      <c r="U69">
        <f t="shared" si="10"/>
        <v>285.2488503798894</v>
      </c>
      <c r="W69">
        <f t="shared" si="11"/>
        <v>54.106115805603636</v>
      </c>
      <c r="X69">
        <f t="shared" si="12"/>
        <v>311.60986929975797</v>
      </c>
    </row>
    <row r="70" spans="12:24" x14ac:dyDescent="0.25">
      <c r="L70">
        <f>IF(Original!$D$2=0, Original!B70, Original!B69)</f>
        <v>53.655439999999999</v>
      </c>
      <c r="M70">
        <f>IF(Original!$D$2=0, Original!C70, Original!C69)</f>
        <v>298.37072899999998</v>
      </c>
      <c r="N70">
        <f>IF(Original!$D$2=0, Original!D70, Original!D69)</f>
        <v>53.9</v>
      </c>
      <c r="O70">
        <f>IF(Original!$D$2=0, Original!H70, Original!H69)</f>
        <v>6.1753099999999996</v>
      </c>
      <c r="Q70">
        <f t="shared" si="13"/>
        <v>53.844483489562407</v>
      </c>
      <c r="R70">
        <f t="shared" si="14"/>
        <v>298.31092701624442</v>
      </c>
      <c r="T70">
        <f t="shared" ref="T70:T133" si="15">Q70 + $B$10/2 * SIN($O70)</f>
        <v>52.417906296448294</v>
      </c>
      <c r="U70">
        <f t="shared" ref="U70:U133" si="16">R70 - $B$10/2 * COS($O70)</f>
        <v>285.13794794877123</v>
      </c>
      <c r="W70">
        <f t="shared" ref="W70:W133" si="17">Q70 - $B$10/2 * SIN($O70)</f>
        <v>55.27106068267652</v>
      </c>
      <c r="X70">
        <f t="shared" ref="X70:X133" si="18">R70 + $B$10/2 * COS($O70)</f>
        <v>311.48390608371761</v>
      </c>
    </row>
    <row r="71" spans="12:24" x14ac:dyDescent="0.25">
      <c r="L71">
        <f>IF(Original!$D$2=0, Original!B71, Original!B70)</f>
        <v>54.748705999999999</v>
      </c>
      <c r="M71">
        <f>IF(Original!$D$2=0, Original!C71, Original!C70)</f>
        <v>298.249256</v>
      </c>
      <c r="N71">
        <f>IF(Original!$D$2=0, Original!D71, Original!D70)</f>
        <v>55</v>
      </c>
      <c r="O71">
        <f>IF(Original!$D$2=0, Original!H71, Original!H70)</f>
        <v>6.1697170000000003</v>
      </c>
      <c r="Q71">
        <f t="shared" si="13"/>
        <v>54.937409802756775</v>
      </c>
      <c r="R71">
        <f t="shared" si="14"/>
        <v>298.18637953964463</v>
      </c>
      <c r="T71">
        <f t="shared" si="15"/>
        <v>53.437178834623296</v>
      </c>
      <c r="U71">
        <f t="shared" si="16"/>
        <v>285.02158531253065</v>
      </c>
      <c r="W71">
        <f t="shared" si="17"/>
        <v>56.437640770890255</v>
      </c>
      <c r="X71">
        <f t="shared" si="18"/>
        <v>311.35117376675862</v>
      </c>
    </row>
    <row r="72" spans="12:24" x14ac:dyDescent="0.25">
      <c r="L72">
        <f>IF(Original!$D$2=0, Original!B72, Original!B71)</f>
        <v>55.841273999999999</v>
      </c>
      <c r="M72">
        <f>IF(Original!$D$2=0, Original!C72, Original!C71)</f>
        <v>298.12156800000002</v>
      </c>
      <c r="N72">
        <f>IF(Original!$D$2=0, Original!D72, Original!D71)</f>
        <v>56.1</v>
      </c>
      <c r="O72">
        <f>IF(Original!$D$2=0, Original!H72, Original!H71)</f>
        <v>6.1639390000000001</v>
      </c>
      <c r="Q72">
        <f t="shared" si="13"/>
        <v>56.029598240858626</v>
      </c>
      <c r="R72">
        <f t="shared" si="14"/>
        <v>298.05551924896542</v>
      </c>
      <c r="T72">
        <f t="shared" si="15"/>
        <v>54.453326557677478</v>
      </c>
      <c r="U72">
        <f t="shared" si="16"/>
        <v>284.89961306273858</v>
      </c>
      <c r="W72">
        <f t="shared" si="17"/>
        <v>57.605869924039773</v>
      </c>
      <c r="X72">
        <f t="shared" si="18"/>
        <v>311.21142543519227</v>
      </c>
    </row>
    <row r="73" spans="12:24" x14ac:dyDescent="0.25">
      <c r="L73">
        <f>IF(Original!$D$2=0, Original!B73, Original!B72)</f>
        <v>56.933072000000003</v>
      </c>
      <c r="M73">
        <f>IF(Original!$D$2=0, Original!C73, Original!C72)</f>
        <v>297.98746799999998</v>
      </c>
      <c r="N73">
        <f>IF(Original!$D$2=0, Original!D73, Original!D72)</f>
        <v>57.2</v>
      </c>
      <c r="O73">
        <f>IF(Original!$D$2=0, Original!H73, Original!H72)</f>
        <v>6.1579740000000003</v>
      </c>
      <c r="Q73">
        <f t="shared" si="13"/>
        <v>57.120986671311911</v>
      </c>
      <c r="R73">
        <f t="shared" si="14"/>
        <v>297.9181464209654</v>
      </c>
      <c r="T73">
        <f t="shared" si="15"/>
        <v>55.466268515857315</v>
      </c>
      <c r="U73">
        <f t="shared" si="16"/>
        <v>284.77187669050539</v>
      </c>
      <c r="W73">
        <f t="shared" si="17"/>
        <v>58.775704826766507</v>
      </c>
      <c r="X73">
        <f t="shared" si="18"/>
        <v>311.06441615142541</v>
      </c>
    </row>
    <row r="74" spans="12:24" x14ac:dyDescent="0.25">
      <c r="L74">
        <f>IF(Original!$D$2=0, Original!B74, Original!B73)</f>
        <v>58.024034999999998</v>
      </c>
      <c r="M74">
        <f>IF(Original!$D$2=0, Original!C74, Original!C73)</f>
        <v>297.84675299999998</v>
      </c>
      <c r="N74">
        <f>IF(Original!$D$2=0, Original!D74, Original!D73)</f>
        <v>58.3</v>
      </c>
      <c r="O74">
        <f>IF(Original!$D$2=0, Original!H74, Original!H73)</f>
        <v>6.1518160000000002</v>
      </c>
      <c r="Q74">
        <f t="shared" si="13"/>
        <v>58.211508472051548</v>
      </c>
      <c r="R74">
        <f t="shared" si="14"/>
        <v>297.7740554701337</v>
      </c>
      <c r="T74">
        <f t="shared" si="15"/>
        <v>56.475867473397358</v>
      </c>
      <c r="U74">
        <f t="shared" si="16"/>
        <v>284.63822468849713</v>
      </c>
      <c r="W74">
        <f t="shared" si="17"/>
        <v>59.947149470705739</v>
      </c>
      <c r="X74">
        <f t="shared" si="18"/>
        <v>310.90988625177027</v>
      </c>
    </row>
    <row r="75" spans="12:24" x14ac:dyDescent="0.25">
      <c r="L75">
        <f>IF(Original!$D$2=0, Original!B75, Original!B74)</f>
        <v>59.114091999999999</v>
      </c>
      <c r="M75">
        <f>IF(Original!$D$2=0, Original!C75, Original!C74)</f>
        <v>297.69921499999998</v>
      </c>
      <c r="N75">
        <f>IF(Original!$D$2=0, Original!D75, Original!D74)</f>
        <v>59.4</v>
      </c>
      <c r="O75">
        <f>IF(Original!$D$2=0, Original!H75, Original!H74)</f>
        <v>6.1454610000000001</v>
      </c>
      <c r="Q75">
        <f t="shared" si="13"/>
        <v>59.301092560115968</v>
      </c>
      <c r="R75">
        <f t="shared" si="14"/>
        <v>297.62303720952644</v>
      </c>
      <c r="T75">
        <f t="shared" si="15"/>
        <v>57.48200896643791</v>
      </c>
      <c r="U75">
        <f t="shared" si="16"/>
        <v>284.49850160329595</v>
      </c>
      <c r="W75">
        <f t="shared" si="17"/>
        <v>61.120176153794027</v>
      </c>
      <c r="X75">
        <f t="shared" si="18"/>
        <v>310.74757281575694</v>
      </c>
    </row>
    <row r="76" spans="12:24" x14ac:dyDescent="0.25">
      <c r="L76">
        <f>IF(Original!$D$2=0, Original!B76, Original!B75)</f>
        <v>60.203170999999998</v>
      </c>
      <c r="M76">
        <f>IF(Original!$D$2=0, Original!C76, Original!C75)</f>
        <v>297.544645</v>
      </c>
      <c r="N76">
        <f>IF(Original!$D$2=0, Original!D76, Original!D75)</f>
        <v>60.5</v>
      </c>
      <c r="O76">
        <f>IF(Original!$D$2=0, Original!H76, Original!H75)</f>
        <v>6.1389040000000001</v>
      </c>
      <c r="Q76">
        <f t="shared" si="13"/>
        <v>60.38966300570037</v>
      </c>
      <c r="R76">
        <f t="shared" si="14"/>
        <v>297.46487784369509</v>
      </c>
      <c r="T76">
        <f t="shared" si="15"/>
        <v>58.484561553640823</v>
      </c>
      <c r="U76">
        <f t="shared" si="16"/>
        <v>284.35255202188296</v>
      </c>
      <c r="W76">
        <f t="shared" si="17"/>
        <v>62.294764457759918</v>
      </c>
      <c r="X76">
        <f t="shared" si="18"/>
        <v>310.57720366550723</v>
      </c>
    </row>
    <row r="77" spans="12:24" x14ac:dyDescent="0.25">
      <c r="L77">
        <f>IF(Original!$D$2=0, Original!B77, Original!B76)</f>
        <v>61.291201999999998</v>
      </c>
      <c r="M77">
        <f>IF(Original!$D$2=0, Original!C77, Original!C76)</f>
        <v>297.38282400000003</v>
      </c>
      <c r="N77">
        <f>IF(Original!$D$2=0, Original!D77, Original!D76)</f>
        <v>61.6</v>
      </c>
      <c r="O77">
        <f>IF(Original!$D$2=0, Original!H77, Original!H76)</f>
        <v>6.1321399999999997</v>
      </c>
      <c r="Q77">
        <f t="shared" si="13"/>
        <v>61.477138767614612</v>
      </c>
      <c r="R77">
        <f t="shared" si="14"/>
        <v>297.29935906153116</v>
      </c>
      <c r="T77">
        <f t="shared" si="15"/>
        <v>59.483389800639685</v>
      </c>
      <c r="U77">
        <f t="shared" si="16"/>
        <v>284.20021920210962</v>
      </c>
      <c r="W77">
        <f t="shared" si="17"/>
        <v>63.470887734589539</v>
      </c>
      <c r="X77">
        <f t="shared" si="18"/>
        <v>310.3984989209527</v>
      </c>
    </row>
    <row r="78" spans="12:24" x14ac:dyDescent="0.25">
      <c r="L78">
        <f>IF(Original!$D$2=0, Original!B78, Original!B77)</f>
        <v>62.378100000000003</v>
      </c>
      <c r="M78">
        <f>IF(Original!$D$2=0, Original!C78, Original!C77)</f>
        <v>297.21353299999998</v>
      </c>
      <c r="N78">
        <f>IF(Original!$D$2=0, Original!D78, Original!D77)</f>
        <v>62.7</v>
      </c>
      <c r="O78">
        <f>IF(Original!$D$2=0, Original!H78, Original!H77)</f>
        <v>6.125165</v>
      </c>
      <c r="Q78">
        <f t="shared" si="13"/>
        <v>62.56343359230388</v>
      </c>
      <c r="R78">
        <f t="shared" si="14"/>
        <v>297.12625922371114</v>
      </c>
      <c r="T78">
        <f t="shared" si="15"/>
        <v>60.478367364017295</v>
      </c>
      <c r="U78">
        <f t="shared" si="16"/>
        <v>284.04134428995405</v>
      </c>
      <c r="W78">
        <f t="shared" si="17"/>
        <v>64.648499820590473</v>
      </c>
      <c r="X78">
        <f t="shared" si="18"/>
        <v>310.21117415746824</v>
      </c>
    </row>
    <row r="79" spans="12:24" x14ac:dyDescent="0.25">
      <c r="L79">
        <f>IF(Original!$D$2=0, Original!B79, Original!B78)</f>
        <v>63.463766</v>
      </c>
      <c r="M79">
        <f>IF(Original!$D$2=0, Original!C79, Original!C78)</f>
        <v>297.03654899999998</v>
      </c>
      <c r="N79">
        <f>IF(Original!$D$2=0, Original!D79, Original!D78)</f>
        <v>63.8</v>
      </c>
      <c r="O79">
        <f>IF(Original!$D$2=0, Original!H79, Original!H78)</f>
        <v>6.1179740000000002</v>
      </c>
      <c r="Q79">
        <f t="shared" si="13"/>
        <v>63.6484555804943</v>
      </c>
      <c r="R79">
        <f t="shared" si="14"/>
        <v>296.94535238264842</v>
      </c>
      <c r="T79">
        <f t="shared" si="15"/>
        <v>61.469350449511211</v>
      </c>
      <c r="U79">
        <f t="shared" si="16"/>
        <v>283.87576934308197</v>
      </c>
      <c r="W79">
        <f t="shared" si="17"/>
        <v>65.827560711477389</v>
      </c>
      <c r="X79">
        <f t="shared" si="18"/>
        <v>310.01493542221488</v>
      </c>
    </row>
    <row r="80" spans="12:24" x14ac:dyDescent="0.25">
      <c r="L80">
        <f>IF(Original!$D$2=0, Original!B80, Original!B79)</f>
        <v>64.548101000000003</v>
      </c>
      <c r="M80">
        <f>IF(Original!$D$2=0, Original!C80, Original!C79)</f>
        <v>296.85164300000002</v>
      </c>
      <c r="N80">
        <f>IF(Original!$D$2=0, Original!D80, Original!D79)</f>
        <v>64.900000000000006</v>
      </c>
      <c r="O80">
        <f>IF(Original!$D$2=0, Original!H80, Original!H79)</f>
        <v>6.1105609999999997</v>
      </c>
      <c r="Q80">
        <f t="shared" si="13"/>
        <v>64.732106706318049</v>
      </c>
      <c r="R80">
        <f t="shared" si="14"/>
        <v>296.75640731787848</v>
      </c>
      <c r="T80">
        <f t="shared" si="15"/>
        <v>62.456177517043507</v>
      </c>
      <c r="U80">
        <f t="shared" si="16"/>
        <v>283.7033369386379</v>
      </c>
      <c r="W80">
        <f t="shared" si="17"/>
        <v>67.008035895592585</v>
      </c>
      <c r="X80">
        <f t="shared" si="18"/>
        <v>309.80947769711906</v>
      </c>
    </row>
    <row r="81" spans="12:24" x14ac:dyDescent="0.25">
      <c r="L81">
        <f>IF(Original!$D$2=0, Original!B81, Original!B80)</f>
        <v>65.631033000000002</v>
      </c>
      <c r="M81">
        <f>IF(Original!$D$2=0, Original!C81, Original!C80)</f>
        <v>296.65857899999997</v>
      </c>
      <c r="N81">
        <f>IF(Original!$D$2=0, Original!D81, Original!D80)</f>
        <v>66</v>
      </c>
      <c r="O81">
        <f>IF(Original!$D$2=0, Original!H81, Original!H80)</f>
        <v>6.1029200000000001</v>
      </c>
      <c r="Q81">
        <f t="shared" si="13"/>
        <v>65.81428248268341</v>
      </c>
      <c r="R81">
        <f t="shared" si="14"/>
        <v>296.55918767116947</v>
      </c>
      <c r="T81">
        <f t="shared" si="15"/>
        <v>63.438682192779297</v>
      </c>
      <c r="U81">
        <f t="shared" si="16"/>
        <v>283.52388854676855</v>
      </c>
      <c r="W81">
        <f t="shared" si="17"/>
        <v>68.189882772587524</v>
      </c>
      <c r="X81">
        <f t="shared" si="18"/>
        <v>309.59448679557039</v>
      </c>
    </row>
    <row r="82" spans="12:24" x14ac:dyDescent="0.25">
      <c r="L82">
        <f>IF(Original!$D$2=0, Original!B82, Original!B81)</f>
        <v>66.712425999999994</v>
      </c>
      <c r="M82">
        <f>IF(Original!$D$2=0, Original!C82, Original!C81)</f>
        <v>296.45712300000002</v>
      </c>
      <c r="N82">
        <f>IF(Original!$D$2=0, Original!D82, Original!D81)</f>
        <v>67.099999999999994</v>
      </c>
      <c r="O82">
        <f>IF(Original!$D$2=0, Original!H82, Original!H81)</f>
        <v>6.0950480000000002</v>
      </c>
      <c r="Q82">
        <f t="shared" si="13"/>
        <v>66.894872231855388</v>
      </c>
      <c r="R82">
        <f t="shared" si="14"/>
        <v>296.35345533539208</v>
      </c>
      <c r="T82">
        <f t="shared" si="15"/>
        <v>64.416732732718771</v>
      </c>
      <c r="U82">
        <f t="shared" si="16"/>
        <v>283.33726062945675</v>
      </c>
      <c r="W82">
        <f t="shared" si="17"/>
        <v>69.373011730992005</v>
      </c>
      <c r="X82">
        <f t="shared" si="18"/>
        <v>309.36965004132742</v>
      </c>
    </row>
    <row r="83" spans="12:24" x14ac:dyDescent="0.25">
      <c r="L83">
        <f>IF(Original!$D$2=0, Original!B83, Original!B82)</f>
        <v>67.792164999999997</v>
      </c>
      <c r="M83">
        <f>IF(Original!$D$2=0, Original!C83, Original!C82)</f>
        <v>296.24703599999998</v>
      </c>
      <c r="N83">
        <f>IF(Original!$D$2=0, Original!D83, Original!D82)</f>
        <v>68.2</v>
      </c>
      <c r="O83">
        <f>IF(Original!$D$2=0, Original!H83, Original!H82)</f>
        <v>6.0869390000000001</v>
      </c>
      <c r="Q83">
        <f t="shared" si="13"/>
        <v>67.973758188428945</v>
      </c>
      <c r="R83">
        <f t="shared" si="14"/>
        <v>296.1389673573878</v>
      </c>
      <c r="T83">
        <f t="shared" si="15"/>
        <v>65.390152998831795</v>
      </c>
      <c r="U83">
        <f t="shared" si="16"/>
        <v>283.14329560775184</v>
      </c>
      <c r="W83">
        <f t="shared" si="17"/>
        <v>70.557363378026096</v>
      </c>
      <c r="X83">
        <f t="shared" si="18"/>
        <v>309.13463910702376</v>
      </c>
    </row>
    <row r="84" spans="12:24" x14ac:dyDescent="0.25">
      <c r="L84">
        <f>IF(Original!$D$2=0, Original!B84, Original!B83)</f>
        <v>68.870157000000006</v>
      </c>
      <c r="M84">
        <f>IF(Original!$D$2=0, Original!C84, Original!C83)</f>
        <v>296.02806399999997</v>
      </c>
      <c r="N84">
        <f>IF(Original!$D$2=0, Original!D84, Original!D83)</f>
        <v>69.3</v>
      </c>
      <c r="O84">
        <f>IF(Original!$D$2=0, Original!H84, Original!H83)</f>
        <v>6.0785859999999996</v>
      </c>
      <c r="Q84">
        <f t="shared" si="13"/>
        <v>69.050814909631299</v>
      </c>
      <c r="R84">
        <f t="shared" si="14"/>
        <v>295.91547503243498</v>
      </c>
      <c r="T84">
        <f t="shared" si="15"/>
        <v>66.358748268154201</v>
      </c>
      <c r="U84">
        <f t="shared" si="16"/>
        <v>282.9418372543156</v>
      </c>
      <c r="W84">
        <f t="shared" si="17"/>
        <v>71.742881551108397</v>
      </c>
      <c r="X84">
        <f t="shared" si="18"/>
        <v>308.88911281055437</v>
      </c>
    </row>
    <row r="85" spans="12:24" x14ac:dyDescent="0.25">
      <c r="L85">
        <f>IF(Original!$D$2=0, Original!B85, Original!B84)</f>
        <v>69.946239000000006</v>
      </c>
      <c r="M85">
        <f>IF(Original!$D$2=0, Original!C85, Original!C84)</f>
        <v>295.79996699999998</v>
      </c>
      <c r="N85">
        <f>IF(Original!$D$2=0, Original!D85, Original!D84)</f>
        <v>70.400000000000006</v>
      </c>
      <c r="O85">
        <f>IF(Original!$D$2=0, Original!H85, Original!H84)</f>
        <v>6.0699860000000001</v>
      </c>
      <c r="Q85">
        <f t="shared" si="13"/>
        <v>70.125909791219186</v>
      </c>
      <c r="R85">
        <f t="shared" si="14"/>
        <v>295.68272839855268</v>
      </c>
      <c r="T85">
        <f t="shared" si="15"/>
        <v>67.322370792182696</v>
      </c>
      <c r="U85">
        <f t="shared" si="16"/>
        <v>282.73272187033496</v>
      </c>
      <c r="W85">
        <f t="shared" si="17"/>
        <v>72.929448790255677</v>
      </c>
      <c r="X85">
        <f t="shared" si="18"/>
        <v>308.63273492677041</v>
      </c>
    </row>
    <row r="86" spans="12:24" x14ac:dyDescent="0.25">
      <c r="L86">
        <f>IF(Original!$D$2=0, Original!B86, Original!B85)</f>
        <v>71.020296999999999</v>
      </c>
      <c r="M86">
        <f>IF(Original!$D$2=0, Original!C86, Original!C85)</f>
        <v>295.56248499999998</v>
      </c>
      <c r="N86">
        <f>IF(Original!$D$2=0, Original!D86, Original!D85)</f>
        <v>71.5</v>
      </c>
      <c r="O86">
        <f>IF(Original!$D$2=0, Original!H86, Original!H85)</f>
        <v>6.0611309999999996</v>
      </c>
      <c r="Q86">
        <f t="shared" si="13"/>
        <v>71.198901578927348</v>
      </c>
      <c r="R86">
        <f t="shared" si="14"/>
        <v>295.44047104879661</v>
      </c>
      <c r="T86">
        <f t="shared" si="15"/>
        <v>68.280801684138211</v>
      </c>
      <c r="U86">
        <f t="shared" si="16"/>
        <v>282.51579724231192</v>
      </c>
      <c r="W86">
        <f t="shared" si="17"/>
        <v>74.117001473716485</v>
      </c>
      <c r="X86">
        <f t="shared" si="18"/>
        <v>308.3651448552813</v>
      </c>
    </row>
    <row r="87" spans="12:24" x14ac:dyDescent="0.25">
      <c r="L87">
        <f>IF(Original!$D$2=0, Original!B87, Original!B86)</f>
        <v>72.092174999999997</v>
      </c>
      <c r="M87">
        <f>IF(Original!$D$2=0, Original!C87, Original!C86)</f>
        <v>295.31536499999999</v>
      </c>
      <c r="N87">
        <f>IF(Original!$D$2=0, Original!D87, Original!D86)</f>
        <v>72.599999999999994</v>
      </c>
      <c r="O87">
        <f>IF(Original!$D$2=0, Original!H87, Original!H86)</f>
        <v>6.0520170000000002</v>
      </c>
      <c r="Q87">
        <f t="shared" si="13"/>
        <v>72.269640899995892</v>
      </c>
      <c r="R87">
        <f t="shared" si="14"/>
        <v>295.18844464875559</v>
      </c>
      <c r="T87">
        <f t="shared" si="15"/>
        <v>69.233868354046933</v>
      </c>
      <c r="U87">
        <f t="shared" si="16"/>
        <v>282.29090282679346</v>
      </c>
      <c r="W87">
        <f t="shared" si="17"/>
        <v>75.305413445944851</v>
      </c>
      <c r="X87">
        <f t="shared" si="18"/>
        <v>308.08598647071773</v>
      </c>
    </row>
    <row r="88" spans="12:24" x14ac:dyDescent="0.25">
      <c r="L88">
        <f>IF(Original!$D$2=0, Original!B88, Original!B87)</f>
        <v>73.161721999999997</v>
      </c>
      <c r="M88">
        <f>IF(Original!$D$2=0, Original!C88, Original!C87)</f>
        <v>295.05834599999997</v>
      </c>
      <c r="N88">
        <f>IF(Original!$D$2=0, Original!D88, Original!D87)</f>
        <v>73.7</v>
      </c>
      <c r="O88">
        <f>IF(Original!$D$2=0, Original!H88, Original!H87)</f>
        <v>6.0426390000000003</v>
      </c>
      <c r="Q88">
        <f t="shared" si="13"/>
        <v>73.337969668380154</v>
      </c>
      <c r="R88">
        <f t="shared" si="14"/>
        <v>294.92638808493285</v>
      </c>
      <c r="T88">
        <f t="shared" si="15"/>
        <v>70.181379240515398</v>
      </c>
      <c r="U88">
        <f t="shared" si="16"/>
        <v>282.05788246575884</v>
      </c>
      <c r="W88">
        <f t="shared" si="17"/>
        <v>76.494560096244911</v>
      </c>
      <c r="X88">
        <f t="shared" si="18"/>
        <v>307.79489370410687</v>
      </c>
    </row>
    <row r="89" spans="12:24" x14ac:dyDescent="0.25">
      <c r="L89">
        <f>IF(Original!$D$2=0, Original!B89, Original!B88)</f>
        <v>74.228776999999994</v>
      </c>
      <c r="M89">
        <f>IF(Original!$D$2=0, Original!C89, Original!C88)</f>
        <v>294.79116399999998</v>
      </c>
      <c r="N89">
        <f>IF(Original!$D$2=0, Original!D89, Original!D88)</f>
        <v>74.8</v>
      </c>
      <c r="O89">
        <f>IF(Original!$D$2=0, Original!H89, Original!H88)</f>
        <v>6.0329899999999999</v>
      </c>
      <c r="Q89">
        <f t="shared" si="13"/>
        <v>74.403720160188257</v>
      </c>
      <c r="R89">
        <f t="shared" si="14"/>
        <v>294.6540355758371</v>
      </c>
      <c r="T89">
        <f t="shared" si="15"/>
        <v>71.123110391534553</v>
      </c>
      <c r="U89">
        <f t="shared" si="16"/>
        <v>281.81658646996664</v>
      </c>
      <c r="W89">
        <f t="shared" si="17"/>
        <v>77.684329928841962</v>
      </c>
      <c r="X89">
        <f t="shared" si="18"/>
        <v>307.49148468170756</v>
      </c>
    </row>
    <row r="90" spans="12:24" x14ac:dyDescent="0.25">
      <c r="L90">
        <f>IF(Original!$D$2=0, Original!B90, Original!B89)</f>
        <v>75.293165000000002</v>
      </c>
      <c r="M90">
        <f>IF(Original!$D$2=0, Original!C90, Original!C89)</f>
        <v>294.513553</v>
      </c>
      <c r="N90">
        <f>IF(Original!$D$2=0, Original!D90, Original!D89)</f>
        <v>75.900000000000006</v>
      </c>
      <c r="O90">
        <f>IF(Original!$D$2=0, Original!H90, Original!H89)</f>
        <v>6.0230670000000002</v>
      </c>
      <c r="Q90">
        <f t="shared" si="13"/>
        <v>75.466715672774399</v>
      </c>
      <c r="R90">
        <f t="shared" si="14"/>
        <v>294.37112120677511</v>
      </c>
      <c r="T90">
        <f t="shared" si="15"/>
        <v>72.058883499982102</v>
      </c>
      <c r="U90">
        <f t="shared" si="16"/>
        <v>281.56685707789671</v>
      </c>
      <c r="W90">
        <f t="shared" si="17"/>
        <v>78.874547845566696</v>
      </c>
      <c r="X90">
        <f t="shared" si="18"/>
        <v>307.17538533565352</v>
      </c>
    </row>
    <row r="91" spans="12:24" x14ac:dyDescent="0.25">
      <c r="L91">
        <f>IF(Original!$D$2=0, Original!B91, Original!B90)</f>
        <v>76.354702000000003</v>
      </c>
      <c r="M91">
        <f>IF(Original!$D$2=0, Original!C91, Original!C90)</f>
        <v>294.22524499999997</v>
      </c>
      <c r="N91">
        <f>IF(Original!$D$2=0, Original!D91, Original!D90)</f>
        <v>77</v>
      </c>
      <c r="O91">
        <f>IF(Original!$D$2=0, Original!H91, Original!H90)</f>
        <v>6.0128620000000002</v>
      </c>
      <c r="Q91">
        <f t="shared" si="13"/>
        <v>76.526768743563849</v>
      </c>
      <c r="R91">
        <f t="shared" si="14"/>
        <v>294.07737388830247</v>
      </c>
      <c r="T91">
        <f t="shared" si="15"/>
        <v>72.98844877105283</v>
      </c>
      <c r="U91">
        <f t="shared" si="16"/>
        <v>281.30855280833862</v>
      </c>
      <c r="W91">
        <f t="shared" si="17"/>
        <v>80.065088716074868</v>
      </c>
      <c r="X91">
        <f t="shared" si="18"/>
        <v>306.84619496826633</v>
      </c>
    </row>
    <row r="92" spans="12:24" x14ac:dyDescent="0.25">
      <c r="L92">
        <f>IF(Original!$D$2=0, Original!B92, Original!B91)</f>
        <v>77.413207</v>
      </c>
      <c r="M92">
        <f>IF(Original!$D$2=0, Original!C92, Original!C91)</f>
        <v>293.92596800000001</v>
      </c>
      <c r="N92">
        <f>IF(Original!$D$2=0, Original!D92, Original!D91)</f>
        <v>78.099999999999994</v>
      </c>
      <c r="O92">
        <f>IF(Original!$D$2=0, Original!H92, Original!H91)</f>
        <v>6.0023720000000003</v>
      </c>
      <c r="Q92">
        <f t="shared" si="13"/>
        <v>77.583682137857181</v>
      </c>
      <c r="R92">
        <f t="shared" si="14"/>
        <v>293.77252297890027</v>
      </c>
      <c r="T92">
        <f t="shared" si="15"/>
        <v>73.911614365512733</v>
      </c>
      <c r="U92">
        <f t="shared" si="16"/>
        <v>281.04152072945777</v>
      </c>
      <c r="W92">
        <f t="shared" si="17"/>
        <v>81.255749910201629</v>
      </c>
      <c r="X92">
        <f t="shared" si="18"/>
        <v>306.50352522834277</v>
      </c>
    </row>
    <row r="93" spans="12:24" x14ac:dyDescent="0.25">
      <c r="L93">
        <f>IF(Original!$D$2=0, Original!B93, Original!B92)</f>
        <v>78.468455000000006</v>
      </c>
      <c r="M93">
        <f>IF(Original!$D$2=0, Original!C93, Original!C92)</f>
        <v>293.615455</v>
      </c>
      <c r="N93">
        <f>IF(Original!$D$2=0, Original!D93, Original!D92)</f>
        <v>79.2</v>
      </c>
      <c r="O93">
        <f>IF(Original!$D$2=0, Original!H93, Original!H92)</f>
        <v>5.9915919999999998</v>
      </c>
      <c r="Q93">
        <f t="shared" si="13"/>
        <v>78.637247892483401</v>
      </c>
      <c r="R93">
        <f t="shared" si="14"/>
        <v>293.45629647672359</v>
      </c>
      <c r="T93">
        <f t="shared" si="15"/>
        <v>74.828155934445988</v>
      </c>
      <c r="U93">
        <f t="shared" si="16"/>
        <v>280.76561806872604</v>
      </c>
      <c r="W93">
        <f t="shared" si="17"/>
        <v>82.446339850520815</v>
      </c>
      <c r="X93">
        <f t="shared" si="18"/>
        <v>306.14697488472115</v>
      </c>
    </row>
    <row r="94" spans="12:24" x14ac:dyDescent="0.25">
      <c r="L94">
        <f>IF(Original!$D$2=0, Original!B94, Original!B93)</f>
        <v>79.520263999999997</v>
      </c>
      <c r="M94">
        <f>IF(Original!$D$2=0, Original!C94, Original!C93)</f>
        <v>293.29342500000001</v>
      </c>
      <c r="N94">
        <f>IF(Original!$D$2=0, Original!D94, Original!D93)</f>
        <v>80.3</v>
      </c>
      <c r="O94">
        <f>IF(Original!$D$2=0, Original!H94, Original!H93)</f>
        <v>5.9805169999999999</v>
      </c>
      <c r="Q94">
        <f t="shared" si="13"/>
        <v>79.687246897969189</v>
      </c>
      <c r="R94">
        <f t="shared" si="14"/>
        <v>293.12842136562358</v>
      </c>
      <c r="T94">
        <f t="shared" si="15"/>
        <v>75.737842150628225</v>
      </c>
      <c r="U94">
        <f t="shared" si="16"/>
        <v>280.48070607227197</v>
      </c>
      <c r="W94">
        <f t="shared" si="17"/>
        <v>83.636651645310153</v>
      </c>
      <c r="X94">
        <f t="shared" si="18"/>
        <v>305.77613665897519</v>
      </c>
    </row>
    <row r="95" spans="12:24" x14ac:dyDescent="0.25">
      <c r="L95">
        <f>IF(Original!$D$2=0, Original!B95, Original!B94)</f>
        <v>80.568382999999997</v>
      </c>
      <c r="M95">
        <f>IF(Original!$D$2=0, Original!C95, Original!C94)</f>
        <v>292.95961199999999</v>
      </c>
      <c r="N95">
        <f>IF(Original!$D$2=0, Original!D95, Original!D94)</f>
        <v>81.400000000000006</v>
      </c>
      <c r="O95">
        <f>IF(Original!$D$2=0, Original!H95, Original!H94)</f>
        <v>5.9691419999999997</v>
      </c>
      <c r="Q95">
        <f t="shared" si="13"/>
        <v>80.733448475213152</v>
      </c>
      <c r="R95">
        <f t="shared" si="14"/>
        <v>292.78862398515651</v>
      </c>
      <c r="T95">
        <f t="shared" si="15"/>
        <v>76.640434574132797</v>
      </c>
      <c r="U95">
        <f t="shared" si="16"/>
        <v>280.18665044108161</v>
      </c>
      <c r="W95">
        <f t="shared" si="17"/>
        <v>84.826462376293506</v>
      </c>
      <c r="X95">
        <f t="shared" si="18"/>
        <v>305.3905975292314</v>
      </c>
    </row>
    <row r="96" spans="12:24" x14ac:dyDescent="0.25">
      <c r="L96">
        <f>IF(Original!$D$2=0, Original!B96, Original!B95)</f>
        <v>81.612577999999999</v>
      </c>
      <c r="M96">
        <f>IF(Original!$D$2=0, Original!C96, Original!C95)</f>
        <v>292.613743</v>
      </c>
      <c r="N96">
        <f>IF(Original!$D$2=0, Original!D96, Original!D95)</f>
        <v>82.5</v>
      </c>
      <c r="O96">
        <f>IF(Original!$D$2=0, Original!H96, Original!H95)</f>
        <v>5.9574639999999999</v>
      </c>
      <c r="Q96">
        <f t="shared" si="13"/>
        <v>81.775610651423548</v>
      </c>
      <c r="R96">
        <f t="shared" si="14"/>
        <v>292.43663251015124</v>
      </c>
      <c r="T96">
        <f t="shared" si="15"/>
        <v>77.535713338859935</v>
      </c>
      <c r="U96">
        <f t="shared" si="16"/>
        <v>279.88331538761685</v>
      </c>
      <c r="W96">
        <f t="shared" si="17"/>
        <v>86.015507963987162</v>
      </c>
      <c r="X96">
        <f t="shared" si="18"/>
        <v>304.98994963268564</v>
      </c>
    </row>
    <row r="97" spans="12:24" x14ac:dyDescent="0.25">
      <c r="L97">
        <f>IF(Original!$D$2=0, Original!B97, Original!B96)</f>
        <v>82.652623000000006</v>
      </c>
      <c r="M97">
        <f>IF(Original!$D$2=0, Original!C97, Original!C96)</f>
        <v>292.255539</v>
      </c>
      <c r="N97">
        <f>IF(Original!$D$2=0, Original!D97, Original!D96)</f>
        <v>83.6</v>
      </c>
      <c r="O97">
        <f>IF(Original!$D$2=0, Original!H97, Original!H96)</f>
        <v>5.9454789999999997</v>
      </c>
      <c r="Q97">
        <f t="shared" si="13"/>
        <v>82.813479463490339</v>
      </c>
      <c r="R97">
        <f t="shared" si="14"/>
        <v>292.07217630024525</v>
      </c>
      <c r="T97">
        <f t="shared" si="15"/>
        <v>78.423438753258978</v>
      </c>
      <c r="U97">
        <f t="shared" si="16"/>
        <v>279.57057470034971</v>
      </c>
      <c r="W97">
        <f t="shared" si="17"/>
        <v>87.203520173721699</v>
      </c>
      <c r="X97">
        <f t="shared" si="18"/>
        <v>304.57377790014078</v>
      </c>
    </row>
    <row r="98" spans="12:24" x14ac:dyDescent="0.25">
      <c r="L98">
        <f>IF(Original!$D$2=0, Original!B98, Original!B97)</f>
        <v>83.688235000000006</v>
      </c>
      <c r="M98">
        <f>IF(Original!$D$2=0, Original!C98, Original!C97)</f>
        <v>291.88473900000002</v>
      </c>
      <c r="N98">
        <f>IF(Original!$D$2=0, Original!D98, Original!D97)</f>
        <v>84.7</v>
      </c>
      <c r="O98">
        <f>IF(Original!$D$2=0, Original!H98, Original!H97)</f>
        <v>5.9331839999999998</v>
      </c>
      <c r="Q98">
        <f t="shared" si="13"/>
        <v>83.846788954569661</v>
      </c>
      <c r="R98">
        <f t="shared" si="14"/>
        <v>291.69498736132283</v>
      </c>
      <c r="T98">
        <f t="shared" si="15"/>
        <v>79.30337673573176</v>
      </c>
      <c r="U98">
        <f t="shared" si="16"/>
        <v>279.24830485514013</v>
      </c>
      <c r="W98">
        <f t="shared" si="17"/>
        <v>88.390201173407561</v>
      </c>
      <c r="X98">
        <f t="shared" si="18"/>
        <v>304.14166986750553</v>
      </c>
    </row>
    <row r="99" spans="12:24" x14ac:dyDescent="0.25">
      <c r="L99">
        <f>IF(Original!$D$2=0, Original!B99, Original!B98)</f>
        <v>84.719144999999997</v>
      </c>
      <c r="M99">
        <f>IF(Original!$D$2=0, Original!C99, Original!C98)</f>
        <v>291.50107500000001</v>
      </c>
      <c r="N99">
        <f>IF(Original!$D$2=0, Original!D99, Original!D98)</f>
        <v>85.8</v>
      </c>
      <c r="O99">
        <f>IF(Original!$D$2=0, Original!H99, Original!H98)</f>
        <v>5.9205759999999996</v>
      </c>
      <c r="Q99">
        <f t="shared" si="13"/>
        <v>84.875260846288867</v>
      </c>
      <c r="R99">
        <f t="shared" si="14"/>
        <v>291.30480078038556</v>
      </c>
      <c r="T99">
        <f t="shared" si="15"/>
        <v>80.175286121362973</v>
      </c>
      <c r="U99">
        <f t="shared" si="16"/>
        <v>278.91638935740411</v>
      </c>
      <c r="W99">
        <f t="shared" si="17"/>
        <v>89.575235571214762</v>
      </c>
      <c r="X99">
        <f t="shared" si="18"/>
        <v>303.69321220336701</v>
      </c>
    </row>
    <row r="100" spans="12:24" x14ac:dyDescent="0.25">
      <c r="L100">
        <f>IF(Original!$D$2=0, Original!B100, Original!B99)</f>
        <v>85.745075999999997</v>
      </c>
      <c r="M100">
        <f>IF(Original!$D$2=0, Original!C100, Original!C99)</f>
        <v>291.10428100000001</v>
      </c>
      <c r="N100">
        <f>IF(Original!$D$2=0, Original!D100, Original!D99)</f>
        <v>86.9</v>
      </c>
      <c r="O100">
        <f>IF(Original!$D$2=0, Original!H100, Original!H99)</f>
        <v>5.9076529999999998</v>
      </c>
      <c r="Q100">
        <f t="shared" si="13"/>
        <v>85.898604618942827</v>
      </c>
      <c r="R100">
        <f t="shared" si="14"/>
        <v>290.90135620802107</v>
      </c>
      <c r="T100">
        <f t="shared" si="15"/>
        <v>81.038931360915981</v>
      </c>
      <c r="U100">
        <f t="shared" si="16"/>
        <v>278.57471531014386</v>
      </c>
      <c r="W100">
        <f t="shared" si="17"/>
        <v>90.758277876969672</v>
      </c>
      <c r="X100">
        <f t="shared" si="18"/>
        <v>303.22799710589828</v>
      </c>
    </row>
    <row r="101" spans="12:24" x14ac:dyDescent="0.25">
      <c r="L101">
        <f>IF(Original!$D$2=0, Original!B101, Original!B100)</f>
        <v>86.765733999999995</v>
      </c>
      <c r="M101">
        <f>IF(Original!$D$2=0, Original!C101, Original!C100)</f>
        <v>290.69409999999999</v>
      </c>
      <c r="N101">
        <f>IF(Original!$D$2=0, Original!D101, Original!D100)</f>
        <v>88</v>
      </c>
      <c r="O101">
        <f>IF(Original!$D$2=0, Original!H101, Original!H100)</f>
        <v>5.8944130000000001</v>
      </c>
      <c r="Q101">
        <f t="shared" si="13"/>
        <v>86.916517247975705</v>
      </c>
      <c r="R101">
        <f t="shared" si="14"/>
        <v>290.48439832087251</v>
      </c>
      <c r="T101">
        <f t="shared" si="15"/>
        <v>81.894069970959194</v>
      </c>
      <c r="U101">
        <f t="shared" si="16"/>
        <v>278.22317801661285</v>
      </c>
      <c r="W101">
        <f t="shared" si="17"/>
        <v>91.938964524992215</v>
      </c>
      <c r="X101">
        <f t="shared" si="18"/>
        <v>302.74561862513218</v>
      </c>
    </row>
    <row r="102" spans="12:24" x14ac:dyDescent="0.25">
      <c r="L102">
        <f>IF(Original!$D$2=0, Original!B102, Original!B101)</f>
        <v>87.780800999999997</v>
      </c>
      <c r="M102">
        <f>IF(Original!$D$2=0, Original!C102, Original!C101)</f>
        <v>290.27028200000001</v>
      </c>
      <c r="N102">
        <f>IF(Original!$D$2=0, Original!D102, Original!D101)</f>
        <v>89.1</v>
      </c>
      <c r="O102">
        <f>IF(Original!$D$2=0, Original!H102, Original!H101)</f>
        <v>5.8808569999999998</v>
      </c>
      <c r="Q102">
        <f t="shared" si="13"/>
        <v>87.928684242010078</v>
      </c>
      <c r="R102">
        <f t="shared" si="14"/>
        <v>290.05368034331946</v>
      </c>
      <c r="T102">
        <f t="shared" si="15"/>
        <v>82.740490421484381</v>
      </c>
      <c r="U102">
        <f t="shared" si="16"/>
        <v>277.86166882426897</v>
      </c>
      <c r="W102">
        <f t="shared" si="17"/>
        <v>93.116878062535775</v>
      </c>
      <c r="X102">
        <f t="shared" si="18"/>
        <v>302.24569186236994</v>
      </c>
    </row>
    <row r="103" spans="12:24" x14ac:dyDescent="0.25">
      <c r="L103">
        <f>IF(Original!$D$2=0, Original!B103, Original!B102)</f>
        <v>88.789957000000001</v>
      </c>
      <c r="M103">
        <f>IF(Original!$D$2=0, Original!C103, Original!C102)</f>
        <v>289.832584</v>
      </c>
      <c r="N103">
        <f>IF(Original!$D$2=0, Original!D103, Original!D102)</f>
        <v>90.2</v>
      </c>
      <c r="O103">
        <f>IF(Original!$D$2=0, Original!H103, Original!H102)</f>
        <v>5.8669830000000003</v>
      </c>
      <c r="Q103">
        <f t="shared" si="13"/>
        <v>88.934778233158127</v>
      </c>
      <c r="R103">
        <f t="shared" si="14"/>
        <v>289.60896146472783</v>
      </c>
      <c r="T103">
        <f t="shared" si="15"/>
        <v>83.577937195576908</v>
      </c>
      <c r="U103">
        <f t="shared" si="16"/>
        <v>277.4901020258992</v>
      </c>
      <c r="W103">
        <f t="shared" si="17"/>
        <v>94.291619270739346</v>
      </c>
      <c r="X103">
        <f t="shared" si="18"/>
        <v>301.72782090355645</v>
      </c>
    </row>
    <row r="104" spans="12:24" x14ac:dyDescent="0.25">
      <c r="L104">
        <f>IF(Original!$D$2=0, Original!B104, Original!B103)</f>
        <v>89.792871000000005</v>
      </c>
      <c r="M104">
        <f>IF(Original!$D$2=0, Original!C104, Original!C103)</f>
        <v>289.38076899999999</v>
      </c>
      <c r="N104">
        <f>IF(Original!$D$2=0, Original!D104, Original!D103)</f>
        <v>91.3</v>
      </c>
      <c r="O104">
        <f>IF(Original!$D$2=0, Original!H104, Original!H103)</f>
        <v>5.8527930000000001</v>
      </c>
      <c r="Q104">
        <f t="shared" si="13"/>
        <v>89.934460585313616</v>
      </c>
      <c r="R104">
        <f t="shared" si="14"/>
        <v>289.15001136418437</v>
      </c>
      <c r="T104">
        <f t="shared" si="15"/>
        <v>84.406198010585484</v>
      </c>
      <c r="U104">
        <f t="shared" si="16"/>
        <v>277.1083830314023</v>
      </c>
      <c r="W104">
        <f t="shared" si="17"/>
        <v>95.462723160041747</v>
      </c>
      <c r="X104">
        <f t="shared" si="18"/>
        <v>301.19163969696643</v>
      </c>
    </row>
    <row r="105" spans="12:24" x14ac:dyDescent="0.25">
      <c r="L105">
        <f>IF(Original!$D$2=0, Original!B105, Original!B104)</f>
        <v>90.789197999999999</v>
      </c>
      <c r="M105">
        <f>IF(Original!$D$2=0, Original!C105, Original!C104)</f>
        <v>288.91461299999997</v>
      </c>
      <c r="N105">
        <f>IF(Original!$D$2=0, Original!D105, Original!D104)</f>
        <v>92.4</v>
      </c>
      <c r="O105">
        <f>IF(Original!$D$2=0, Original!H105, Original!H104)</f>
        <v>5.8382880000000004</v>
      </c>
      <c r="Q105">
        <f t="shared" si="13"/>
        <v>90.927380937441143</v>
      </c>
      <c r="R105">
        <f t="shared" si="14"/>
        <v>288.67660965914837</v>
      </c>
      <c r="T105">
        <f t="shared" si="15"/>
        <v>85.225042217689605</v>
      </c>
      <c r="U105">
        <f t="shared" si="16"/>
        <v>276.71643269033967</v>
      </c>
      <c r="W105">
        <f t="shared" si="17"/>
        <v>96.62971965719268</v>
      </c>
      <c r="X105">
        <f t="shared" si="18"/>
        <v>300.63678662795706</v>
      </c>
    </row>
    <row r="106" spans="12:24" x14ac:dyDescent="0.25">
      <c r="L106">
        <f>IF(Original!$D$2=0, Original!B106, Original!B105)</f>
        <v>91.778588999999997</v>
      </c>
      <c r="M106">
        <f>IF(Original!$D$2=0, Original!C106, Original!C105)</f>
        <v>288.433897</v>
      </c>
      <c r="N106">
        <f>IF(Original!$D$2=0, Original!D106, Original!D105)</f>
        <v>93.5</v>
      </c>
      <c r="O106">
        <f>IF(Original!$D$2=0, Original!H106, Original!H105)</f>
        <v>5.8234709999999996</v>
      </c>
      <c r="Q106">
        <f t="shared" si="13"/>
        <v>91.913178160557905</v>
      </c>
      <c r="R106">
        <f t="shared" si="14"/>
        <v>288.18854835675364</v>
      </c>
      <c r="T106">
        <f t="shared" si="15"/>
        <v>86.034257927166578</v>
      </c>
      <c r="U106">
        <f t="shared" si="16"/>
        <v>276.31417271466523</v>
      </c>
      <c r="W106">
        <f t="shared" si="17"/>
        <v>97.792098393949232</v>
      </c>
      <c r="X106">
        <f t="shared" si="18"/>
        <v>300.06292399884205</v>
      </c>
    </row>
    <row r="107" spans="12:24" x14ac:dyDescent="0.25">
      <c r="L107">
        <f>IF(Original!$D$2=0, Original!B107, Original!B106)</f>
        <v>92.760672</v>
      </c>
      <c r="M107">
        <f>IF(Original!$D$2=0, Original!C107, Original!C106)</f>
        <v>287.938425</v>
      </c>
      <c r="N107">
        <f>IF(Original!$D$2=0, Original!D107, Original!D106)</f>
        <v>94.6</v>
      </c>
      <c r="O107">
        <f>IF(Original!$D$2=0, Original!H107, Original!H106)</f>
        <v>5.8083470000000004</v>
      </c>
      <c r="Q107">
        <f t="shared" si="13"/>
        <v>92.891481484733177</v>
      </c>
      <c r="R107">
        <f t="shared" si="14"/>
        <v>287.68563424290556</v>
      </c>
      <c r="T107">
        <f t="shared" si="15"/>
        <v>86.833652386108696</v>
      </c>
      <c r="U107">
        <f t="shared" si="16"/>
        <v>275.90152601988513</v>
      </c>
      <c r="W107">
        <f t="shared" si="17"/>
        <v>98.949310583357658</v>
      </c>
      <c r="X107">
        <f t="shared" si="18"/>
        <v>299.469742465926</v>
      </c>
    </row>
    <row r="108" spans="12:24" x14ac:dyDescent="0.25">
      <c r="L108">
        <f>IF(Original!$D$2=0, Original!B108, Original!B107)</f>
        <v>93.735069999999993</v>
      </c>
      <c r="M108">
        <f>IF(Original!$D$2=0, Original!C108, Original!C107)</f>
        <v>287.42800799999998</v>
      </c>
      <c r="N108">
        <f>IF(Original!$D$2=0, Original!D108, Original!D107)</f>
        <v>95.7</v>
      </c>
      <c r="O108">
        <f>IF(Original!$D$2=0, Original!H108, Original!H107)</f>
        <v>5.7929190000000004</v>
      </c>
      <c r="Q108">
        <f t="shared" si="13"/>
        <v>93.861909730631695</v>
      </c>
      <c r="R108">
        <f t="shared" si="14"/>
        <v>287.16768731554492</v>
      </c>
      <c r="T108">
        <f t="shared" si="15"/>
        <v>87.623003560151176</v>
      </c>
      <c r="U108">
        <f t="shared" si="16"/>
        <v>275.47843798994921</v>
      </c>
      <c r="W108">
        <f t="shared" si="17"/>
        <v>100.10081590111221</v>
      </c>
      <c r="X108">
        <f t="shared" si="18"/>
        <v>298.85693664114063</v>
      </c>
    </row>
    <row r="109" spans="12:24" x14ac:dyDescent="0.25">
      <c r="L109">
        <f>IF(Original!$D$2=0, Original!B109, Original!B108)</f>
        <v>94.701397999999998</v>
      </c>
      <c r="M109">
        <f>IF(Original!$D$2=0, Original!C109, Original!C108)</f>
        <v>286.90247699999998</v>
      </c>
      <c r="N109">
        <f>IF(Original!$D$2=0, Original!D109, Original!D108)</f>
        <v>96.8</v>
      </c>
      <c r="O109">
        <f>IF(Original!$D$2=0, Original!H109, Original!H108)</f>
        <v>5.7771949999999999</v>
      </c>
      <c r="Q109">
        <f t="shared" si="13"/>
        <v>94.824074150746853</v>
      </c>
      <c r="R109">
        <f t="shared" si="14"/>
        <v>286.63454603158311</v>
      </c>
      <c r="T109">
        <f t="shared" si="15"/>
        <v>88.402145048479497</v>
      </c>
      <c r="U109">
        <f t="shared" si="16"/>
        <v>275.04483824383232</v>
      </c>
      <c r="W109">
        <f t="shared" si="17"/>
        <v>101.24600325301421</v>
      </c>
      <c r="X109">
        <f t="shared" si="18"/>
        <v>298.22425381933391</v>
      </c>
    </row>
    <row r="110" spans="12:24" x14ac:dyDescent="0.25">
      <c r="L110">
        <f>IF(Original!$D$2=0, Original!B110, Original!B109)</f>
        <v>95.659265000000005</v>
      </c>
      <c r="M110">
        <f>IF(Original!$D$2=0, Original!C110, Original!C109)</f>
        <v>286.36167799999998</v>
      </c>
      <c r="N110">
        <f>IF(Original!$D$2=0, Original!D110, Original!D109)</f>
        <v>97.9</v>
      </c>
      <c r="O110">
        <f>IF(Original!$D$2=0, Original!H110, Original!H109)</f>
        <v>5.7611809999999997</v>
      </c>
      <c r="Q110">
        <f t="shared" si="13"/>
        <v>95.777577841221628</v>
      </c>
      <c r="R110">
        <f t="shared" si="14"/>
        <v>286.08606566525174</v>
      </c>
      <c r="T110">
        <f t="shared" si="15"/>
        <v>89.170882519502726</v>
      </c>
      <c r="U110">
        <f t="shared" si="16"/>
        <v>274.60068030271481</v>
      </c>
      <c r="W110">
        <f t="shared" si="17"/>
        <v>102.38427316294053</v>
      </c>
      <c r="X110">
        <f t="shared" si="18"/>
        <v>297.57145102778867</v>
      </c>
    </row>
    <row r="111" spans="12:24" x14ac:dyDescent="0.25">
      <c r="L111">
        <f>IF(Original!$D$2=0, Original!B111, Original!B110)</f>
        <v>96.608269000000007</v>
      </c>
      <c r="M111">
        <f>IF(Original!$D$2=0, Original!C111, Original!C110)</f>
        <v>285.805475</v>
      </c>
      <c r="N111">
        <f>IF(Original!$D$2=0, Original!D111, Original!D110)</f>
        <v>99</v>
      </c>
      <c r="O111">
        <f>IF(Original!$D$2=0, Original!H111, Original!H110)</f>
        <v>5.7448860000000002</v>
      </c>
      <c r="Q111">
        <f t="shared" si="13"/>
        <v>96.722017851947797</v>
      </c>
      <c r="R111">
        <f t="shared" si="14"/>
        <v>285.52212146044104</v>
      </c>
      <c r="T111">
        <f t="shared" si="15"/>
        <v>89.929053566728228</v>
      </c>
      <c r="U111">
        <f t="shared" si="16"/>
        <v>274.14591224033035</v>
      </c>
      <c r="W111">
        <f t="shared" si="17"/>
        <v>103.51498213716737</v>
      </c>
      <c r="X111">
        <f t="shared" si="18"/>
        <v>296.89833068055174</v>
      </c>
    </row>
    <row r="112" spans="12:24" x14ac:dyDescent="0.25">
      <c r="L112">
        <f>IF(Original!$D$2=0, Original!B112, Original!B111)</f>
        <v>97.548006999999998</v>
      </c>
      <c r="M112">
        <f>IF(Original!$D$2=0, Original!C112, Original!C111)</f>
        <v>285.23375600000003</v>
      </c>
      <c r="N112">
        <f>IF(Original!$D$2=0, Original!D112, Original!D111)</f>
        <v>100.1</v>
      </c>
      <c r="O112">
        <f>IF(Original!$D$2=0, Original!H112, Original!H111)</f>
        <v>5.7283200000000001</v>
      </c>
      <c r="Q112">
        <f t="shared" si="13"/>
        <v>97.656986400791141</v>
      </c>
      <c r="R112">
        <f t="shared" si="14"/>
        <v>284.94260975851108</v>
      </c>
      <c r="T112">
        <f t="shared" si="15"/>
        <v>90.676504536634724</v>
      </c>
      <c r="U112">
        <f t="shared" si="16"/>
        <v>273.68048860198894</v>
      </c>
      <c r="W112">
        <f t="shared" si="17"/>
        <v>104.63746826494756</v>
      </c>
      <c r="X112">
        <f t="shared" si="18"/>
        <v>296.20473091503322</v>
      </c>
    </row>
    <row r="113" spans="12:24" x14ac:dyDescent="0.25">
      <c r="L113">
        <f>IF(Original!$D$2=0, Original!B113, Original!B112)</f>
        <v>98.478066999999996</v>
      </c>
      <c r="M113">
        <f>IF(Original!$D$2=0, Original!C113, Original!C112)</f>
        <v>284.64642700000002</v>
      </c>
      <c r="N113">
        <f>IF(Original!$D$2=0, Original!D113, Original!D112)</f>
        <v>101.2</v>
      </c>
      <c r="O113">
        <f>IF(Original!$D$2=0, Original!H113, Original!H112)</f>
        <v>5.7114950000000002</v>
      </c>
      <c r="Q113">
        <f t="shared" si="13"/>
        <v>98.582072792643643</v>
      </c>
      <c r="R113">
        <f t="shared" si="14"/>
        <v>284.34744997525172</v>
      </c>
      <c r="T113">
        <f t="shared" si="15"/>
        <v>91.413102676110384</v>
      </c>
      <c r="U113">
        <f t="shared" si="16"/>
        <v>273.20436389157396</v>
      </c>
      <c r="W113">
        <f t="shared" si="17"/>
        <v>105.7510429091769</v>
      </c>
      <c r="X113">
        <f t="shared" si="18"/>
        <v>295.49053605892948</v>
      </c>
    </row>
    <row r="114" spans="12:24" x14ac:dyDescent="0.25">
      <c r="L114">
        <f>IF(Original!$D$2=0, Original!B114, Original!B113)</f>
        <v>99.398038999999997</v>
      </c>
      <c r="M114">
        <f>IF(Original!$D$2=0, Original!C114, Original!C113)</f>
        <v>284.04341899999997</v>
      </c>
      <c r="N114">
        <f>IF(Original!$D$2=0, Original!D114, Original!D113)</f>
        <v>102.3</v>
      </c>
      <c r="O114">
        <f>IF(Original!$D$2=0, Original!H114, Original!H113)</f>
        <v>5.6944229999999996</v>
      </c>
      <c r="Q114">
        <f t="shared" si="13"/>
        <v>99.496864303811108</v>
      </c>
      <c r="R114">
        <f t="shared" si="14"/>
        <v>283.73658461275693</v>
      </c>
      <c r="T114">
        <f t="shared" si="15"/>
        <v>92.138713346487137</v>
      </c>
      <c r="U114">
        <f t="shared" si="16"/>
        <v>272.71750504642142</v>
      </c>
      <c r="W114">
        <f t="shared" si="17"/>
        <v>106.85501526113508</v>
      </c>
      <c r="X114">
        <f t="shared" si="18"/>
        <v>294.75566417909243</v>
      </c>
    </row>
    <row r="115" spans="12:24" x14ac:dyDescent="0.25">
      <c r="L115">
        <f>IF(Original!$D$2=0, Original!B115, Original!B114)</f>
        <v>100.30750999999999</v>
      </c>
      <c r="M115">
        <f>IF(Original!$D$2=0, Original!C115, Original!C114)</f>
        <v>283.42468600000001</v>
      </c>
      <c r="N115">
        <f>IF(Original!$D$2=0, Original!D115, Original!D114)</f>
        <v>103.4</v>
      </c>
      <c r="O115">
        <f>IF(Original!$D$2=0, Original!H115, Original!H114)</f>
        <v>5.677117</v>
      </c>
      <c r="Q115">
        <f t="shared" si="13"/>
        <v>100.40094772117546</v>
      </c>
      <c r="R115">
        <f t="shared" si="14"/>
        <v>283.10998013268454</v>
      </c>
      <c r="T115">
        <f t="shared" si="15"/>
        <v>92.853211938485074</v>
      </c>
      <c r="U115">
        <f t="shared" si="16"/>
        <v>272.21988442352313</v>
      </c>
      <c r="W115">
        <f t="shared" si="17"/>
        <v>107.94868350386584</v>
      </c>
      <c r="X115">
        <f t="shared" si="18"/>
        <v>294.00007584184596</v>
      </c>
    </row>
    <row r="116" spans="12:24" x14ac:dyDescent="0.25">
      <c r="L116">
        <f>IF(Original!$D$2=0, Original!B116, Original!B115)</f>
        <v>101.206068</v>
      </c>
      <c r="M116">
        <f>IF(Original!$D$2=0, Original!C116, Original!C115)</f>
        <v>282.790209</v>
      </c>
      <c r="N116">
        <f>IF(Original!$D$2=0, Original!D116, Original!D115)</f>
        <v>104.5</v>
      </c>
      <c r="O116">
        <f>IF(Original!$D$2=0, Original!H116, Original!H115)</f>
        <v>5.6595940000000002</v>
      </c>
      <c r="Q116">
        <f t="shared" si="13"/>
        <v>101.29391291178361</v>
      </c>
      <c r="R116">
        <f t="shared" si="14"/>
        <v>282.46763040834264</v>
      </c>
      <c r="T116">
        <f t="shared" si="15"/>
        <v>93.556518504937827</v>
      </c>
      <c r="U116">
        <f t="shared" si="16"/>
        <v>271.7114587941989</v>
      </c>
      <c r="W116">
        <f t="shared" si="17"/>
        <v>109.03130731862939</v>
      </c>
      <c r="X116">
        <f t="shared" si="18"/>
        <v>293.22380202248638</v>
      </c>
    </row>
    <row r="117" spans="12:24" x14ac:dyDescent="0.25">
      <c r="L117">
        <f>IF(Original!$D$2=0, Original!B117, Original!B116)</f>
        <v>102.09330300000001</v>
      </c>
      <c r="M117">
        <f>IF(Original!$D$2=0, Original!C117, Original!C116)</f>
        <v>282.139995</v>
      </c>
      <c r="N117">
        <f>IF(Original!$D$2=0, Original!D117, Original!D116)</f>
        <v>105.6</v>
      </c>
      <c r="O117">
        <f>IF(Original!$D$2=0, Original!H117, Original!H116)</f>
        <v>5.6418699999999999</v>
      </c>
      <c r="Q117">
        <f t="shared" si="13"/>
        <v>102.17535343750011</v>
      </c>
      <c r="R117">
        <f t="shared" si="14"/>
        <v>281.8095554888809</v>
      </c>
      <c r="T117">
        <f t="shared" si="15"/>
        <v>94.24854190761971</v>
      </c>
      <c r="U117">
        <f t="shared" si="16"/>
        <v>271.19220370184121</v>
      </c>
      <c r="W117">
        <f t="shared" si="17"/>
        <v>110.1021649673805</v>
      </c>
      <c r="X117">
        <f t="shared" si="18"/>
        <v>292.4269072759206</v>
      </c>
    </row>
    <row r="118" spans="12:24" x14ac:dyDescent="0.25">
      <c r="L118">
        <f>IF(Original!$D$2=0, Original!B118, Original!B117)</f>
        <v>102.968813</v>
      </c>
      <c r="M118">
        <f>IF(Original!$D$2=0, Original!C118, Original!C117)</f>
        <v>281.47407600000003</v>
      </c>
      <c r="N118">
        <f>IF(Original!$D$2=0, Original!D118, Original!D117)</f>
        <v>106.7</v>
      </c>
      <c r="O118">
        <f>IF(Original!$D$2=0, Original!H118, Original!H117)</f>
        <v>5.6239610000000004</v>
      </c>
      <c r="Q118">
        <f t="shared" si="13"/>
        <v>103.04486778003313</v>
      </c>
      <c r="R118">
        <f t="shared" si="14"/>
        <v>281.13580122497649</v>
      </c>
      <c r="T118">
        <f t="shared" si="15"/>
        <v>94.929191419366404</v>
      </c>
      <c r="U118">
        <f t="shared" si="16"/>
        <v>270.66210573537421</v>
      </c>
      <c r="W118">
        <f t="shared" si="17"/>
        <v>111.16054414069986</v>
      </c>
      <c r="X118">
        <f t="shared" si="18"/>
        <v>291.60949671457877</v>
      </c>
    </row>
    <row r="119" spans="12:24" x14ac:dyDescent="0.25">
      <c r="L119">
        <f>IF(Original!$D$2=0, Original!B119, Original!B118)</f>
        <v>103.832201</v>
      </c>
      <c r="M119">
        <f>IF(Original!$D$2=0, Original!C119, Original!C118)</f>
        <v>280.79251299999999</v>
      </c>
      <c r="N119">
        <f>IF(Original!$D$2=0, Original!D119, Original!D118)</f>
        <v>107.8</v>
      </c>
      <c r="O119">
        <f>IF(Original!$D$2=0, Original!H119, Original!H118)</f>
        <v>5.6058880000000002</v>
      </c>
      <c r="Q119">
        <f t="shared" si="13"/>
        <v>103.90206402231622</v>
      </c>
      <c r="R119">
        <f t="shared" si="14"/>
        <v>280.44644311614212</v>
      </c>
      <c r="T119">
        <f t="shared" si="15"/>
        <v>95.598432256811009</v>
      </c>
      <c r="U119">
        <f t="shared" si="16"/>
        <v>270.12112474318661</v>
      </c>
      <c r="W119">
        <f t="shared" si="17"/>
        <v>112.20569578782144</v>
      </c>
      <c r="X119">
        <f t="shared" si="18"/>
        <v>290.77176148909763</v>
      </c>
    </row>
    <row r="120" spans="12:24" x14ac:dyDescent="0.25">
      <c r="L120">
        <f>IF(Original!$D$2=0, Original!B120, Original!B119)</f>
        <v>104.68307900000001</v>
      </c>
      <c r="M120">
        <f>IF(Original!$D$2=0, Original!C120, Original!C119)</f>
        <v>280.095394</v>
      </c>
      <c r="N120">
        <f>IF(Original!$D$2=0, Original!D120, Original!D119)</f>
        <v>108.9</v>
      </c>
      <c r="O120">
        <f>IF(Original!$D$2=0, Original!H120, Original!H119)</f>
        <v>5.5876700000000001</v>
      </c>
      <c r="Q120">
        <f t="shared" si="13"/>
        <v>104.74655998739485</v>
      </c>
      <c r="R120">
        <f t="shared" si="14"/>
        <v>279.74158386425847</v>
      </c>
      <c r="T120">
        <f t="shared" si="15"/>
        <v>96.256209907887552</v>
      </c>
      <c r="U120">
        <f t="shared" si="16"/>
        <v>269.56924610308425</v>
      </c>
      <c r="W120">
        <f t="shared" si="17"/>
        <v>113.23691006690214</v>
      </c>
      <c r="X120">
        <f t="shared" si="18"/>
        <v>289.91392162543269</v>
      </c>
    </row>
    <row r="121" spans="12:24" x14ac:dyDescent="0.25">
      <c r="L121">
        <f>IF(Original!$D$2=0, Original!B121, Original!B120)</f>
        <v>105.521068</v>
      </c>
      <c r="M121">
        <f>IF(Original!$D$2=0, Original!C121, Original!C120)</f>
        <v>279.38283899999999</v>
      </c>
      <c r="N121">
        <f>IF(Original!$D$2=0, Original!D121, Original!D120)</f>
        <v>110</v>
      </c>
      <c r="O121">
        <f>IF(Original!$D$2=0, Original!H121, Original!H120)</f>
        <v>5.5693270000000004</v>
      </c>
      <c r="Q121">
        <f t="shared" si="13"/>
        <v>105.57798537628643</v>
      </c>
      <c r="R121">
        <f t="shared" si="14"/>
        <v>279.02135346868602</v>
      </c>
      <c r="T121">
        <f t="shared" si="15"/>
        <v>96.902482884163561</v>
      </c>
      <c r="U121">
        <f t="shared" si="16"/>
        <v>269.00645673885549</v>
      </c>
      <c r="W121">
        <f t="shared" si="17"/>
        <v>114.25348786840931</v>
      </c>
      <c r="X121">
        <f t="shared" si="18"/>
        <v>289.03625019851654</v>
      </c>
    </row>
    <row r="122" spans="12:24" x14ac:dyDescent="0.25">
      <c r="L122">
        <f>IF(Original!$D$2=0, Original!B122, Original!B121)</f>
        <v>106.34580800000001</v>
      </c>
      <c r="M122">
        <f>IF(Original!$D$2=0, Original!C122, Original!C121)</f>
        <v>278.65499</v>
      </c>
      <c r="N122">
        <f>IF(Original!$D$2=0, Original!D122, Original!D121)</f>
        <v>111.1</v>
      </c>
      <c r="O122">
        <f>IF(Original!$D$2=0, Original!H122, Original!H121)</f>
        <v>5.5508819999999996</v>
      </c>
      <c r="Q122">
        <f t="shared" si="13"/>
        <v>106.39598543985633</v>
      </c>
      <c r="R122">
        <f t="shared" si="14"/>
        <v>278.28591081558545</v>
      </c>
      <c r="T122">
        <f t="shared" si="15"/>
        <v>97.537244391144696</v>
      </c>
      <c r="U122">
        <f t="shared" si="16"/>
        <v>268.43272823167524</v>
      </c>
      <c r="W122">
        <f t="shared" si="17"/>
        <v>115.25472648856797</v>
      </c>
      <c r="X122">
        <f t="shared" si="18"/>
        <v>288.13909339949566</v>
      </c>
    </row>
    <row r="123" spans="12:24" x14ac:dyDescent="0.25">
      <c r="L123">
        <f>IF(Original!$D$2=0, Original!B123, Original!B122)</f>
        <v>107.15695100000001</v>
      </c>
      <c r="M123">
        <f>IF(Original!$D$2=0, Original!C123, Original!C122)</f>
        <v>277.91201999999998</v>
      </c>
      <c r="N123">
        <f>IF(Original!$D$2=0, Original!D123, Original!D122)</f>
        <v>112.2</v>
      </c>
      <c r="O123">
        <f>IF(Original!$D$2=0, Original!H123, Original!H122)</f>
        <v>5.5323560000000001</v>
      </c>
      <c r="Q123">
        <f t="shared" si="13"/>
        <v>107.20022110220889</v>
      </c>
      <c r="R123">
        <f t="shared" si="14"/>
        <v>277.53544096315943</v>
      </c>
      <c r="T123">
        <f t="shared" si="15"/>
        <v>98.160470607077031</v>
      </c>
      <c r="U123">
        <f t="shared" si="16"/>
        <v>267.84805684845833</v>
      </c>
      <c r="W123">
        <f t="shared" si="17"/>
        <v>116.23997159734074</v>
      </c>
      <c r="X123">
        <f t="shared" si="18"/>
        <v>287.22282507786053</v>
      </c>
    </row>
    <row r="124" spans="12:24" x14ac:dyDescent="0.25">
      <c r="L124">
        <f>IF(Original!$D$2=0, Original!B124, Original!B123)</f>
        <v>107.954168</v>
      </c>
      <c r="M124">
        <f>IF(Original!$D$2=0, Original!C124, Original!C123)</f>
        <v>277.15412500000002</v>
      </c>
      <c r="N124">
        <f>IF(Original!$D$2=0, Original!D124, Original!D123)</f>
        <v>113.3</v>
      </c>
      <c r="O124">
        <f>IF(Original!$D$2=0, Original!H124, Original!H123)</f>
        <v>5.5137720000000003</v>
      </c>
      <c r="Q124">
        <f t="shared" si="13"/>
        <v>107.99037196214533</v>
      </c>
      <c r="R124">
        <f t="shared" si="14"/>
        <v>276.77015564477045</v>
      </c>
      <c r="T124">
        <f t="shared" si="15"/>
        <v>98.772162445187433</v>
      </c>
      <c r="U124">
        <f t="shared" si="16"/>
        <v>267.25242937735413</v>
      </c>
      <c r="W124">
        <f t="shared" si="17"/>
        <v>117.20858147910323</v>
      </c>
      <c r="X124">
        <f t="shared" si="18"/>
        <v>286.28788191218678</v>
      </c>
    </row>
    <row r="125" spans="12:24" x14ac:dyDescent="0.25">
      <c r="L125">
        <f>IF(Original!$D$2=0, Original!B125, Original!B124)</f>
        <v>108.737148</v>
      </c>
      <c r="M125">
        <f>IF(Original!$D$2=0, Original!C125, Original!C124)</f>
        <v>276.381531</v>
      </c>
      <c r="N125">
        <f>IF(Original!$D$2=0, Original!D125, Original!D124)</f>
        <v>114.4</v>
      </c>
      <c r="O125">
        <f>IF(Original!$D$2=0, Original!H125, Original!H124)</f>
        <v>5.495152</v>
      </c>
      <c r="Q125">
        <f t="shared" si="13"/>
        <v>108.7661370624072</v>
      </c>
      <c r="R125">
        <f t="shared" si="14"/>
        <v>275.9902912275698</v>
      </c>
      <c r="T125">
        <f t="shared" si="15"/>
        <v>99.372315673399413</v>
      </c>
      <c r="U125">
        <f t="shared" si="16"/>
        <v>266.64584797441557</v>
      </c>
      <c r="W125">
        <f t="shared" si="17"/>
        <v>118.15995845141498</v>
      </c>
      <c r="X125">
        <f t="shared" si="18"/>
        <v>285.33473448072402</v>
      </c>
    </row>
    <row r="126" spans="12:24" x14ac:dyDescent="0.25">
      <c r="L126">
        <f>IF(Original!$D$2=0, Original!B126, Original!B125)</f>
        <v>109.50560299999999</v>
      </c>
      <c r="M126">
        <f>IF(Original!$D$2=0, Original!C126, Original!C125)</f>
        <v>275.59448500000002</v>
      </c>
      <c r="N126">
        <f>IF(Original!$D$2=0, Original!D126, Original!D125)</f>
        <v>115.5</v>
      </c>
      <c r="O126">
        <f>IF(Original!$D$2=0, Original!H126, Original!H125)</f>
        <v>5.4765199999999998</v>
      </c>
      <c r="Q126">
        <f t="shared" si="13"/>
        <v>109.52723791945908</v>
      </c>
      <c r="R126">
        <f t="shared" si="14"/>
        <v>275.19610895290305</v>
      </c>
      <c r="T126">
        <f t="shared" si="15"/>
        <v>99.960951429154903</v>
      </c>
      <c r="U126">
        <f t="shared" si="16"/>
        <v>266.02830317477793</v>
      </c>
      <c r="W126">
        <f t="shared" si="17"/>
        <v>119.09352440976326</v>
      </c>
      <c r="X126">
        <f t="shared" si="18"/>
        <v>284.36391473102816</v>
      </c>
    </row>
    <row r="127" spans="12:24" x14ac:dyDescent="0.25">
      <c r="L127">
        <f>IF(Original!$D$2=0, Original!B127, Original!B126)</f>
        <v>110.25926800000001</v>
      </c>
      <c r="M127">
        <f>IF(Original!$D$2=0, Original!C127, Original!C126)</f>
        <v>274.79325799999998</v>
      </c>
      <c r="N127">
        <f>IF(Original!$D$2=0, Original!D127, Original!D126)</f>
        <v>116.6</v>
      </c>
      <c r="O127">
        <f>IF(Original!$D$2=0, Original!H127, Original!H126)</f>
        <v>5.4579000000000004</v>
      </c>
      <c r="Q127">
        <f t="shared" si="13"/>
        <v>110.27342002233775</v>
      </c>
      <c r="R127">
        <f t="shared" si="14"/>
        <v>274.38789346842901</v>
      </c>
      <c r="T127">
        <f t="shared" si="15"/>
        <v>100.53809714117337</v>
      </c>
      <c r="U127">
        <f t="shared" si="16"/>
        <v>265.39979086557241</v>
      </c>
      <c r="W127">
        <f t="shared" si="17"/>
        <v>120.00874290350212</v>
      </c>
      <c r="X127">
        <f t="shared" si="18"/>
        <v>283.37599607128561</v>
      </c>
    </row>
    <row r="128" spans="12:24" x14ac:dyDescent="0.25">
      <c r="L128">
        <f>IF(Original!$D$2=0, Original!B128, Original!B127)</f>
        <v>110.997891</v>
      </c>
      <c r="M128">
        <f>IF(Original!$D$2=0, Original!C128, Original!C127)</f>
        <v>273.97815400000002</v>
      </c>
      <c r="N128">
        <f>IF(Original!$D$2=0, Original!D128, Original!D127)</f>
        <v>117.7</v>
      </c>
      <c r="O128">
        <f>IF(Original!$D$2=0, Original!H128, Original!H127)</f>
        <v>5.4393130000000003</v>
      </c>
      <c r="Q128">
        <f t="shared" si="13"/>
        <v>111.00445179846147</v>
      </c>
      <c r="R128">
        <f t="shared" si="14"/>
        <v>273.56594910151762</v>
      </c>
      <c r="T128">
        <f t="shared" si="15"/>
        <v>101.10375828793769</v>
      </c>
      <c r="U128">
        <f t="shared" si="16"/>
        <v>264.76033907093642</v>
      </c>
      <c r="W128">
        <f t="shared" si="17"/>
        <v>120.90514530898525</v>
      </c>
      <c r="X128">
        <f t="shared" si="18"/>
        <v>282.37155913209881</v>
      </c>
    </row>
    <row r="129" spans="12:24" x14ac:dyDescent="0.25">
      <c r="L129">
        <f>IF(Original!$D$2=0, Original!B129, Original!B128)</f>
        <v>111.721255</v>
      </c>
      <c r="M129">
        <f>IF(Original!$D$2=0, Original!C129, Original!C128)</f>
        <v>273.14948600000002</v>
      </c>
      <c r="N129">
        <f>IF(Original!$D$2=0, Original!D129, Original!D128)</f>
        <v>118.8</v>
      </c>
      <c r="O129">
        <f>IF(Original!$D$2=0, Original!H129, Original!H128)</f>
        <v>5.420782</v>
      </c>
      <c r="Q129">
        <f t="shared" si="13"/>
        <v>111.72012748142969</v>
      </c>
      <c r="R129">
        <f t="shared" si="14"/>
        <v>272.73059988304192</v>
      </c>
      <c r="T129">
        <f t="shared" si="15"/>
        <v>101.65796644069952</v>
      </c>
      <c r="U129">
        <f t="shared" si="16"/>
        <v>264.10996097456115</v>
      </c>
      <c r="W129">
        <f t="shared" si="17"/>
        <v>121.78228852215985</v>
      </c>
      <c r="X129">
        <f t="shared" si="18"/>
        <v>281.35123879152269</v>
      </c>
    </row>
    <row r="130" spans="12:24" x14ac:dyDescent="0.25">
      <c r="L130">
        <f>IF(Original!$D$2=0, Original!B130, Original!B129)</f>
        <v>112.429177</v>
      </c>
      <c r="M130">
        <f>IF(Original!$D$2=0, Original!C130, Original!C129)</f>
        <v>272.30757699999998</v>
      </c>
      <c r="N130">
        <f>IF(Original!$D$2=0, Original!D130, Original!D129)</f>
        <v>119.9</v>
      </c>
      <c r="O130">
        <f>IF(Original!$D$2=0, Original!H130, Original!H129)</f>
        <v>5.4023300000000001</v>
      </c>
      <c r="Q130">
        <f t="shared" si="13"/>
        <v>112.42026834343069</v>
      </c>
      <c r="R130">
        <f t="shared" si="14"/>
        <v>271.88218797049205</v>
      </c>
      <c r="T130">
        <f t="shared" si="15"/>
        <v>102.20076121498931</v>
      </c>
      <c r="U130">
        <f t="shared" si="16"/>
        <v>263.44867304184362</v>
      </c>
      <c r="W130">
        <f t="shared" si="17"/>
        <v>122.63977547187207</v>
      </c>
      <c r="X130">
        <f t="shared" si="18"/>
        <v>280.31570289914049</v>
      </c>
    </row>
    <row r="131" spans="12:24" x14ac:dyDescent="0.25">
      <c r="L131">
        <f>IF(Original!$D$2=0, Original!B131, Original!B130)</f>
        <v>113.121493</v>
      </c>
      <c r="M131">
        <f>IF(Original!$D$2=0, Original!C131, Original!C130)</f>
        <v>271.45277099999998</v>
      </c>
      <c r="N131">
        <f>IF(Original!$D$2=0, Original!D131, Original!D130)</f>
        <v>121</v>
      </c>
      <c r="O131">
        <f>IF(Original!$D$2=0, Original!H131, Original!H130)</f>
        <v>5.3839769999999998</v>
      </c>
      <c r="Q131">
        <f t="shared" si="13"/>
        <v>113.10472126389047</v>
      </c>
      <c r="R131">
        <f t="shared" si="14"/>
        <v>271.02106997644358</v>
      </c>
      <c r="T131">
        <f t="shared" si="15"/>
        <v>102.73216360830644</v>
      </c>
      <c r="U131">
        <f t="shared" si="16"/>
        <v>262.77652343454179</v>
      </c>
      <c r="W131">
        <f t="shared" si="17"/>
        <v>123.4772789194745</v>
      </c>
      <c r="X131">
        <f t="shared" si="18"/>
        <v>279.26561651834538</v>
      </c>
    </row>
    <row r="132" spans="12:24" x14ac:dyDescent="0.25">
      <c r="L132">
        <f>IF(Original!$D$2=0, Original!B132, Original!B131)</f>
        <v>113.79803800000001</v>
      </c>
      <c r="M132">
        <f>IF(Original!$D$2=0, Original!C132, Original!C131)</f>
        <v>270.58546799999999</v>
      </c>
      <c r="N132">
        <f>IF(Original!$D$2=0, Original!D132, Original!D131)</f>
        <v>122.1</v>
      </c>
      <c r="O132">
        <f>IF(Original!$D$2=0, Original!H132, Original!H131)</f>
        <v>5.3657450000000004</v>
      </c>
      <c r="Q132">
        <f t="shared" si="13"/>
        <v>113.77336139594078</v>
      </c>
      <c r="R132">
        <f t="shared" si="14"/>
        <v>270.14761684443721</v>
      </c>
      <c r="T132">
        <f t="shared" si="15"/>
        <v>103.25222139677317</v>
      </c>
      <c r="U132">
        <f t="shared" si="16"/>
        <v>262.09354252655839</v>
      </c>
      <c r="W132">
        <f t="shared" si="17"/>
        <v>124.2945013951084</v>
      </c>
      <c r="X132">
        <f t="shared" si="18"/>
        <v>278.20169116231602</v>
      </c>
    </row>
    <row r="133" spans="12:24" x14ac:dyDescent="0.25">
      <c r="L133">
        <f>IF(Original!$D$2=0, Original!B133, Original!B132)</f>
        <v>114.458731</v>
      </c>
      <c r="M133">
        <f>IF(Original!$D$2=0, Original!C133, Original!C132)</f>
        <v>269.706005</v>
      </c>
      <c r="N133">
        <f>IF(Original!$D$2=0, Original!D133, Original!D132)</f>
        <v>123.2</v>
      </c>
      <c r="O133">
        <f>IF(Original!$D$2=0, Original!H133, Original!H132)</f>
        <v>5.3476530000000002</v>
      </c>
      <c r="Q133">
        <f t="shared" ref="Q133:Q196" si="19">Q132 + ($N133-$N132)*COS($O133)</f>
        <v>114.4260904491795</v>
      </c>
      <c r="R133">
        <f t="shared" ref="R133:R196" si="20">R132 + ($N133-$N132)*SIN($O133)</f>
        <v>269.26221028072871</v>
      </c>
      <c r="T133">
        <f t="shared" si="15"/>
        <v>103.76096593178158</v>
      </c>
      <c r="U133">
        <f t="shared" si="16"/>
        <v>261.39979213944434</v>
      </c>
      <c r="W133">
        <f t="shared" si="17"/>
        <v>125.09121496657741</v>
      </c>
      <c r="X133">
        <f t="shared" si="18"/>
        <v>277.12462842201307</v>
      </c>
    </row>
    <row r="134" spans="12:24" x14ac:dyDescent="0.25">
      <c r="L134">
        <f>IF(Original!$D$2=0, Original!B134, Original!B133)</f>
        <v>115.10347299999999</v>
      </c>
      <c r="M134">
        <f>IF(Original!$D$2=0, Original!C134, Original!C133)</f>
        <v>268.81478299999998</v>
      </c>
      <c r="N134">
        <f>IF(Original!$D$2=0, Original!D134, Original!D133)</f>
        <v>124.3</v>
      </c>
      <c r="O134">
        <f>IF(Original!$D$2=0, Original!H134, Original!H133)</f>
        <v>5.3297189999999999</v>
      </c>
      <c r="Q134">
        <f t="shared" si="19"/>
        <v>115.06283650700125</v>
      </c>
      <c r="R134">
        <f t="shared" si="20"/>
        <v>268.36524068378105</v>
      </c>
      <c r="T134">
        <f t="shared" ref="T134:T197" si="21">Q134 + $B$10/2 * SIN($O134)</f>
        <v>104.25842999831352</v>
      </c>
      <c r="U134">
        <f t="shared" ref="U134:U197" si="22">R134 - $B$10/2 * COS($O134)</f>
        <v>260.69534498729166</v>
      </c>
      <c r="W134">
        <f t="shared" ref="W134:W197" si="23">Q134 - $B$10/2 * SIN($O134)</f>
        <v>125.86724301568898</v>
      </c>
      <c r="X134">
        <f t="shared" ref="X134:X197" si="24">R134 + $B$10/2 * COS($O134)</f>
        <v>276.03513638027044</v>
      </c>
    </row>
    <row r="135" spans="12:24" x14ac:dyDescent="0.25">
      <c r="L135">
        <f>IF(Original!$D$2=0, Original!B135, Original!B134)</f>
        <v>115.732204</v>
      </c>
      <c r="M135">
        <f>IF(Original!$D$2=0, Original!C135, Original!C134)</f>
        <v>267.91220299999998</v>
      </c>
      <c r="N135">
        <f>IF(Original!$D$2=0, Original!D135, Original!D134)</f>
        <v>125.4</v>
      </c>
      <c r="O135">
        <f>IF(Original!$D$2=0, Original!H135, Original!H134)</f>
        <v>5.3119610000000002</v>
      </c>
      <c r="Q135">
        <f t="shared" si="19"/>
        <v>115.68355462066511</v>
      </c>
      <c r="R135">
        <f t="shared" si="20"/>
        <v>267.45710576904116</v>
      </c>
      <c r="T135">
        <f t="shared" si="21"/>
        <v>104.74465678402572</v>
      </c>
      <c r="U135">
        <f t="shared" si="22"/>
        <v>259.98027394536302</v>
      </c>
      <c r="W135">
        <f t="shared" si="23"/>
        <v>126.62245245730449</v>
      </c>
      <c r="X135">
        <f t="shared" si="24"/>
        <v>274.9339375927193</v>
      </c>
    </row>
    <row r="136" spans="12:24" x14ac:dyDescent="0.25">
      <c r="L136">
        <f>IF(Original!$D$2=0, Original!B136, Original!B135)</f>
        <v>116.34490099999999</v>
      </c>
      <c r="M136">
        <f>IF(Original!$D$2=0, Original!C136, Original!C135)</f>
        <v>266.99865</v>
      </c>
      <c r="N136">
        <f>IF(Original!$D$2=0, Original!D136, Original!D135)</f>
        <v>126.5</v>
      </c>
      <c r="O136">
        <f>IF(Original!$D$2=0, Original!H136, Original!H135)</f>
        <v>5.2943949999999997</v>
      </c>
      <c r="Q136">
        <f t="shared" si="19"/>
        <v>116.28822549350902</v>
      </c>
      <c r="R136">
        <f t="shared" si="20"/>
        <v>266.53820798607825</v>
      </c>
      <c r="T136">
        <f t="shared" si="21"/>
        <v>105.21968401691021</v>
      </c>
      <c r="U136">
        <f t="shared" si="22"/>
        <v>259.25467247227647</v>
      </c>
      <c r="W136">
        <f t="shared" si="23"/>
        <v>127.35676697010783</v>
      </c>
      <c r="X136">
        <f t="shared" si="24"/>
        <v>273.82174349988003</v>
      </c>
    </row>
    <row r="137" spans="12:24" x14ac:dyDescent="0.25">
      <c r="L137">
        <f>IF(Original!$D$2=0, Original!B137, Original!B136)</f>
        <v>116.941547</v>
      </c>
      <c r="M137">
        <f>IF(Original!$D$2=0, Original!C137, Original!C136)</f>
        <v>266.07454200000001</v>
      </c>
      <c r="N137">
        <f>IF(Original!$D$2=0, Original!D137, Original!D136)</f>
        <v>127.6</v>
      </c>
      <c r="O137">
        <f>IF(Original!$D$2=0, Original!H137, Original!H136)</f>
        <v>5.2770359999999998</v>
      </c>
      <c r="Q137">
        <f t="shared" si="19"/>
        <v>116.87685491890751</v>
      </c>
      <c r="R137">
        <f t="shared" si="20"/>
        <v>265.60895269308548</v>
      </c>
      <c r="T137">
        <f t="shared" si="21"/>
        <v>105.68355252604039</v>
      </c>
      <c r="U137">
        <f t="shared" si="22"/>
        <v>258.51864370533076</v>
      </c>
      <c r="W137">
        <f t="shared" si="23"/>
        <v>128.07015731177464</v>
      </c>
      <c r="X137">
        <f t="shared" si="24"/>
        <v>272.69926168084021</v>
      </c>
    </row>
    <row r="138" spans="12:24" x14ac:dyDescent="0.25">
      <c r="L138">
        <f>IF(Original!$D$2=0, Original!B138, Original!B137)</f>
        <v>117.522164</v>
      </c>
      <c r="M138">
        <f>IF(Original!$D$2=0, Original!C138, Original!C137)</f>
        <v>265.14028500000001</v>
      </c>
      <c r="N138">
        <f>IF(Original!$D$2=0, Original!D138, Original!D137)</f>
        <v>128.69999999999999</v>
      </c>
      <c r="O138">
        <f>IF(Original!$D$2=0, Original!H138, Original!H137)</f>
        <v>5.2598989999999999</v>
      </c>
      <c r="Q138">
        <f t="shared" si="19"/>
        <v>117.44947404450978</v>
      </c>
      <c r="R138">
        <f t="shared" si="20"/>
        <v>264.6697469983655</v>
      </c>
      <c r="T138">
        <f t="shared" si="21"/>
        <v>106.13631453992792</v>
      </c>
      <c r="U138">
        <f t="shared" si="22"/>
        <v>257.77228934906537</v>
      </c>
      <c r="W138">
        <f t="shared" si="23"/>
        <v>128.76263354909165</v>
      </c>
      <c r="X138">
        <f t="shared" si="24"/>
        <v>271.56720464766562</v>
      </c>
    </row>
    <row r="139" spans="12:24" x14ac:dyDescent="0.25">
      <c r="L139">
        <f>IF(Original!$D$2=0, Original!B139, Original!B138)</f>
        <v>118.086808</v>
      </c>
      <c r="M139">
        <f>IF(Original!$D$2=0, Original!C139, Original!C138)</f>
        <v>264.196257</v>
      </c>
      <c r="N139">
        <f>IF(Original!$D$2=0, Original!D139, Original!D138)</f>
        <v>129.80000000000001</v>
      </c>
      <c r="O139">
        <f>IF(Original!$D$2=0, Original!H139, Original!H138)</f>
        <v>5.2429940000000004</v>
      </c>
      <c r="Q139">
        <f t="shared" si="19"/>
        <v>118.00613483474477</v>
      </c>
      <c r="R139">
        <f t="shared" si="20"/>
        <v>263.72099583783131</v>
      </c>
      <c r="T139">
        <f t="shared" si="21"/>
        <v>106.5779958555829</v>
      </c>
      <c r="U139">
        <f t="shared" si="22"/>
        <v>257.01576359181917</v>
      </c>
      <c r="W139">
        <f t="shared" si="23"/>
        <v>129.43427381390666</v>
      </c>
      <c r="X139">
        <f t="shared" si="24"/>
        <v>270.42622808384345</v>
      </c>
    </row>
    <row r="140" spans="12:24" x14ac:dyDescent="0.25">
      <c r="L140">
        <f>IF(Original!$D$2=0, Original!B140, Original!B139)</f>
        <v>118.63551200000001</v>
      </c>
      <c r="M140">
        <f>IF(Original!$D$2=0, Original!C140, Original!C139)</f>
        <v>263.24291399999998</v>
      </c>
      <c r="N140">
        <f>IF(Original!$D$2=0, Original!D140, Original!D139)</f>
        <v>130.9</v>
      </c>
      <c r="O140">
        <f>IF(Original!$D$2=0, Original!H140, Original!H139)</f>
        <v>5.2263339999999996</v>
      </c>
      <c r="Q140">
        <f t="shared" si="19"/>
        <v>118.54691291144503</v>
      </c>
      <c r="R140">
        <f t="shared" si="20"/>
        <v>262.7631028000863</v>
      </c>
      <c r="T140">
        <f t="shared" si="21"/>
        <v>107.00865586588014</v>
      </c>
      <c r="U140">
        <f t="shared" si="22"/>
        <v>256.24918505801492</v>
      </c>
      <c r="W140">
        <f t="shared" si="23"/>
        <v>130.08516995700992</v>
      </c>
      <c r="X140">
        <f t="shared" si="24"/>
        <v>269.27702054215769</v>
      </c>
    </row>
    <row r="141" spans="12:24" x14ac:dyDescent="0.25">
      <c r="L141">
        <f>IF(Original!$D$2=0, Original!B141, Original!B140)</f>
        <v>119.168384</v>
      </c>
      <c r="M141">
        <f>IF(Original!$D$2=0, Original!C141, Original!C140)</f>
        <v>262.28062599999998</v>
      </c>
      <c r="N141">
        <f>IF(Original!$D$2=0, Original!D141, Original!D140)</f>
        <v>132</v>
      </c>
      <c r="O141">
        <f>IF(Original!$D$2=0, Original!H141, Original!H140)</f>
        <v>5.2099289999999998</v>
      </c>
      <c r="Q141">
        <f t="shared" si="19"/>
        <v>119.07190469114362</v>
      </c>
      <c r="R141">
        <f t="shared" si="20"/>
        <v>261.79646758903255</v>
      </c>
      <c r="T141">
        <f t="shared" si="21"/>
        <v>107.42834419435992</v>
      </c>
      <c r="U141">
        <f t="shared" si="22"/>
        <v>255.47270296993591</v>
      </c>
      <c r="W141">
        <f t="shared" si="23"/>
        <v>130.71546518792729</v>
      </c>
      <c r="X141">
        <f t="shared" si="24"/>
        <v>268.12023220812915</v>
      </c>
    </row>
    <row r="142" spans="12:24" x14ac:dyDescent="0.25">
      <c r="L142">
        <f>IF(Original!$D$2=0, Original!B142, Original!B141)</f>
        <v>119.685529</v>
      </c>
      <c r="M142">
        <f>IF(Original!$D$2=0, Original!C142, Original!C141)</f>
        <v>261.30978299999998</v>
      </c>
      <c r="N142">
        <f>IF(Original!$D$2=0, Original!D142, Original!D141)</f>
        <v>133.1</v>
      </c>
      <c r="O142">
        <f>IF(Original!$D$2=0, Original!H142, Original!H141)</f>
        <v>5.1937850000000001</v>
      </c>
      <c r="Q142">
        <f t="shared" si="19"/>
        <v>119.58122337736751</v>
      </c>
      <c r="R142">
        <f t="shared" si="20"/>
        <v>260.82148324256173</v>
      </c>
      <c r="T142">
        <f t="shared" si="21"/>
        <v>107.83709374942332</v>
      </c>
      <c r="U142">
        <f t="shared" si="22"/>
        <v>254.6865081585012</v>
      </c>
      <c r="W142">
        <f t="shared" si="23"/>
        <v>131.32535300531168</v>
      </c>
      <c r="X142">
        <f t="shared" si="24"/>
        <v>266.95645832662228</v>
      </c>
    </row>
    <row r="143" spans="12:24" x14ac:dyDescent="0.25">
      <c r="L143">
        <f>IF(Original!$D$2=0, Original!B143, Original!B142)</f>
        <v>120.18706899999999</v>
      </c>
      <c r="M143">
        <f>IF(Original!$D$2=0, Original!C143, Original!C142)</f>
        <v>260.330781</v>
      </c>
      <c r="N143">
        <f>IF(Original!$D$2=0, Original!D143, Original!D142)</f>
        <v>134.19999999999999</v>
      </c>
      <c r="O143">
        <f>IF(Original!$D$2=0, Original!H143, Original!H142)</f>
        <v>5.1779120000000001</v>
      </c>
      <c r="Q143">
        <f t="shared" si="19"/>
        <v>120.07500262630059</v>
      </c>
      <c r="R143">
        <f t="shared" si="20"/>
        <v>259.83853764217326</v>
      </c>
      <c r="T143">
        <f t="shared" si="21"/>
        <v>108.23497607616655</v>
      </c>
      <c r="U143">
        <f t="shared" si="22"/>
        <v>253.89074214366116</v>
      </c>
      <c r="W143">
        <f t="shared" si="23"/>
        <v>131.91502917643462</v>
      </c>
      <c r="X143">
        <f t="shared" si="24"/>
        <v>265.78633314068537</v>
      </c>
    </row>
    <row r="144" spans="12:24" x14ac:dyDescent="0.25">
      <c r="L144">
        <f>IF(Original!$D$2=0, Original!B144, Original!B143)</f>
        <v>120.673142</v>
      </c>
      <c r="M144">
        <f>IF(Original!$D$2=0, Original!C144, Original!C143)</f>
        <v>259.34400900000003</v>
      </c>
      <c r="N144">
        <f>IF(Original!$D$2=0, Original!D144, Original!D143)</f>
        <v>135.30000000000001</v>
      </c>
      <c r="O144">
        <f>IF(Original!$D$2=0, Original!H144, Original!H143)</f>
        <v>5.1623140000000003</v>
      </c>
      <c r="Q144">
        <f t="shared" si="19"/>
        <v>120.55339044502091</v>
      </c>
      <c r="R144">
        <f t="shared" si="20"/>
        <v>258.84800995709827</v>
      </c>
      <c r="T144">
        <f t="shared" si="21"/>
        <v>108.62203423843579</v>
      </c>
      <c r="U144">
        <f t="shared" si="22"/>
        <v>253.08561123160359</v>
      </c>
      <c r="W144">
        <f t="shared" si="23"/>
        <v>132.48474665160603</v>
      </c>
      <c r="X144">
        <f t="shared" si="24"/>
        <v>264.61040868259295</v>
      </c>
    </row>
    <row r="145" spans="12:24" x14ac:dyDescent="0.25">
      <c r="L145">
        <f>IF(Original!$D$2=0, Original!B145, Original!B144)</f>
        <v>121.14390299999999</v>
      </c>
      <c r="M145">
        <f>IF(Original!$D$2=0, Original!C145, Original!C144)</f>
        <v>258.34984400000002</v>
      </c>
      <c r="N145">
        <f>IF(Original!$D$2=0, Original!D145, Original!D144)</f>
        <v>136.4</v>
      </c>
      <c r="O145">
        <f>IF(Original!$D$2=0, Original!H145, Original!H144)</f>
        <v>5.146998</v>
      </c>
      <c r="Q145">
        <f t="shared" si="19"/>
        <v>121.0165518258658</v>
      </c>
      <c r="R145">
        <f t="shared" si="20"/>
        <v>257.85027174729879</v>
      </c>
      <c r="T145">
        <f t="shared" si="21"/>
        <v>108.99834157146313</v>
      </c>
      <c r="U145">
        <f t="shared" si="22"/>
        <v>252.2712823871216</v>
      </c>
      <c r="W145">
        <f t="shared" si="23"/>
        <v>133.03476208026848</v>
      </c>
      <c r="X145">
        <f t="shared" si="24"/>
        <v>263.42926110747601</v>
      </c>
    </row>
    <row r="146" spans="12:24" x14ac:dyDescent="0.25">
      <c r="L146">
        <f>IF(Original!$D$2=0, Original!B146, Original!B145)</f>
        <v>121.59952199999999</v>
      </c>
      <c r="M146">
        <f>IF(Original!$D$2=0, Original!C146, Original!C145)</f>
        <v>257.34865500000001</v>
      </c>
      <c r="N146">
        <f>IF(Original!$D$2=0, Original!D146, Original!D145)</f>
        <v>137.5</v>
      </c>
      <c r="O146">
        <f>IF(Original!$D$2=0, Original!H146, Original!H145)</f>
        <v>5.1319650000000001</v>
      </c>
      <c r="Q146">
        <f t="shared" si="19"/>
        <v>121.46466243894959</v>
      </c>
      <c r="R146">
        <f t="shared" si="20"/>
        <v>256.84568383255879</v>
      </c>
      <c r="T146">
        <f t="shared" si="21"/>
        <v>109.36394437503586</v>
      </c>
      <c r="U146">
        <f t="shared" si="22"/>
        <v>251.44798781132235</v>
      </c>
      <c r="W146">
        <f t="shared" si="23"/>
        <v>133.56538050286332</v>
      </c>
      <c r="X146">
        <f t="shared" si="24"/>
        <v>262.24337985379526</v>
      </c>
    </row>
    <row r="147" spans="12:24" x14ac:dyDescent="0.25">
      <c r="L147">
        <f>IF(Original!$D$2=0, Original!B147, Original!B146)</f>
        <v>122.040182</v>
      </c>
      <c r="M147">
        <f>IF(Original!$D$2=0, Original!C147, Original!C146)</f>
        <v>256.34079800000001</v>
      </c>
      <c r="N147">
        <f>IF(Original!$D$2=0, Original!D147, Original!D146)</f>
        <v>138.6</v>
      </c>
      <c r="O147">
        <f>IF(Original!$D$2=0, Original!H147, Original!H146)</f>
        <v>5.1172199999999997</v>
      </c>
      <c r="Q147">
        <f t="shared" si="19"/>
        <v>121.89791222786593</v>
      </c>
      <c r="R147">
        <f t="shared" si="20"/>
        <v>255.83459797052532</v>
      </c>
      <c r="T147">
        <f t="shared" si="21"/>
        <v>109.71892343519013</v>
      </c>
      <c r="U147">
        <f t="shared" si="22"/>
        <v>250.61590733130581</v>
      </c>
      <c r="W147">
        <f t="shared" si="23"/>
        <v>134.07690102054173</v>
      </c>
      <c r="X147">
        <f t="shared" si="24"/>
        <v>261.05328860974487</v>
      </c>
    </row>
    <row r="148" spans="12:24" x14ac:dyDescent="0.25">
      <c r="L148">
        <f>IF(Original!$D$2=0, Original!B148, Original!B147)</f>
        <v>122.466081</v>
      </c>
      <c r="M148">
        <f>IF(Original!$D$2=0, Original!C148, Original!C147)</f>
        <v>255.326615</v>
      </c>
      <c r="N148">
        <f>IF(Original!$D$2=0, Original!D148, Original!D147)</f>
        <v>139.69999999999999</v>
      </c>
      <c r="O148">
        <f>IF(Original!$D$2=0, Original!H148, Original!H147)</f>
        <v>5.1027639999999996</v>
      </c>
      <c r="Q148">
        <f t="shared" si="19"/>
        <v>122.316501000028</v>
      </c>
      <c r="R148">
        <f t="shared" si="20"/>
        <v>254.81735491214653</v>
      </c>
      <c r="T148">
        <f t="shared" si="21"/>
        <v>110.06334597864701</v>
      </c>
      <c r="U148">
        <f t="shared" si="22"/>
        <v>249.77526288383072</v>
      </c>
      <c r="W148">
        <f t="shared" si="23"/>
        <v>134.569656021409</v>
      </c>
      <c r="X148">
        <f t="shared" si="24"/>
        <v>259.85944694046236</v>
      </c>
    </row>
    <row r="149" spans="12:24" x14ac:dyDescent="0.25">
      <c r="L149">
        <f>IF(Original!$D$2=0, Original!B149, Original!B148)</f>
        <v>122.877424</v>
      </c>
      <c r="M149">
        <f>IF(Original!$D$2=0, Original!C149, Original!C148)</f>
        <v>254.30643499999999</v>
      </c>
      <c r="N149">
        <f>IF(Original!$D$2=0, Original!D149, Original!D148)</f>
        <v>140.80000000000001</v>
      </c>
      <c r="O149">
        <f>IF(Original!$D$2=0, Original!H149, Original!H148)</f>
        <v>5.088597</v>
      </c>
      <c r="Q149">
        <f t="shared" si="19"/>
        <v>122.72063696634925</v>
      </c>
      <c r="R149">
        <f t="shared" si="20"/>
        <v>253.79428398560935</v>
      </c>
      <c r="T149">
        <f t="shared" si="21"/>
        <v>110.39728262396987</v>
      </c>
      <c r="U149">
        <f t="shared" si="22"/>
        <v>248.92628257310344</v>
      </c>
      <c r="W149">
        <f t="shared" si="23"/>
        <v>135.04399130872861</v>
      </c>
      <c r="X149">
        <f t="shared" si="24"/>
        <v>258.66228539811527</v>
      </c>
    </row>
    <row r="150" spans="12:24" x14ac:dyDescent="0.25">
      <c r="L150">
        <f>IF(Original!$D$2=0, Original!B150, Original!B149)</f>
        <v>123.274428</v>
      </c>
      <c r="M150">
        <f>IF(Original!$D$2=0, Original!C150, Original!C149)</f>
        <v>253.280574</v>
      </c>
      <c r="N150">
        <f>IF(Original!$D$2=0, Original!D150, Original!D149)</f>
        <v>141.9</v>
      </c>
      <c r="O150">
        <f>IF(Original!$D$2=0, Original!H150, Original!H149)</f>
        <v>5.0747200000000001</v>
      </c>
      <c r="Q150">
        <f t="shared" si="19"/>
        <v>123.11053732124371</v>
      </c>
      <c r="R150">
        <f t="shared" si="20"/>
        <v>252.76570354964281</v>
      </c>
      <c r="T150">
        <f t="shared" si="21"/>
        <v>110.72081843346463</v>
      </c>
      <c r="U150">
        <f t="shared" si="22"/>
        <v>248.06917654750492</v>
      </c>
      <c r="W150">
        <f t="shared" si="23"/>
        <v>135.50025620902278</v>
      </c>
      <c r="X150">
        <f t="shared" si="24"/>
        <v>257.46223055178069</v>
      </c>
    </row>
    <row r="151" spans="12:24" x14ac:dyDescent="0.25">
      <c r="L151">
        <f>IF(Original!$D$2=0, Original!B151, Original!B150)</f>
        <v>123.657308</v>
      </c>
      <c r="M151">
        <f>IF(Original!$D$2=0, Original!C151, Original!C150)</f>
        <v>252.24935300000001</v>
      </c>
      <c r="N151">
        <f>IF(Original!$D$2=0, Original!D151, Original!D150)</f>
        <v>143</v>
      </c>
      <c r="O151">
        <f>IF(Original!$D$2=0, Original!H151, Original!H150)</f>
        <v>5.0611319999999997</v>
      </c>
      <c r="Q151">
        <f t="shared" si="19"/>
        <v>123.48642576142728</v>
      </c>
      <c r="R151">
        <f t="shared" si="20"/>
        <v>251.73192026455044</v>
      </c>
      <c r="T151">
        <f t="shared" si="21"/>
        <v>111.03403619099653</v>
      </c>
      <c r="U151">
        <f t="shared" si="22"/>
        <v>247.20417314415741</v>
      </c>
      <c r="W151">
        <f t="shared" si="23"/>
        <v>135.93881533185805</v>
      </c>
      <c r="X151">
        <f t="shared" si="24"/>
        <v>256.25966738494344</v>
      </c>
    </row>
    <row r="152" spans="12:24" x14ac:dyDescent="0.25">
      <c r="L152">
        <f>IF(Original!$D$2=0, Original!B152, Original!B151)</f>
        <v>124.026276</v>
      </c>
      <c r="M152">
        <f>IF(Original!$D$2=0, Original!C152, Original!C151)</f>
        <v>251.21312</v>
      </c>
      <c r="N152">
        <f>IF(Original!$D$2=0, Original!D152, Original!D151)</f>
        <v>144.1</v>
      </c>
      <c r="O152">
        <f>IF(Original!$D$2=0, Original!H152, Original!H151)</f>
        <v>5.0478310000000004</v>
      </c>
      <c r="Q152">
        <f t="shared" si="19"/>
        <v>123.84853100561411</v>
      </c>
      <c r="R152">
        <f t="shared" si="20"/>
        <v>250.69322888009961</v>
      </c>
      <c r="T152">
        <f t="shared" si="21"/>
        <v>111.33702114745628</v>
      </c>
      <c r="U152">
        <f t="shared" si="22"/>
        <v>246.33150662057645</v>
      </c>
      <c r="W152">
        <f t="shared" si="23"/>
        <v>136.36004086377193</v>
      </c>
      <c r="X152">
        <f t="shared" si="24"/>
        <v>255.05495113962277</v>
      </c>
    </row>
    <row r="153" spans="12:24" x14ac:dyDescent="0.25">
      <c r="L153">
        <f>IF(Original!$D$2=0, Original!B153, Original!B152)</f>
        <v>124.381593</v>
      </c>
      <c r="M153">
        <f>IF(Original!$D$2=0, Original!C153, Original!C152)</f>
        <v>250.172077</v>
      </c>
      <c r="N153">
        <f>IF(Original!$D$2=0, Original!D153, Original!D152)</f>
        <v>145.19999999999999</v>
      </c>
      <c r="O153">
        <f>IF(Original!$D$2=0, Original!H153, Original!H152)</f>
        <v>5.0348160000000002</v>
      </c>
      <c r="Q153">
        <f t="shared" si="19"/>
        <v>124.19708739496981</v>
      </c>
      <c r="R153">
        <f t="shared" si="20"/>
        <v>249.64991279978679</v>
      </c>
      <c r="T153">
        <f t="shared" si="21"/>
        <v>111.62987097301991</v>
      </c>
      <c r="U153">
        <f t="shared" si="22"/>
        <v>245.45139265527487</v>
      </c>
      <c r="W153">
        <f t="shared" si="23"/>
        <v>136.76430381691972</v>
      </c>
      <c r="X153">
        <f t="shared" si="24"/>
        <v>253.84843294429871</v>
      </c>
    </row>
    <row r="154" spans="12:24" x14ac:dyDescent="0.25">
      <c r="L154">
        <f>IF(Original!$D$2=0, Original!B154, Original!B153)</f>
        <v>124.72346899999999</v>
      </c>
      <c r="M154">
        <f>IF(Original!$D$2=0, Original!C154, Original!C153)</f>
        <v>249.126575</v>
      </c>
      <c r="N154">
        <f>IF(Original!$D$2=0, Original!D154, Original!D153)</f>
        <v>146.30000000000001</v>
      </c>
      <c r="O154">
        <f>IF(Original!$D$2=0, Original!H154, Original!H153)</f>
        <v>5.0220830000000003</v>
      </c>
      <c r="Q154">
        <f t="shared" si="19"/>
        <v>124.53233134442289</v>
      </c>
      <c r="R154">
        <f t="shared" si="20"/>
        <v>248.60224324579795</v>
      </c>
      <c r="T154">
        <f t="shared" si="21"/>
        <v>111.91267535319408</v>
      </c>
      <c r="U154">
        <f t="shared" si="22"/>
        <v>244.56407749102232</v>
      </c>
      <c r="W154">
        <f t="shared" si="23"/>
        <v>137.15198733565171</v>
      </c>
      <c r="X154">
        <f t="shared" si="24"/>
        <v>252.64040900057358</v>
      </c>
    </row>
    <row r="155" spans="12:24" x14ac:dyDescent="0.25">
      <c r="L155">
        <f>IF(Original!$D$2=0, Original!B155, Original!B154)</f>
        <v>125.052159</v>
      </c>
      <c r="M155">
        <f>IF(Original!$D$2=0, Original!C155, Original!C154)</f>
        <v>248.076831</v>
      </c>
      <c r="N155">
        <f>IF(Original!$D$2=0, Original!D155, Original!D154)</f>
        <v>147.4</v>
      </c>
      <c r="O155">
        <f>IF(Original!$D$2=0, Original!H155, Original!H154)</f>
        <v>5.0096299999999996</v>
      </c>
      <c r="Q155">
        <f t="shared" si="19"/>
        <v>124.85450300811124</v>
      </c>
      <c r="R155">
        <f t="shared" si="20"/>
        <v>247.55048024059371</v>
      </c>
      <c r="T155">
        <f t="shared" si="21"/>
        <v>112.18553953633275</v>
      </c>
      <c r="U155">
        <f t="shared" si="22"/>
        <v>243.6697761098022</v>
      </c>
      <c r="W155">
        <f t="shared" si="23"/>
        <v>137.52346647988972</v>
      </c>
      <c r="X155">
        <f t="shared" si="24"/>
        <v>251.43118437138523</v>
      </c>
    </row>
    <row r="156" spans="12:24" x14ac:dyDescent="0.25">
      <c r="L156">
        <f>IF(Original!$D$2=0, Original!B156, Original!B155)</f>
        <v>125.36789</v>
      </c>
      <c r="M156">
        <f>IF(Original!$D$2=0, Original!C156, Original!C155)</f>
        <v>247.02313899999999</v>
      </c>
      <c r="N156">
        <f>IF(Original!$D$2=0, Original!D156, Original!D155)</f>
        <v>148.5</v>
      </c>
      <c r="O156">
        <f>IF(Original!$D$2=0, Original!H156, Original!H155)</f>
        <v>4.9974530000000001</v>
      </c>
      <c r="Q156">
        <f t="shared" si="19"/>
        <v>125.16384378478905</v>
      </c>
      <c r="R156">
        <f t="shared" si="20"/>
        <v>246.49487222438486</v>
      </c>
      <c r="T156">
        <f t="shared" si="21"/>
        <v>112.448565407728</v>
      </c>
      <c r="U156">
        <f t="shared" si="22"/>
        <v>242.76872195985669</v>
      </c>
      <c r="W156">
        <f t="shared" si="23"/>
        <v>137.87912216185012</v>
      </c>
      <c r="X156">
        <f t="shared" si="24"/>
        <v>250.22102248891304</v>
      </c>
    </row>
    <row r="157" spans="12:24" x14ac:dyDescent="0.25">
      <c r="L157">
        <f>IF(Original!$D$2=0, Original!B157, Original!B156)</f>
        <v>125.67092700000001</v>
      </c>
      <c r="M157">
        <f>IF(Original!$D$2=0, Original!C157, Original!C156)</f>
        <v>245.96566999999999</v>
      </c>
      <c r="N157">
        <f>IF(Original!$D$2=0, Original!D157, Original!D156)</f>
        <v>149.6</v>
      </c>
      <c r="O157">
        <f>IF(Original!$D$2=0, Original!H157, Original!H156)</f>
        <v>4.9855470000000004</v>
      </c>
      <c r="Q157">
        <f t="shared" si="19"/>
        <v>125.46059486464314</v>
      </c>
      <c r="R157">
        <f t="shared" si="20"/>
        <v>245.43565610073236</v>
      </c>
      <c r="T157">
        <f t="shared" si="21"/>
        <v>112.7018551933744</v>
      </c>
      <c r="U157">
        <f t="shared" si="22"/>
        <v>241.86115445703527</v>
      </c>
      <c r="W157">
        <f t="shared" si="23"/>
        <v>138.21933453591188</v>
      </c>
      <c r="X157">
        <f t="shared" si="24"/>
        <v>249.01015774442945</v>
      </c>
    </row>
    <row r="158" spans="12:24" x14ac:dyDescent="0.25">
      <c r="L158">
        <f>IF(Original!$D$2=0, Original!B158, Original!B157)</f>
        <v>125.961474</v>
      </c>
      <c r="M158">
        <f>IF(Original!$D$2=0, Original!C158, Original!C157)</f>
        <v>244.90478400000001</v>
      </c>
      <c r="N158">
        <f>IF(Original!$D$2=0, Original!D158, Original!D157)</f>
        <v>150.69999999999999</v>
      </c>
      <c r="O158">
        <f>IF(Original!$D$2=0, Original!H158, Original!H157)</f>
        <v>4.9739100000000001</v>
      </c>
      <c r="Q158">
        <f t="shared" si="19"/>
        <v>125.74500003190937</v>
      </c>
      <c r="R158">
        <f t="shared" si="20"/>
        <v>244.3730584812958</v>
      </c>
      <c r="T158">
        <f t="shared" si="21"/>
        <v>112.94552870687795</v>
      </c>
      <c r="U158">
        <f t="shared" si="22"/>
        <v>240.947268966498</v>
      </c>
      <c r="W158">
        <f t="shared" si="23"/>
        <v>138.54447135694079</v>
      </c>
      <c r="X158">
        <f t="shared" si="24"/>
        <v>247.7988479960936</v>
      </c>
    </row>
    <row r="159" spans="12:24" x14ac:dyDescent="0.25">
      <c r="L159">
        <f>IF(Original!$D$2=0, Original!B159, Original!B158)</f>
        <v>126.239806</v>
      </c>
      <c r="M159">
        <f>IF(Original!$D$2=0, Original!C159, Original!C158)</f>
        <v>243.84058899999999</v>
      </c>
      <c r="N159">
        <f>IF(Original!$D$2=0, Original!D159, Original!D158)</f>
        <v>151.80000000000001</v>
      </c>
      <c r="O159">
        <f>IF(Original!$D$2=0, Original!H159, Original!H158)</f>
        <v>4.9625360000000001</v>
      </c>
      <c r="Q159">
        <f t="shared" si="19"/>
        <v>126.01730107819228</v>
      </c>
      <c r="R159">
        <f t="shared" si="20"/>
        <v>243.30729483949088</v>
      </c>
      <c r="T159">
        <f t="shared" si="21"/>
        <v>113.17969357463329</v>
      </c>
      <c r="U159">
        <f t="shared" si="22"/>
        <v>240.02730496381045</v>
      </c>
      <c r="W159">
        <f t="shared" si="23"/>
        <v>138.85490858175126</v>
      </c>
      <c r="X159">
        <f t="shared" si="24"/>
        <v>246.58728471517131</v>
      </c>
    </row>
    <row r="160" spans="12:24" x14ac:dyDescent="0.25">
      <c r="L160">
        <f>IF(Original!$D$2=0, Original!B160, Original!B159)</f>
        <v>126.506159</v>
      </c>
      <c r="M160">
        <f>IF(Original!$D$2=0, Original!C160, Original!C159)</f>
        <v>242.77331000000001</v>
      </c>
      <c r="N160">
        <f>IF(Original!$D$2=0, Original!D160, Original!D159)</f>
        <v>152.9</v>
      </c>
      <c r="O160">
        <f>IF(Original!$D$2=0, Original!H160, Original!H159)</f>
        <v>4.9514199999999997</v>
      </c>
      <c r="Q160">
        <f t="shared" si="19"/>
        <v>126.27773851648371</v>
      </c>
      <c r="R160">
        <f t="shared" si="20"/>
        <v>242.23857020669897</v>
      </c>
      <c r="T160">
        <f t="shared" si="21"/>
        <v>113.40446453058119</v>
      </c>
      <c r="U160">
        <f t="shared" si="22"/>
        <v>239.10148288182492</v>
      </c>
      <c r="W160">
        <f t="shared" si="23"/>
        <v>139.15101250238624</v>
      </c>
      <c r="X160">
        <f t="shared" si="24"/>
        <v>245.37565753157301</v>
      </c>
    </row>
    <row r="161" spans="12:24" x14ac:dyDescent="0.25">
      <c r="L161">
        <f>IF(Original!$D$2=0, Original!B161, Original!B160)</f>
        <v>126.760769</v>
      </c>
      <c r="M161">
        <f>IF(Original!$D$2=0, Original!C161, Original!C160)</f>
        <v>241.70316600000001</v>
      </c>
      <c r="N161">
        <f>IF(Original!$D$2=0, Original!D161, Original!D160)</f>
        <v>154</v>
      </c>
      <c r="O161">
        <f>IF(Original!$D$2=0, Original!H161, Original!H160)</f>
        <v>4.9405570000000001</v>
      </c>
      <c r="Q161">
        <f t="shared" si="19"/>
        <v>126.5265512611395</v>
      </c>
      <c r="R161">
        <f t="shared" si="20"/>
        <v>241.16707955433804</v>
      </c>
      <c r="T161">
        <f t="shared" si="21"/>
        <v>113.61995931224648</v>
      </c>
      <c r="U161">
        <f t="shared" si="22"/>
        <v>238.17001694825692</v>
      </c>
      <c r="W161">
        <f t="shared" si="23"/>
        <v>139.43314321003254</v>
      </c>
      <c r="X161">
        <f t="shared" si="24"/>
        <v>244.16414216041917</v>
      </c>
    </row>
    <row r="162" spans="12:24" x14ac:dyDescent="0.25">
      <c r="L162">
        <f>IF(Original!$D$2=0, Original!B162, Original!B161)</f>
        <v>127.00386399999999</v>
      </c>
      <c r="M162">
        <f>IF(Original!$D$2=0, Original!C162, Original!C161)</f>
        <v>240.630392</v>
      </c>
      <c r="N162">
        <f>IF(Original!$D$2=0, Original!D162, Original!D161)</f>
        <v>155.1</v>
      </c>
      <c r="O162">
        <f>IF(Original!$D$2=0, Original!H162, Original!H161)</f>
        <v>4.9299429999999997</v>
      </c>
      <c r="Q162">
        <f t="shared" si="19"/>
        <v>126.76397740243092</v>
      </c>
      <c r="R162">
        <f t="shared" si="20"/>
        <v>240.09300840798346</v>
      </c>
      <c r="T162">
        <f t="shared" si="21"/>
        <v>113.82630223043246</v>
      </c>
      <c r="U162">
        <f t="shared" si="22"/>
        <v>237.23310261515488</v>
      </c>
      <c r="W162">
        <f t="shared" si="23"/>
        <v>139.7016525744294</v>
      </c>
      <c r="X162">
        <f t="shared" si="24"/>
        <v>242.95291420081205</v>
      </c>
    </row>
    <row r="163" spans="12:24" x14ac:dyDescent="0.25">
      <c r="L163">
        <f>IF(Original!$D$2=0, Original!B163, Original!B162)</f>
        <v>127.235693</v>
      </c>
      <c r="M163">
        <f>IF(Original!$D$2=0, Original!C163, Original!C162)</f>
        <v>239.555115</v>
      </c>
      <c r="N163">
        <f>IF(Original!$D$2=0, Original!D163, Original!D162)</f>
        <v>156.19999999999999</v>
      </c>
      <c r="O163">
        <f>IF(Original!$D$2=0, Original!H163, Original!H162)</f>
        <v>4.9195719999999996</v>
      </c>
      <c r="Q163">
        <f t="shared" si="19"/>
        <v>126.99025178316325</v>
      </c>
      <c r="R163">
        <f t="shared" si="20"/>
        <v>239.01653272101967</v>
      </c>
      <c r="T163">
        <f t="shared" si="21"/>
        <v>114.02361282655373</v>
      </c>
      <c r="U163">
        <f t="shared" si="22"/>
        <v>236.29095495310762</v>
      </c>
      <c r="W163">
        <f t="shared" si="23"/>
        <v>139.95689073977275</v>
      </c>
      <c r="X163">
        <f t="shared" si="24"/>
        <v>241.74211048893173</v>
      </c>
    </row>
    <row r="164" spans="12:24" x14ac:dyDescent="0.25">
      <c r="L164">
        <f>IF(Original!$D$2=0, Original!B164, Original!B163)</f>
        <v>127.456487</v>
      </c>
      <c r="M164">
        <f>IF(Original!$D$2=0, Original!C164, Original!C163)</f>
        <v>238.47751099999999</v>
      </c>
      <c r="N164">
        <f>IF(Original!$D$2=0, Original!D164, Original!D163)</f>
        <v>157.30000000000001</v>
      </c>
      <c r="O164">
        <f>IF(Original!$D$2=0, Original!H164, Original!H163)</f>
        <v>4.9094389999999999</v>
      </c>
      <c r="Q164">
        <f t="shared" si="19"/>
        <v>127.20560680585957</v>
      </c>
      <c r="R164">
        <f t="shared" si="20"/>
        <v>237.93781949953794</v>
      </c>
      <c r="T164">
        <f t="shared" si="21"/>
        <v>114.21201572892069</v>
      </c>
      <c r="U164">
        <f t="shared" si="22"/>
        <v>235.34377036251408</v>
      </c>
      <c r="W164">
        <f t="shared" si="23"/>
        <v>140.19919788279847</v>
      </c>
      <c r="X164">
        <f t="shared" si="24"/>
        <v>240.5318686365618</v>
      </c>
    </row>
    <row r="165" spans="12:24" x14ac:dyDescent="0.25">
      <c r="L165">
        <f>IF(Original!$D$2=0, Original!B165, Original!B164)</f>
        <v>127.666478</v>
      </c>
      <c r="M165">
        <f>IF(Original!$D$2=0, Original!C165, Original!C164)</f>
        <v>237.39774399999999</v>
      </c>
      <c r="N165">
        <f>IF(Original!$D$2=0, Original!D165, Original!D164)</f>
        <v>158.4</v>
      </c>
      <c r="O165">
        <f>IF(Original!$D$2=0, Original!H165, Original!H164)</f>
        <v>4.8995379999999997</v>
      </c>
      <c r="Q165">
        <f t="shared" si="19"/>
        <v>127.41027110792896</v>
      </c>
      <c r="R165">
        <f t="shared" si="20"/>
        <v>236.85702695540263</v>
      </c>
      <c r="T165">
        <f t="shared" si="21"/>
        <v>114.39163364448106</v>
      </c>
      <c r="U165">
        <f t="shared" si="22"/>
        <v>234.39175240774864</v>
      </c>
      <c r="W165">
        <f t="shared" si="23"/>
        <v>140.42890857137687</v>
      </c>
      <c r="X165">
        <f t="shared" si="24"/>
        <v>239.32230150305662</v>
      </c>
    </row>
    <row r="166" spans="12:24" x14ac:dyDescent="0.25">
      <c r="L166">
        <f>IF(Original!$D$2=0, Original!B166, Original!B165)</f>
        <v>127.865892</v>
      </c>
      <c r="M166">
        <f>IF(Original!$D$2=0, Original!C166, Original!C165)</f>
        <v>236.315967</v>
      </c>
      <c r="N166">
        <f>IF(Original!$D$2=0, Original!D166, Original!D165)</f>
        <v>159.5</v>
      </c>
      <c r="O166">
        <f>IF(Original!$D$2=0, Original!H166, Original!H165)</f>
        <v>4.8898640000000002</v>
      </c>
      <c r="Q166">
        <f t="shared" si="19"/>
        <v>127.60447040919863</v>
      </c>
      <c r="R166">
        <f t="shared" si="20"/>
        <v>235.77430509297147</v>
      </c>
      <c r="T166">
        <f t="shared" si="21"/>
        <v>114.56259342991433</v>
      </c>
      <c r="U166">
        <f t="shared" si="22"/>
        <v>233.43508623676874</v>
      </c>
      <c r="W166">
        <f t="shared" si="23"/>
        <v>140.64634738848292</v>
      </c>
      <c r="X166">
        <f t="shared" si="24"/>
        <v>238.11352394917421</v>
      </c>
    </row>
    <row r="167" spans="12:24" x14ac:dyDescent="0.25">
      <c r="L167">
        <f>IF(Original!$D$2=0, Original!B167, Original!B166)</f>
        <v>128.05495400000001</v>
      </c>
      <c r="M167">
        <f>IF(Original!$D$2=0, Original!C167, Original!C166)</f>
        <v>235.23232100000001</v>
      </c>
      <c r="N167">
        <f>IF(Original!$D$2=0, Original!D167, Original!D166)</f>
        <v>160.6</v>
      </c>
      <c r="O167">
        <f>IF(Original!$D$2=0, Original!H167, Original!H166)</f>
        <v>4.8804109999999996</v>
      </c>
      <c r="Q167">
        <f t="shared" si="19"/>
        <v>127.78842621645015</v>
      </c>
      <c r="R167">
        <f t="shared" si="20"/>
        <v>234.68979586711009</v>
      </c>
      <c r="T167">
        <f t="shared" si="21"/>
        <v>114.72501963221085</v>
      </c>
      <c r="U167">
        <f t="shared" si="22"/>
        <v>232.47396455248946</v>
      </c>
      <c r="W167">
        <f t="shared" si="23"/>
        <v>140.85183280068944</v>
      </c>
      <c r="X167">
        <f t="shared" si="24"/>
        <v>236.90562718173072</v>
      </c>
    </row>
    <row r="168" spans="12:24" x14ac:dyDescent="0.25">
      <c r="L168">
        <f>IF(Original!$D$2=0, Original!B168, Original!B167)</f>
        <v>128.233878</v>
      </c>
      <c r="M168">
        <f>IF(Original!$D$2=0, Original!C168, Original!C167)</f>
        <v>234.146987</v>
      </c>
      <c r="N168">
        <f>IF(Original!$D$2=0, Original!D168, Original!D167)</f>
        <v>161.69999999999999</v>
      </c>
      <c r="O168">
        <f>IF(Original!$D$2=0, Original!H168, Original!H167)</f>
        <v>4.871175</v>
      </c>
      <c r="Q168">
        <f t="shared" si="19"/>
        <v>127.96235779289945</v>
      </c>
      <c r="R168">
        <f t="shared" si="20"/>
        <v>233.60363390556208</v>
      </c>
      <c r="T168">
        <f t="shared" si="21"/>
        <v>114.87904325607093</v>
      </c>
      <c r="U168">
        <f t="shared" si="22"/>
        <v>231.50854900742274</v>
      </c>
      <c r="W168">
        <f t="shared" si="23"/>
        <v>141.04567232972798</v>
      </c>
      <c r="X168">
        <f t="shared" si="24"/>
        <v>235.69871880370141</v>
      </c>
    </row>
    <row r="169" spans="12:24" x14ac:dyDescent="0.25">
      <c r="L169">
        <f>IF(Original!$D$2=0, Original!B169, Original!B168)</f>
        <v>128.40288200000001</v>
      </c>
      <c r="M169">
        <f>IF(Original!$D$2=0, Original!C169, Original!C168)</f>
        <v>233.06008</v>
      </c>
      <c r="N169">
        <f>IF(Original!$D$2=0, Original!D169, Original!D168)</f>
        <v>162.80000000000001</v>
      </c>
      <c r="O169">
        <f>IF(Original!$D$2=0, Original!H169, Original!H168)</f>
        <v>4.8621489999999996</v>
      </c>
      <c r="Q169">
        <f t="shared" si="19"/>
        <v>128.12647871965947</v>
      </c>
      <c r="R169">
        <f t="shared" si="20"/>
        <v>232.51594630270935</v>
      </c>
      <c r="T169">
        <f t="shared" si="21"/>
        <v>115.02478713984297</v>
      </c>
      <c r="U169">
        <f t="shared" si="22"/>
        <v>230.53903513946366</v>
      </c>
      <c r="W169">
        <f t="shared" si="23"/>
        <v>141.22817029947598</v>
      </c>
      <c r="X169">
        <f t="shared" si="24"/>
        <v>234.49285746595504</v>
      </c>
    </row>
    <row r="170" spans="12:24" x14ac:dyDescent="0.25">
      <c r="L170">
        <f>IF(Original!$D$2=0, Original!B170, Original!B169)</f>
        <v>128.562186</v>
      </c>
      <c r="M170">
        <f>IF(Original!$D$2=0, Original!C170, Original!C169)</f>
        <v>231.971687</v>
      </c>
      <c r="N170">
        <f>IF(Original!$D$2=0, Original!D170, Original!D169)</f>
        <v>163.9</v>
      </c>
      <c r="O170">
        <f>IF(Original!$D$2=0, Original!H170, Original!H169)</f>
        <v>4.8533289999999996</v>
      </c>
      <c r="Q170">
        <f t="shared" si="19"/>
        <v>128.28099998250516</v>
      </c>
      <c r="R170">
        <f t="shared" si="20"/>
        <v>231.42685347869087</v>
      </c>
      <c r="T170">
        <f t="shared" si="21"/>
        <v>115.1623818750097</v>
      </c>
      <c r="U170">
        <f t="shared" si="22"/>
        <v>229.56557463077681</v>
      </c>
      <c r="W170">
        <f t="shared" si="23"/>
        <v>141.39961809000062</v>
      </c>
      <c r="X170">
        <f t="shared" si="24"/>
        <v>233.28813232660494</v>
      </c>
    </row>
    <row r="171" spans="12:24" x14ac:dyDescent="0.25">
      <c r="L171">
        <f>IF(Original!$D$2=0, Original!B171, Original!B170)</f>
        <v>128.711997</v>
      </c>
      <c r="M171">
        <f>IF(Original!$D$2=0, Original!C171, Original!C170)</f>
        <v>230.88190900000001</v>
      </c>
      <c r="N171">
        <f>IF(Original!$D$2=0, Original!D171, Original!D170)</f>
        <v>165</v>
      </c>
      <c r="O171">
        <f>IF(Original!$D$2=0, Original!H171, Original!H170)</f>
        <v>4.8447089999999999</v>
      </c>
      <c r="Q171">
        <f t="shared" si="19"/>
        <v>128.42612764069943</v>
      </c>
      <c r="R171">
        <f t="shared" si="20"/>
        <v>230.33646915982573</v>
      </c>
      <c r="T171">
        <f t="shared" si="21"/>
        <v>115.2919528907327</v>
      </c>
      <c r="U171">
        <f t="shared" si="22"/>
        <v>228.58834054975824</v>
      </c>
      <c r="W171">
        <f t="shared" si="23"/>
        <v>141.56030239066615</v>
      </c>
      <c r="X171">
        <f t="shared" si="24"/>
        <v>232.08459776989321</v>
      </c>
    </row>
    <row r="172" spans="12:24" x14ac:dyDescent="0.25">
      <c r="L172">
        <f>IF(Original!$D$2=0, Original!B172, Original!B171)</f>
        <v>128.85233500000001</v>
      </c>
      <c r="M172">
        <f>IF(Original!$D$2=0, Original!C172, Original!C171)</f>
        <v>229.79235</v>
      </c>
      <c r="N172">
        <f>IF(Original!$D$2=0, Original!D172, Original!D171)</f>
        <v>166.098579</v>
      </c>
      <c r="O172">
        <f>IF(Original!$D$2=0, Original!H172, Original!H171)</f>
        <v>4.8362949999999998</v>
      </c>
      <c r="Q172">
        <f t="shared" si="19"/>
        <v>128.56190015605827</v>
      </c>
      <c r="R172">
        <f t="shared" si="20"/>
        <v>229.2463124539737</v>
      </c>
      <c r="T172">
        <f t="shared" si="21"/>
        <v>115.41348174232627</v>
      </c>
      <c r="U172">
        <f t="shared" si="22"/>
        <v>227.60875536567622</v>
      </c>
      <c r="W172">
        <f t="shared" si="23"/>
        <v>141.71031856979027</v>
      </c>
      <c r="X172">
        <f t="shared" si="24"/>
        <v>230.88386954227119</v>
      </c>
    </row>
    <row r="173" spans="12:24" x14ac:dyDescent="0.25">
      <c r="L173">
        <f>IF(Original!$D$2=0, Original!B173, Original!B172)</f>
        <v>128.98310599999999</v>
      </c>
      <c r="M173">
        <f>IF(Original!$D$2=0, Original!C173, Original!C172)</f>
        <v>228.70594600000001</v>
      </c>
      <c r="N173">
        <f>IF(Original!$D$2=0, Original!D173, Original!D172)</f>
        <v>167.19284400000001</v>
      </c>
      <c r="O173">
        <f>IF(Original!$D$2=0, Original!H173, Original!H172)</f>
        <v>4.8281020000000003</v>
      </c>
      <c r="Q173">
        <f t="shared" si="19"/>
        <v>128.6882384878557</v>
      </c>
      <c r="R173">
        <f t="shared" si="20"/>
        <v>228.15936511571684</v>
      </c>
      <c r="T173">
        <f t="shared" si="21"/>
        <v>115.52684501195797</v>
      </c>
      <c r="U173">
        <f t="shared" si="22"/>
        <v>226.62958677471551</v>
      </c>
      <c r="W173">
        <f t="shared" si="23"/>
        <v>141.84963196375344</v>
      </c>
      <c r="X173">
        <f t="shared" si="24"/>
        <v>229.68914345671817</v>
      </c>
    </row>
    <row r="174" spans="12:24" x14ac:dyDescent="0.25">
      <c r="L174">
        <f>IF(Original!$D$2=0, Original!B174, Original!B173)</f>
        <v>129.10429600000001</v>
      </c>
      <c r="M174">
        <f>IF(Original!$D$2=0, Original!C174, Original!C173)</f>
        <v>227.62568300000001</v>
      </c>
      <c r="N174">
        <f>IF(Original!$D$2=0, Original!D174, Original!D173)</f>
        <v>168.279854</v>
      </c>
      <c r="O174">
        <f>IF(Original!$D$2=0, Original!H174, Original!H173)</f>
        <v>4.820144</v>
      </c>
      <c r="Q174">
        <f t="shared" si="19"/>
        <v>128.80514273288185</v>
      </c>
      <c r="R174">
        <f t="shared" si="20"/>
        <v>227.07865972681807</v>
      </c>
      <c r="T174">
        <f t="shared" si="21"/>
        <v>115.63199216121383</v>
      </c>
      <c r="U174">
        <f t="shared" si="22"/>
        <v>225.65366708958709</v>
      </c>
      <c r="W174">
        <f t="shared" si="23"/>
        <v>141.97829330454988</v>
      </c>
      <c r="X174">
        <f t="shared" si="24"/>
        <v>228.50365236404906</v>
      </c>
    </row>
    <row r="175" spans="12:24" x14ac:dyDescent="0.25">
      <c r="L175">
        <f>IF(Original!$D$2=0, Original!B175, Original!B174)</f>
        <v>129.215957</v>
      </c>
      <c r="M175">
        <f>IF(Original!$D$2=0, Original!C175, Original!C174)</f>
        <v>226.55470700000001</v>
      </c>
      <c r="N175">
        <f>IF(Original!$D$2=0, Original!D175, Original!D174)</f>
        <v>169.35666900000001</v>
      </c>
      <c r="O175">
        <f>IF(Original!$D$2=0, Original!H175, Original!H174)</f>
        <v>4.8124339999999997</v>
      </c>
      <c r="Q175">
        <f t="shared" si="19"/>
        <v>128.91269308892944</v>
      </c>
      <c r="R175">
        <f t="shared" si="20"/>
        <v>226.0072291573741</v>
      </c>
      <c r="T175">
        <f t="shared" si="21"/>
        <v>115.72894746397749</v>
      </c>
      <c r="U175">
        <f t="shared" si="22"/>
        <v>224.68384285830635</v>
      </c>
      <c r="W175">
        <f t="shared" si="23"/>
        <v>142.09643871388141</v>
      </c>
      <c r="X175">
        <f t="shared" si="24"/>
        <v>227.33061545644185</v>
      </c>
    </row>
    <row r="176" spans="12:24" x14ac:dyDescent="0.25">
      <c r="L176">
        <f>IF(Original!$D$2=0, Original!B176, Original!B175)</f>
        <v>129.31823600000001</v>
      </c>
      <c r="M176">
        <f>IF(Original!$D$2=0, Original!C176, Original!C175)</f>
        <v>225.49596199999999</v>
      </c>
      <c r="N176">
        <f>IF(Original!$D$2=0, Original!D176, Original!D175)</f>
        <v>170.42034699999999</v>
      </c>
      <c r="O176">
        <f>IF(Original!$D$2=0, Original!H176, Original!H175)</f>
        <v>4.8049819999999999</v>
      </c>
      <c r="Q176">
        <f t="shared" si="19"/>
        <v>129.0110415749015</v>
      </c>
      <c r="R176">
        <f t="shared" si="20"/>
        <v>224.94810760486422</v>
      </c>
      <c r="T176">
        <f t="shared" si="21"/>
        <v>115.81780022671501</v>
      </c>
      <c r="U176">
        <f t="shared" si="22"/>
        <v>223.72300241407351</v>
      </c>
      <c r="W176">
        <f t="shared" si="23"/>
        <v>142.20428292308799</v>
      </c>
      <c r="X176">
        <f t="shared" si="24"/>
        <v>226.17321279565493</v>
      </c>
    </row>
    <row r="177" spans="12:24" x14ac:dyDescent="0.25">
      <c r="L177">
        <f>IF(Original!$D$2=0, Original!B177, Original!B176)</f>
        <v>129.41134099999999</v>
      </c>
      <c r="M177">
        <f>IF(Original!$D$2=0, Original!C177, Original!C176)</f>
        <v>224.45247599999999</v>
      </c>
      <c r="N177">
        <f>IF(Original!$D$2=0, Original!D177, Original!D176)</f>
        <v>171.46794700000001</v>
      </c>
      <c r="O177">
        <f>IF(Original!$D$2=0, Original!H177, Original!H176)</f>
        <v>4.7977990000000004</v>
      </c>
      <c r="Q177">
        <f t="shared" si="19"/>
        <v>129.10040836569954</v>
      </c>
      <c r="R177">
        <f t="shared" si="20"/>
        <v>223.90432633625355</v>
      </c>
      <c r="T177">
        <f t="shared" si="21"/>
        <v>115.89870751700622</v>
      </c>
      <c r="U177">
        <f t="shared" si="22"/>
        <v>222.77401898795836</v>
      </c>
      <c r="W177">
        <f t="shared" si="23"/>
        <v>142.30210921439286</v>
      </c>
      <c r="X177">
        <f t="shared" si="24"/>
        <v>225.03463368454874</v>
      </c>
    </row>
    <row r="178" spans="12:24" x14ac:dyDescent="0.25">
      <c r="L178">
        <f>IF(Original!$D$2=0, Original!B178, Original!B177)</f>
        <v>129.49553499999999</v>
      </c>
      <c r="M178">
        <f>IF(Original!$D$2=0, Original!C178, Original!C177)</f>
        <v>223.42733799999999</v>
      </c>
      <c r="N178">
        <f>IF(Original!$D$2=0, Original!D178, Original!D177)</f>
        <v>172.49652699999999</v>
      </c>
      <c r="O178">
        <f>IF(Original!$D$2=0, Original!H178, Original!H177)</f>
        <v>4.7908929999999996</v>
      </c>
      <c r="Q178">
        <f t="shared" si="19"/>
        <v>129.1810731160399</v>
      </c>
      <c r="R178">
        <f t="shared" si="20"/>
        <v>222.87891421693152</v>
      </c>
      <c r="T178">
        <f t="shared" si="21"/>
        <v>115.97188123887227</v>
      </c>
      <c r="U178">
        <f t="shared" si="22"/>
        <v>221.83980404367335</v>
      </c>
      <c r="W178">
        <f t="shared" si="23"/>
        <v>142.39026499320752</v>
      </c>
      <c r="X178">
        <f t="shared" si="24"/>
        <v>223.91802439018969</v>
      </c>
    </row>
    <row r="179" spans="12:24" x14ac:dyDescent="0.25">
      <c r="L179">
        <f>IF(Original!$D$2=0, Original!B179, Original!B178)</f>
        <v>129.57114300000001</v>
      </c>
      <c r="M179">
        <f>IF(Original!$D$2=0, Original!C179, Original!C178)</f>
        <v>222.42356599999999</v>
      </c>
      <c r="N179">
        <f>IF(Original!$D$2=0, Original!D179, Original!D178)</f>
        <v>173.50314700000001</v>
      </c>
      <c r="O179">
        <f>IF(Original!$D$2=0, Original!H179, Original!H178)</f>
        <v>4.7842719999999996</v>
      </c>
      <c r="Q179">
        <f t="shared" si="19"/>
        <v>129.25336970225055</v>
      </c>
      <c r="R179">
        <f t="shared" si="20"/>
        <v>221.87489378485739</v>
      </c>
      <c r="T179">
        <f t="shared" si="21"/>
        <v>116.03758745574046</v>
      </c>
      <c r="U179">
        <f t="shared" si="22"/>
        <v>220.92326380801302</v>
      </c>
      <c r="W179">
        <f t="shared" si="23"/>
        <v>142.46915194876064</v>
      </c>
      <c r="X179">
        <f t="shared" si="24"/>
        <v>222.82652376170176</v>
      </c>
    </row>
    <row r="180" spans="12:24" x14ac:dyDescent="0.25">
      <c r="L180">
        <f>IF(Original!$D$2=0, Original!B180, Original!B179)</f>
        <v>129.638541</v>
      </c>
      <c r="M180">
        <f>IF(Original!$D$2=0, Original!C180, Original!C179)</f>
        <v>221.444174</v>
      </c>
      <c r="N180">
        <f>IF(Original!$D$2=0, Original!D180, Original!D179)</f>
        <v>174.48486500000001</v>
      </c>
      <c r="O180">
        <f>IF(Original!$D$2=0, Original!H180, Original!H179)</f>
        <v>4.7779410000000002</v>
      </c>
      <c r="Q180">
        <f t="shared" si="19"/>
        <v>129.3176772211215</v>
      </c>
      <c r="R180">
        <f t="shared" si="20"/>
        <v>220.89528428381084</v>
      </c>
      <c r="T180">
        <f t="shared" si="21"/>
        <v>116.09613509918145</v>
      </c>
      <c r="U180">
        <f t="shared" si="22"/>
        <v>220.02734193678253</v>
      </c>
      <c r="W180">
        <f t="shared" si="23"/>
        <v>142.53921934306155</v>
      </c>
      <c r="X180">
        <f t="shared" si="24"/>
        <v>221.76322663083914</v>
      </c>
    </row>
    <row r="181" spans="12:24" x14ac:dyDescent="0.25">
      <c r="L181">
        <f>IF(Original!$D$2=0, Original!B181, Original!B180)</f>
        <v>129.69814099999999</v>
      </c>
      <c r="M181">
        <f>IF(Original!$D$2=0, Original!C181, Original!C180)</f>
        <v>220.49220399999999</v>
      </c>
      <c r="N181">
        <f>IF(Original!$D$2=0, Original!D181, Original!D180)</f>
        <v>175.43874</v>
      </c>
      <c r="O181">
        <f>IF(Original!$D$2=0, Original!H181, Original!H180)</f>
        <v>4.7719079999999998</v>
      </c>
      <c r="Q181">
        <f t="shared" si="19"/>
        <v>129.37441741162269</v>
      </c>
      <c r="R181">
        <f t="shared" si="20"/>
        <v>219.94309834272221</v>
      </c>
      <c r="T181">
        <f t="shared" si="21"/>
        <v>116.14787963736015</v>
      </c>
      <c r="U181">
        <f t="shared" si="22"/>
        <v>219.1549368706836</v>
      </c>
      <c r="W181">
        <f t="shared" si="23"/>
        <v>142.60095518588523</v>
      </c>
      <c r="X181">
        <f t="shared" si="24"/>
        <v>220.73125981476082</v>
      </c>
    </row>
    <row r="182" spans="12:24" x14ac:dyDescent="0.25">
      <c r="L182">
        <f>IF(Original!$D$2=0, Original!B182, Original!B181)</f>
        <v>129.75040200000001</v>
      </c>
      <c r="M182">
        <f>IF(Original!$D$2=0, Original!C182, Original!C181)</f>
        <v>219.57058499999999</v>
      </c>
      <c r="N182">
        <f>IF(Original!$D$2=0, Original!D182, Original!D181)</f>
        <v>176.36183199999999</v>
      </c>
      <c r="O182">
        <f>IF(Original!$D$2=0, Original!H182, Original!H181)</f>
        <v>4.7661759999999997</v>
      </c>
      <c r="Q182">
        <f t="shared" si="19"/>
        <v>129.42404384248417</v>
      </c>
      <c r="R182">
        <f t="shared" si="20"/>
        <v>219.02134129348204</v>
      </c>
      <c r="T182">
        <f t="shared" si="21"/>
        <v>116.19320563520658</v>
      </c>
      <c r="U182">
        <f t="shared" si="22"/>
        <v>218.30900686861997</v>
      </c>
      <c r="W182">
        <f t="shared" si="23"/>
        <v>142.65488204976177</v>
      </c>
      <c r="X182">
        <f t="shared" si="24"/>
        <v>219.7336757183441</v>
      </c>
    </row>
    <row r="183" spans="12:24" x14ac:dyDescent="0.25">
      <c r="L183">
        <f>IF(Original!$D$2=0, Original!B183, Original!B182)</f>
        <v>129.79579899999999</v>
      </c>
      <c r="M183">
        <f>IF(Original!$D$2=0, Original!C183, Original!C182)</f>
        <v>218.682388</v>
      </c>
      <c r="N183">
        <f>IF(Original!$D$2=0, Original!D183, Original!D182)</f>
        <v>177.25119799999999</v>
      </c>
      <c r="O183">
        <f>IF(Original!$D$2=0, Original!H183, Original!H182)</f>
        <v>4.7607520000000001</v>
      </c>
      <c r="Q183">
        <f t="shared" si="19"/>
        <v>129.46703950220248</v>
      </c>
      <c r="R183">
        <f t="shared" si="20"/>
        <v>218.13301519614987</v>
      </c>
      <c r="T183">
        <f t="shared" si="21"/>
        <v>116.23253223562031</v>
      </c>
      <c r="U183">
        <f t="shared" si="22"/>
        <v>217.49245496417805</v>
      </c>
      <c r="W183">
        <f t="shared" si="23"/>
        <v>142.70154676878465</v>
      </c>
      <c r="X183">
        <f t="shared" si="24"/>
        <v>218.77357542812169</v>
      </c>
    </row>
    <row r="184" spans="12:24" x14ac:dyDescent="0.25">
      <c r="L184">
        <f>IF(Original!$D$2=0, Original!B184, Original!B183)</f>
        <v>129.83484000000001</v>
      </c>
      <c r="M184">
        <f>IF(Original!$D$2=0, Original!C184, Original!C183)</f>
        <v>217.83053899999999</v>
      </c>
      <c r="N184">
        <f>IF(Original!$D$2=0, Original!D184, Original!D183)</f>
        <v>178.10389799999999</v>
      </c>
      <c r="O184">
        <f>IF(Original!$D$2=0, Original!H184, Original!H183)</f>
        <v>4.7556390000000004</v>
      </c>
      <c r="Q184">
        <f t="shared" si="19"/>
        <v>129.50390729748997</v>
      </c>
      <c r="R184">
        <f t="shared" si="20"/>
        <v>217.28111258688597</v>
      </c>
      <c r="T184">
        <f t="shared" si="21"/>
        <v>116.26629785366839</v>
      </c>
      <c r="U184">
        <f t="shared" si="22"/>
        <v>216.7082284687211</v>
      </c>
      <c r="W184">
        <f t="shared" si="23"/>
        <v>142.74151674131156</v>
      </c>
      <c r="X184">
        <f t="shared" si="24"/>
        <v>217.85399670505083</v>
      </c>
    </row>
    <row r="185" spans="12:24" x14ac:dyDescent="0.25">
      <c r="L185">
        <f>IF(Original!$D$2=0, Original!B185, Original!B184)</f>
        <v>129.868042</v>
      </c>
      <c r="M185">
        <f>IF(Original!$D$2=0, Original!C185, Original!C184)</f>
        <v>217.018126</v>
      </c>
      <c r="N185">
        <f>IF(Original!$D$2=0, Original!D185, Original!D184)</f>
        <v>178.91699</v>
      </c>
      <c r="O185">
        <f>IF(Original!$D$2=0, Original!H185, Original!H184)</f>
        <v>4.7508419999999996</v>
      </c>
      <c r="Q185">
        <f t="shared" si="19"/>
        <v>129.53516543555793</v>
      </c>
      <c r="R185">
        <f t="shared" si="20"/>
        <v>216.46862164584815</v>
      </c>
      <c r="T185">
        <f t="shared" si="21"/>
        <v>116.29496018356782</v>
      </c>
      <c r="U185">
        <f t="shared" si="22"/>
        <v>215.95924468801263</v>
      </c>
      <c r="W185">
        <f t="shared" si="23"/>
        <v>142.77537068754802</v>
      </c>
      <c r="X185">
        <f t="shared" si="24"/>
        <v>216.97799860368366</v>
      </c>
    </row>
    <row r="186" spans="12:24" x14ac:dyDescent="0.25">
      <c r="L186">
        <f>IF(Original!$D$2=0, Original!B186, Original!B185)</f>
        <v>129.895937</v>
      </c>
      <c r="M186">
        <f>IF(Original!$D$2=0, Original!C186, Original!C185)</f>
        <v>216.248085</v>
      </c>
      <c r="N186">
        <f>IF(Original!$D$2=0, Original!D186, Original!D185)</f>
        <v>179.687534</v>
      </c>
      <c r="O186">
        <f>IF(Original!$D$2=0, Original!H186, Original!H185)</f>
        <v>4.7463649999999999</v>
      </c>
      <c r="Q186">
        <f t="shared" si="19"/>
        <v>129.56134041700292</v>
      </c>
      <c r="R186">
        <f t="shared" si="20"/>
        <v>215.69852234946984</v>
      </c>
      <c r="T186">
        <f t="shared" si="21"/>
        <v>116.31898738198807</v>
      </c>
      <c r="U186">
        <f t="shared" si="22"/>
        <v>215.24842669737703</v>
      </c>
      <c r="W186">
        <f t="shared" si="23"/>
        <v>142.80369345201777</v>
      </c>
      <c r="X186">
        <f t="shared" si="24"/>
        <v>216.14861800156265</v>
      </c>
    </row>
    <row r="187" spans="12:24" x14ac:dyDescent="0.25">
      <c r="L187">
        <f>IF(Original!$D$2=0, Original!B187, Original!B186)</f>
        <v>129.91905700000001</v>
      </c>
      <c r="M187">
        <f>IF(Original!$D$2=0, Original!C187, Original!C186)</f>
        <v>215.52345</v>
      </c>
      <c r="N187">
        <f>IF(Original!$D$2=0, Original!D187, Original!D186)</f>
        <v>180.412587</v>
      </c>
      <c r="O187">
        <f>IF(Original!$D$2=0, Original!H187, Original!H186)</f>
        <v>4.7422129999999996</v>
      </c>
      <c r="Q187">
        <f t="shared" si="19"/>
        <v>129.58296120638278</v>
      </c>
      <c r="R187">
        <f t="shared" si="20"/>
        <v>214.97379178279309</v>
      </c>
      <c r="T187">
        <f t="shared" si="21"/>
        <v>116.33885352257644</v>
      </c>
      <c r="U187">
        <f t="shared" si="22"/>
        <v>214.57868210214497</v>
      </c>
      <c r="W187">
        <f t="shared" si="23"/>
        <v>142.82706889018911</v>
      </c>
      <c r="X187">
        <f t="shared" si="24"/>
        <v>215.3689014634412</v>
      </c>
    </row>
    <row r="188" spans="12:24" x14ac:dyDescent="0.25">
      <c r="L188">
        <f>IF(Original!$D$2=0, Original!B188, Original!B187)</f>
        <v>129.937939</v>
      </c>
      <c r="M188">
        <f>IF(Original!$D$2=0, Original!C188, Original!C187)</f>
        <v>214.847081</v>
      </c>
      <c r="N188">
        <f>IF(Original!$D$2=0, Original!D188, Original!D187)</f>
        <v>181.08921000000001</v>
      </c>
      <c r="O188">
        <f>IF(Original!$D$2=0, Original!H188, Original!H187)</f>
        <v>4.738391</v>
      </c>
      <c r="Q188">
        <f t="shared" si="19"/>
        <v>129.60055278845175</v>
      </c>
      <c r="R188">
        <f t="shared" si="20"/>
        <v>214.29739750401086</v>
      </c>
      <c r="T188">
        <f t="shared" si="21"/>
        <v>116.3550317318747</v>
      </c>
      <c r="U188">
        <f t="shared" si="22"/>
        <v>213.95290956550784</v>
      </c>
      <c r="W188">
        <f t="shared" si="23"/>
        <v>142.8460738450288</v>
      </c>
      <c r="X188">
        <f t="shared" si="24"/>
        <v>214.64188544251388</v>
      </c>
    </row>
    <row r="189" spans="12:24" x14ac:dyDescent="0.25">
      <c r="L189">
        <f>IF(Original!$D$2=0, Original!B189, Original!B188)</f>
        <v>129.95313300000001</v>
      </c>
      <c r="M189">
        <f>IF(Original!$D$2=0, Original!C189, Original!C188)</f>
        <v>214.22061400000001</v>
      </c>
      <c r="N189">
        <f>IF(Original!$D$2=0, Original!D189, Original!D188)</f>
        <v>181.71588199999999</v>
      </c>
      <c r="O189">
        <f>IF(Original!$D$2=0, Original!H189, Original!H188)</f>
        <v>4.7348939999999997</v>
      </c>
      <c r="Q189">
        <f t="shared" si="19"/>
        <v>129.61465486364023</v>
      </c>
      <c r="R189">
        <f t="shared" si="20"/>
        <v>213.67088419444804</v>
      </c>
      <c r="T189">
        <f t="shared" si="21"/>
        <v>116.36801012491313</v>
      </c>
      <c r="U189">
        <f t="shared" si="22"/>
        <v>213.3727178550437</v>
      </c>
      <c r="W189">
        <f t="shared" si="23"/>
        <v>142.86129960236732</v>
      </c>
      <c r="X189">
        <f t="shared" si="24"/>
        <v>213.96905053385237</v>
      </c>
    </row>
    <row r="190" spans="12:24" x14ac:dyDescent="0.25">
      <c r="L190">
        <f>IF(Original!$D$2=0, Original!B190, Original!B189)</f>
        <v>129.965191</v>
      </c>
      <c r="M190">
        <f>IF(Original!$D$2=0, Original!C190, Original!C189)</f>
        <v>213.644059</v>
      </c>
      <c r="N190">
        <f>IF(Original!$D$2=0, Original!D190, Original!D189)</f>
        <v>182.292553</v>
      </c>
      <c r="O190">
        <f>IF(Original!$D$2=0, Original!H190, Original!H189)</f>
        <v>4.7317130000000001</v>
      </c>
      <c r="Q190">
        <f t="shared" si="19"/>
        <v>129.62579777183234</v>
      </c>
      <c r="R190">
        <f t="shared" si="20"/>
        <v>213.09432086068665</v>
      </c>
      <c r="T190">
        <f t="shared" si="21"/>
        <v>116.37827158733872</v>
      </c>
      <c r="U190">
        <f t="shared" si="22"/>
        <v>212.83829353566858</v>
      </c>
      <c r="W190">
        <f t="shared" si="23"/>
        <v>142.87332395632595</v>
      </c>
      <c r="X190">
        <f t="shared" si="24"/>
        <v>213.35034818570472</v>
      </c>
    </row>
    <row r="191" spans="12:24" x14ac:dyDescent="0.25">
      <c r="L191">
        <f>IF(Original!$D$2=0, Original!B191, Original!B190)</f>
        <v>129.97461000000001</v>
      </c>
      <c r="M191">
        <f>IF(Original!$D$2=0, Original!C191, Original!C190)</f>
        <v>213.11747800000001</v>
      </c>
      <c r="N191">
        <f>IF(Original!$D$2=0, Original!D191, Original!D190)</f>
        <v>182.81922499999999</v>
      </c>
      <c r="O191">
        <f>IF(Original!$D$2=0, Original!H191, Original!H190)</f>
        <v>4.7288370000000004</v>
      </c>
      <c r="Q191">
        <f t="shared" si="19"/>
        <v>129.63446009262663</v>
      </c>
      <c r="R191">
        <f t="shared" si="20"/>
        <v>212.56772010130393</v>
      </c>
      <c r="T191">
        <f t="shared" si="21"/>
        <v>116.38625236215864</v>
      </c>
      <c r="U191">
        <f t="shared" si="22"/>
        <v>212.34979366791782</v>
      </c>
      <c r="W191">
        <f t="shared" si="23"/>
        <v>142.88266782309461</v>
      </c>
      <c r="X191">
        <f t="shared" si="24"/>
        <v>212.78564653469004</v>
      </c>
    </row>
    <row r="192" spans="12:24" x14ac:dyDescent="0.25">
      <c r="L192">
        <f>IF(Original!$D$2=0, Original!B192, Original!B191)</f>
        <v>129.98183499999999</v>
      </c>
      <c r="M192">
        <f>IF(Original!$D$2=0, Original!C192, Original!C191)</f>
        <v>212.64086399999999</v>
      </c>
      <c r="N192">
        <f>IF(Original!$D$2=0, Original!D192, Original!D191)</f>
        <v>183.295897</v>
      </c>
      <c r="O192">
        <f>IF(Original!$D$2=0, Original!H192, Original!H191)</f>
        <v>4.7262599999999999</v>
      </c>
      <c r="Q192">
        <f t="shared" si="19"/>
        <v>129.64107180726256</v>
      </c>
      <c r="R192">
        <f t="shared" si="20"/>
        <v>212.09109395765088</v>
      </c>
      <c r="T192">
        <f t="shared" si="21"/>
        <v>116.39234647117644</v>
      </c>
      <c r="U192">
        <f t="shared" si="22"/>
        <v>211.90730884141522</v>
      </c>
      <c r="W192">
        <f t="shared" si="23"/>
        <v>142.88979714334869</v>
      </c>
      <c r="X192">
        <f t="shared" si="24"/>
        <v>212.27487907388655</v>
      </c>
    </row>
    <row r="193" spans="12:24" x14ac:dyDescent="0.25">
      <c r="L193">
        <f>IF(Original!$D$2=0, Original!B193, Original!B192)</f>
        <v>129.98726500000001</v>
      </c>
      <c r="M193">
        <f>IF(Original!$D$2=0, Original!C193, Original!C192)</f>
        <v>212.21417</v>
      </c>
      <c r="N193">
        <f>IF(Original!$D$2=0, Original!D193, Original!D192)</f>
        <v>183.72256899999999</v>
      </c>
      <c r="O193">
        <f>IF(Original!$D$2=0, Original!H193, Original!H192)</f>
        <v>4.7239719999999998</v>
      </c>
      <c r="Q193">
        <f t="shared" si="19"/>
        <v>129.64601384689689</v>
      </c>
      <c r="R193">
        <f t="shared" si="20"/>
        <v>211.66445057984191</v>
      </c>
      <c r="T193">
        <f t="shared" si="21"/>
        <v>116.39690268898418</v>
      </c>
      <c r="U193">
        <f t="shared" si="22"/>
        <v>211.5109790017795</v>
      </c>
      <c r="W193">
        <f t="shared" si="23"/>
        <v>142.89512500480959</v>
      </c>
      <c r="X193">
        <f t="shared" si="24"/>
        <v>211.81792215790432</v>
      </c>
    </row>
    <row r="194" spans="12:24" x14ac:dyDescent="0.25">
      <c r="L194">
        <f>IF(Original!$D$2=0, Original!B194, Original!B193)</f>
        <v>129.991263</v>
      </c>
      <c r="M194">
        <f>IF(Original!$D$2=0, Original!C194, Original!C193)</f>
        <v>211.836152</v>
      </c>
      <c r="N194">
        <f>IF(Original!$D$2=0, Original!D194, Original!D193)</f>
        <v>184.100662</v>
      </c>
      <c r="O194">
        <f>IF(Original!$D$2=0, Original!H194, Original!H193)</f>
        <v>4.7219600000000002</v>
      </c>
      <c r="Q194">
        <f t="shared" si="19"/>
        <v>129.64963252716785</v>
      </c>
      <c r="R194">
        <f t="shared" si="20"/>
        <v>211.28637489720404</v>
      </c>
      <c r="T194">
        <f t="shared" si="21"/>
        <v>116.40023940179429</v>
      </c>
      <c r="U194">
        <f t="shared" si="22"/>
        <v>211.1595608234434</v>
      </c>
      <c r="W194">
        <f t="shared" si="23"/>
        <v>142.89902565254141</v>
      </c>
      <c r="X194">
        <f t="shared" si="24"/>
        <v>211.41318897096468</v>
      </c>
    </row>
    <row r="195" spans="12:24" x14ac:dyDescent="0.25">
      <c r="L195">
        <f>IF(Original!$D$2=0, Original!B195, Original!B194)</f>
        <v>129.99415200000001</v>
      </c>
      <c r="M195">
        <f>IF(Original!$D$2=0, Original!C195, Original!C194)</f>
        <v>211.50376399999999</v>
      </c>
      <c r="N195">
        <f>IF(Original!$D$2=0, Original!D195, Original!D194)</f>
        <v>184.43306799999999</v>
      </c>
      <c r="O195">
        <f>IF(Original!$D$2=0, Original!H195, Original!H194)</f>
        <v>4.7202029999999997</v>
      </c>
      <c r="Q195">
        <f t="shared" si="19"/>
        <v>129.65222992773951</v>
      </c>
      <c r="R195">
        <f t="shared" si="20"/>
        <v>210.95397904532518</v>
      </c>
      <c r="T195">
        <f t="shared" si="21"/>
        <v>116.40263444091063</v>
      </c>
      <c r="U195">
        <f t="shared" si="22"/>
        <v>210.85044433904909</v>
      </c>
      <c r="W195">
        <f t="shared" si="23"/>
        <v>142.90182541456841</v>
      </c>
      <c r="X195">
        <f t="shared" si="24"/>
        <v>211.05751375160128</v>
      </c>
    </row>
    <row r="196" spans="12:24" x14ac:dyDescent="0.25">
      <c r="L196">
        <f>IF(Original!$D$2=0, Original!B196, Original!B195)</f>
        <v>129.996195</v>
      </c>
      <c r="M196">
        <f>IF(Original!$D$2=0, Original!C196, Original!C195)</f>
        <v>211.21410800000001</v>
      </c>
      <c r="N196">
        <f>IF(Original!$D$2=0, Original!D196, Original!D195)</f>
        <v>184.72273000000001</v>
      </c>
      <c r="O196">
        <f>IF(Original!$D$2=0, Original!H196, Original!H195)</f>
        <v>4.7186810000000001</v>
      </c>
      <c r="Q196">
        <f t="shared" si="19"/>
        <v>129.65405247469965</v>
      </c>
      <c r="R196">
        <f t="shared" si="20"/>
        <v>210.6643227790947</v>
      </c>
      <c r="T196">
        <f t="shared" si="21"/>
        <v>116.40431475434367</v>
      </c>
      <c r="U196">
        <f t="shared" si="22"/>
        <v>210.58095406928211</v>
      </c>
      <c r="W196">
        <f t="shared" si="23"/>
        <v>142.90379019505565</v>
      </c>
      <c r="X196">
        <f t="shared" si="24"/>
        <v>210.74769148890729</v>
      </c>
    </row>
    <row r="197" spans="12:24" x14ac:dyDescent="0.25">
      <c r="L197">
        <f>IF(Original!$D$2=0, Original!B197, Original!B196)</f>
        <v>129.997604</v>
      </c>
      <c r="M197">
        <f>IF(Original!$D$2=0, Original!C197, Original!C196)</f>
        <v>210.964258</v>
      </c>
      <c r="N197">
        <f>IF(Original!$D$2=0, Original!D197, Original!D196)</f>
        <v>184.972587</v>
      </c>
      <c r="O197">
        <f>IF(Original!$D$2=0, Original!H197, Original!H196)</f>
        <v>4.7173740000000004</v>
      </c>
      <c r="Q197">
        <f t="shared" ref="Q197:Q211" si="25">Q196 + ($N197-$N196)*COS($O197)</f>
        <v>129.65529801158698</v>
      </c>
      <c r="R197">
        <f t="shared" ref="R197:R211" si="26">R196 + ($N197-$N196)*SIN($O197)</f>
        <v>210.41446888361403</v>
      </c>
      <c r="T197">
        <f t="shared" si="21"/>
        <v>116.40546264528228</v>
      </c>
      <c r="U197">
        <f t="shared" si="22"/>
        <v>210.34841764727881</v>
      </c>
      <c r="W197">
        <f t="shared" si="23"/>
        <v>142.90513337789167</v>
      </c>
      <c r="X197">
        <f t="shared" si="24"/>
        <v>210.48052011994926</v>
      </c>
    </row>
    <row r="198" spans="12:24" x14ac:dyDescent="0.25">
      <c r="L198">
        <f>IF(Original!$D$2=0, Original!B198, Original!B197)</f>
        <v>129.998547</v>
      </c>
      <c r="M198">
        <f>IF(Original!$D$2=0, Original!C198, Original!C197)</f>
        <v>210.75125399999999</v>
      </c>
      <c r="N198">
        <f>IF(Original!$D$2=0, Original!D198, Original!D197)</f>
        <v>185.18557999999999</v>
      </c>
      <c r="O198">
        <f>IF(Original!$D$2=0, Original!H198, Original!H197)</f>
        <v>4.7162649999999999</v>
      </c>
      <c r="Q198">
        <f t="shared" si="25"/>
        <v>129.65612357456575</v>
      </c>
      <c r="R198">
        <f t="shared" si="26"/>
        <v>210.20147748356521</v>
      </c>
      <c r="T198">
        <f t="shared" ref="T198:T211" si="27">Q198 + $B$10/2 * SIN($O198)</f>
        <v>116.40622310531452</v>
      </c>
      <c r="U198">
        <f t="shared" ref="U198:U211" si="28">R198 - $B$10/2 * COS($O198)</f>
        <v>210.15012035225681</v>
      </c>
      <c r="W198">
        <f t="shared" ref="W198:W211" si="29">Q198 - $B$10/2 * SIN($O198)</f>
        <v>142.90602404381698</v>
      </c>
      <c r="X198">
        <f t="shared" ref="X198:X211" si="30">R198 + $B$10/2 * COS($O198)</f>
        <v>210.25283461487362</v>
      </c>
    </row>
    <row r="199" spans="12:24" x14ac:dyDescent="0.25">
      <c r="L199">
        <f>IF(Original!$D$2=0, Original!B199, Original!B198)</f>
        <v>129.99915799999999</v>
      </c>
      <c r="M199">
        <f>IF(Original!$D$2=0, Original!C199, Original!C198)</f>
        <v>210.57214200000001</v>
      </c>
      <c r="N199">
        <f>IF(Original!$D$2=0, Original!D199, Original!D198)</f>
        <v>185.364653</v>
      </c>
      <c r="O199">
        <f>IF(Original!$D$2=0, Original!H199, Original!H198)</f>
        <v>4.7153359999999997</v>
      </c>
      <c r="Q199">
        <f t="shared" si="25"/>
        <v>129.65665130544545</v>
      </c>
      <c r="R199">
        <f t="shared" si="26"/>
        <v>210.0224052611824</v>
      </c>
      <c r="T199">
        <f t="shared" si="27"/>
        <v>116.40670884302936</v>
      </c>
      <c r="U199">
        <f t="shared" si="28"/>
        <v>209.98335730780101</v>
      </c>
      <c r="W199">
        <f t="shared" si="29"/>
        <v>142.90659376786152</v>
      </c>
      <c r="X199">
        <f t="shared" si="30"/>
        <v>210.06145321456378</v>
      </c>
    </row>
    <row r="200" spans="12:24" x14ac:dyDescent="0.25">
      <c r="L200">
        <f>IF(Original!$D$2=0, Original!B200, Original!B199)</f>
        <v>129.999538</v>
      </c>
      <c r="M200">
        <f>IF(Original!$D$2=0, Original!C200, Original!C199)</f>
        <v>210.424105</v>
      </c>
      <c r="N200">
        <f>IF(Original!$D$2=0, Original!D200, Original!D199)</f>
        <v>185.512744</v>
      </c>
      <c r="O200">
        <f>IF(Original!$D$2=0, Original!H200, Original!H199)</f>
        <v>4.7145710000000003</v>
      </c>
      <c r="Q200">
        <f t="shared" si="25"/>
        <v>129.65697444265589</v>
      </c>
      <c r="R200">
        <f t="shared" si="26"/>
        <v>209.87431461372842</v>
      </c>
      <c r="T200">
        <f t="shared" si="27"/>
        <v>116.40700598565699</v>
      </c>
      <c r="U200">
        <f t="shared" si="28"/>
        <v>209.84540287676805</v>
      </c>
      <c r="W200">
        <f t="shared" si="29"/>
        <v>142.90694289965481</v>
      </c>
      <c r="X200">
        <f t="shared" si="30"/>
        <v>209.90322635068878</v>
      </c>
    </row>
    <row r="201" spans="12:24" x14ac:dyDescent="0.25">
      <c r="L201">
        <f>IF(Original!$D$2=0, Original!B201, Original!B200)</f>
        <v>129.999763</v>
      </c>
      <c r="M201">
        <f>IF(Original!$D$2=0, Original!C201, Original!C200)</f>
        <v>210.30400700000001</v>
      </c>
      <c r="N201">
        <f>IF(Original!$D$2=0, Original!D201, Original!D200)</f>
        <v>185.63279600000001</v>
      </c>
      <c r="O201">
        <f>IF(Original!$D$2=0, Original!H201, Original!H200)</f>
        <v>4.7139509999999998</v>
      </c>
      <c r="Q201">
        <f t="shared" si="25"/>
        <v>129.6571619661585</v>
      </c>
      <c r="R201">
        <f t="shared" si="26"/>
        <v>209.75426276018612</v>
      </c>
      <c r="T201">
        <f t="shared" si="27"/>
        <v>116.40717813052768</v>
      </c>
      <c r="U201">
        <f t="shared" si="28"/>
        <v>209.73356600869963</v>
      </c>
      <c r="W201">
        <f t="shared" si="29"/>
        <v>142.90714580178931</v>
      </c>
      <c r="X201">
        <f t="shared" si="30"/>
        <v>209.77495951167262</v>
      </c>
    </row>
    <row r="202" spans="12:24" x14ac:dyDescent="0.25">
      <c r="L202">
        <f>IF(Original!$D$2=0, Original!B202, Original!B201)</f>
        <v>129.999888</v>
      </c>
      <c r="M202">
        <f>IF(Original!$D$2=0, Original!C202, Original!C201)</f>
        <v>210.209082</v>
      </c>
      <c r="N202">
        <f>IF(Original!$D$2=0, Original!D202, Original!D201)</f>
        <v>185.72774899999999</v>
      </c>
      <c r="O202">
        <f>IF(Original!$D$2=0, Original!H202, Original!H201)</f>
        <v>4.7134619999999998</v>
      </c>
      <c r="Q202">
        <f t="shared" si="25"/>
        <v>129.65726385257048</v>
      </c>
      <c r="R202">
        <f t="shared" si="26"/>
        <v>209.65930981484922</v>
      </c>
      <c r="T202">
        <f t="shared" si="27"/>
        <v>116.40727148040325</v>
      </c>
      <c r="U202">
        <f t="shared" si="28"/>
        <v>209.64509230767464</v>
      </c>
      <c r="W202">
        <f t="shared" si="29"/>
        <v>142.90725622473772</v>
      </c>
      <c r="X202">
        <f t="shared" si="30"/>
        <v>209.6735273220238</v>
      </c>
    </row>
    <row r="203" spans="12:24" x14ac:dyDescent="0.25">
      <c r="L203">
        <f>IF(Original!$D$2=0, Original!B203, Original!B202)</f>
        <v>129.99995200000001</v>
      </c>
      <c r="M203">
        <f>IF(Original!$D$2=0, Original!C203, Original!C202)</f>
        <v>210.136304</v>
      </c>
      <c r="N203">
        <f>IF(Original!$D$2=0, Original!D203, Original!D202)</f>
        <v>185.800546</v>
      </c>
      <c r="O203">
        <f>IF(Original!$D$2=0, Original!H203, Original!H202)</f>
        <v>4.7130879999999999</v>
      </c>
      <c r="Q203">
        <f t="shared" si="25"/>
        <v>129.65731473909727</v>
      </c>
      <c r="R203">
        <f t="shared" si="26"/>
        <v>209.58651283263455</v>
      </c>
      <c r="T203">
        <f t="shared" si="27"/>
        <v>116.40731797626044</v>
      </c>
      <c r="U203">
        <f t="shared" si="28"/>
        <v>209.57725082348597</v>
      </c>
      <c r="W203">
        <f t="shared" si="29"/>
        <v>142.90731150193412</v>
      </c>
      <c r="X203">
        <f t="shared" si="30"/>
        <v>209.59577484178314</v>
      </c>
    </row>
    <row r="204" spans="12:24" x14ac:dyDescent="0.25">
      <c r="L204">
        <f>IF(Original!$D$2=0, Original!B204, Original!B203)</f>
        <v>129.99998199999999</v>
      </c>
      <c r="M204">
        <f>IF(Original!$D$2=0, Original!C204, Original!C203)</f>
        <v>210.08271199999999</v>
      </c>
      <c r="N204">
        <f>IF(Original!$D$2=0, Original!D204, Original!D203)</f>
        <v>185.85412600000001</v>
      </c>
      <c r="O204">
        <f>IF(Original!$D$2=0, Original!H204, Original!H203)</f>
        <v>4.7128129999999997</v>
      </c>
      <c r="Q204">
        <f t="shared" si="25"/>
        <v>129.65733745806759</v>
      </c>
      <c r="R204">
        <f t="shared" si="26"/>
        <v>209.5329328374512</v>
      </c>
      <c r="T204">
        <f t="shared" si="27"/>
        <v>116.40733864919378</v>
      </c>
      <c r="U204">
        <f t="shared" si="28"/>
        <v>209.52731457771671</v>
      </c>
      <c r="W204">
        <f t="shared" si="29"/>
        <v>142.9073362669414</v>
      </c>
      <c r="X204">
        <f t="shared" si="30"/>
        <v>209.53855109718569</v>
      </c>
    </row>
    <row r="205" spans="12:24" x14ac:dyDescent="0.25">
      <c r="L205">
        <f>IF(Original!$D$2=0, Original!B205, Original!B204)</f>
        <v>129.99999500000001</v>
      </c>
      <c r="M205">
        <f>IF(Original!$D$2=0, Original!C205, Original!C204)</f>
        <v>210.04538600000001</v>
      </c>
      <c r="N205">
        <f>IF(Original!$D$2=0, Original!D205, Original!D204)</f>
        <v>185.89143200000001</v>
      </c>
      <c r="O205">
        <f>IF(Original!$D$2=0, Original!H205, Original!H204)</f>
        <v>4.7126219999999996</v>
      </c>
      <c r="Q205">
        <f t="shared" si="25"/>
        <v>129.65734615109727</v>
      </c>
      <c r="R205">
        <f t="shared" si="26"/>
        <v>209.49562683846403</v>
      </c>
      <c r="T205">
        <f t="shared" si="27"/>
        <v>116.40734651082245</v>
      </c>
      <c r="U205">
        <f t="shared" si="28"/>
        <v>209.49253932858912</v>
      </c>
      <c r="W205">
        <f t="shared" si="29"/>
        <v>142.90734579137208</v>
      </c>
      <c r="X205">
        <f t="shared" si="30"/>
        <v>209.49871434833895</v>
      </c>
    </row>
    <row r="206" spans="12:24" x14ac:dyDescent="0.25">
      <c r="L206">
        <f>IF(Original!$D$2=0, Original!B206, Original!B205)</f>
        <v>129.999999</v>
      </c>
      <c r="M206">
        <f>IF(Original!$D$2=0, Original!C206, Original!C205)</f>
        <v>210.02139500000001</v>
      </c>
      <c r="N206">
        <f>IF(Original!$D$2=0, Original!D206, Original!D205)</f>
        <v>185.915404</v>
      </c>
      <c r="O206">
        <f>IF(Original!$D$2=0, Original!H206, Original!H205)</f>
        <v>4.7124990000000002</v>
      </c>
      <c r="Q206">
        <f t="shared" si="25"/>
        <v>129.6573487884875</v>
      </c>
      <c r="R206">
        <f t="shared" si="26"/>
        <v>209.47165483860914</v>
      </c>
      <c r="T206">
        <f t="shared" si="27"/>
        <v>116.40734886867858</v>
      </c>
      <c r="U206">
        <f t="shared" si="28"/>
        <v>209.47019707870922</v>
      </c>
      <c r="W206">
        <f t="shared" si="29"/>
        <v>142.90734870829641</v>
      </c>
      <c r="X206">
        <f t="shared" si="30"/>
        <v>209.47311259850906</v>
      </c>
    </row>
    <row r="207" spans="12:24" x14ac:dyDescent="0.25">
      <c r="L207">
        <f>IF(Original!$D$2=0, Original!B207, Original!B206)</f>
        <v>130</v>
      </c>
      <c r="M207">
        <f>IF(Original!$D$2=0, Original!C207, Original!C206)</f>
        <v>210.007803</v>
      </c>
      <c r="N207">
        <f>IF(Original!$D$2=0, Original!D207, Original!D206)</f>
        <v>185.92898299999999</v>
      </c>
      <c r="O207">
        <f>IF(Original!$D$2=0, Original!H207, Original!H206)</f>
        <v>4.7124290000000002</v>
      </c>
      <c r="Q207">
        <f t="shared" si="25"/>
        <v>129.65734933191385</v>
      </c>
      <c r="R207">
        <f t="shared" si="26"/>
        <v>209.45807583862003</v>
      </c>
      <c r="T207">
        <f t="shared" si="27"/>
        <v>116.40734934252424</v>
      </c>
      <c r="U207">
        <f t="shared" si="28"/>
        <v>209.45754557871732</v>
      </c>
      <c r="W207">
        <f t="shared" si="29"/>
        <v>142.90734932130346</v>
      </c>
      <c r="X207">
        <f t="shared" si="30"/>
        <v>209.45860609852275</v>
      </c>
    </row>
    <row r="208" spans="12:24" x14ac:dyDescent="0.25">
      <c r="L208">
        <f>IF(Original!$D$2=0, Original!B208, Original!B207)</f>
        <v>130</v>
      </c>
      <c r="M208">
        <f>IF(Original!$D$2=0, Original!C208, Original!C207)</f>
        <v>210.00166899999999</v>
      </c>
      <c r="N208">
        <f>IF(Original!$D$2=0, Original!D208, Original!D207)</f>
        <v>185.93511100000001</v>
      </c>
      <c r="O208">
        <f>IF(Original!$D$2=0, Original!H208, Original!H207)</f>
        <v>4.7123980000000003</v>
      </c>
      <c r="Q208">
        <f t="shared" si="25"/>
        <v>129.65734938718606</v>
      </c>
      <c r="R208">
        <f t="shared" si="26"/>
        <v>209.45194783862027</v>
      </c>
      <c r="T208">
        <f t="shared" si="27"/>
        <v>116.40734938772502</v>
      </c>
      <c r="U208">
        <f t="shared" si="28"/>
        <v>209.4518283287174</v>
      </c>
      <c r="W208">
        <f t="shared" si="29"/>
        <v>142.9073493866471</v>
      </c>
      <c r="X208">
        <f t="shared" si="30"/>
        <v>209.45206734852314</v>
      </c>
    </row>
    <row r="209" spans="12:24" x14ac:dyDescent="0.25">
      <c r="L209">
        <f>IF(Original!$D$2=0, Original!B209, Original!B208)</f>
        <v>130</v>
      </c>
      <c r="M209">
        <f>IF(Original!$D$2=0, Original!C209, Original!C208)</f>
        <v>210.00004899999999</v>
      </c>
      <c r="N209">
        <f>IF(Original!$D$2=0, Original!D209, Original!D208)</f>
        <v>185.93672900000001</v>
      </c>
      <c r="O209">
        <f>IF(Original!$D$2=0, Original!H209, Original!H208)</f>
        <v>4.7123889999999999</v>
      </c>
      <c r="Q209">
        <f t="shared" si="25"/>
        <v>129.65734938721781</v>
      </c>
      <c r="R209">
        <f t="shared" si="26"/>
        <v>209.45032983862026</v>
      </c>
      <c r="T209">
        <f t="shared" si="27"/>
        <v>116.40734938721781</v>
      </c>
      <c r="U209">
        <f t="shared" si="28"/>
        <v>209.4503295787174</v>
      </c>
      <c r="W209">
        <f t="shared" si="29"/>
        <v>142.90734938721781</v>
      </c>
      <c r="X209">
        <f t="shared" si="30"/>
        <v>209.45033009852312</v>
      </c>
    </row>
    <row r="210" spans="12:24" x14ac:dyDescent="0.25">
      <c r="L210">
        <f>IF(Original!$D$2=0, Original!B210, Original!B209)</f>
        <v>130</v>
      </c>
      <c r="M210">
        <f>IF(Original!$D$2=0, Original!C210, Original!C209)</f>
        <v>210</v>
      </c>
      <c r="N210">
        <f>IF(Original!$D$2=0, Original!D210, Original!D209)</f>
        <v>185.936778</v>
      </c>
      <c r="O210">
        <f>IF(Original!$D$2=0, Original!H210, Original!H209)</f>
        <v>4.7123889999999999</v>
      </c>
      <c r="Q210">
        <f t="shared" si="25"/>
        <v>129.65734938721877</v>
      </c>
      <c r="R210">
        <f t="shared" si="26"/>
        <v>209.45028083862027</v>
      </c>
      <c r="T210">
        <f t="shared" si="27"/>
        <v>116.40734938721877</v>
      </c>
      <c r="U210">
        <f t="shared" si="28"/>
        <v>209.45028057871741</v>
      </c>
      <c r="W210">
        <f t="shared" si="29"/>
        <v>142.90734938721877</v>
      </c>
      <c r="X210">
        <f t="shared" si="30"/>
        <v>209.45028109852313</v>
      </c>
    </row>
    <row r="211" spans="12:24" x14ac:dyDescent="0.25">
      <c r="L211">
        <f>IF(Original!$D$2=0, Original!B211, Original!B210)</f>
        <v>130</v>
      </c>
      <c r="M211">
        <f>IF(Original!$D$2=0, Original!C211, Original!C210)</f>
        <v>210</v>
      </c>
      <c r="N211">
        <f>IF(Original!$D$2=0, Original!D211, Original!D210)</f>
        <v>185.936778</v>
      </c>
      <c r="O211">
        <f>IF(Original!$D$2=0, Original!H211, Original!H210)</f>
        <v>4.7123889999999999</v>
      </c>
      <c r="Q211">
        <f t="shared" si="25"/>
        <v>129.65734938721877</v>
      </c>
      <c r="R211">
        <f t="shared" si="26"/>
        <v>209.45028083862027</v>
      </c>
      <c r="T211">
        <f t="shared" si="27"/>
        <v>116.40734938721877</v>
      </c>
      <c r="U211">
        <f t="shared" si="28"/>
        <v>209.45028057871741</v>
      </c>
      <c r="W211">
        <f t="shared" si="29"/>
        <v>142.90734938721877</v>
      </c>
      <c r="X211">
        <f t="shared" si="30"/>
        <v>209.45028109852313</v>
      </c>
    </row>
  </sheetData>
  <conditionalFormatting sqref="C7:C8">
    <cfRule type="cellIs" dxfId="0" priority="1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Path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1</xdr:col>
                    <xdr:colOff>476250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aveFiles">
                <anchor moveWithCells="1" sizeWithCells="1">
                  <from>
                    <xdr:col>1</xdr:col>
                    <xdr:colOff>523875</xdr:colOff>
                    <xdr:row>0</xdr:row>
                    <xdr:rowOff>57150</xdr:rowOff>
                  </from>
                  <to>
                    <xdr:col>3</xdr:col>
                    <xdr:colOff>542925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0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0.02</v>
      </c>
      <c r="B2">
        <v>0</v>
      </c>
      <c r="C2">
        <v>300</v>
      </c>
      <c r="D2">
        <v>1.4710000000000001E-3</v>
      </c>
      <c r="E2">
        <v>0.147059</v>
      </c>
      <c r="F2">
        <v>7.3529410000000004</v>
      </c>
      <c r="G2">
        <v>367.64705900000001</v>
      </c>
      <c r="H2">
        <v>6.2831039999999998</v>
      </c>
    </row>
    <row r="3" spans="1:8" x14ac:dyDescent="0.25">
      <c r="A3">
        <v>0.02</v>
      </c>
      <c r="B3">
        <v>0</v>
      </c>
      <c r="C3">
        <v>300</v>
      </c>
      <c r="D3">
        <v>7.3530000000000002E-3</v>
      </c>
      <c r="E3">
        <v>0.44117600000000001</v>
      </c>
      <c r="F3">
        <v>14.705882000000001</v>
      </c>
      <c r="G3">
        <v>367.64705900000001</v>
      </c>
      <c r="H3">
        <v>6.2831060000000001</v>
      </c>
    </row>
    <row r="4" spans="1:8" x14ac:dyDescent="0.25">
      <c r="A4">
        <v>0.02</v>
      </c>
      <c r="B4">
        <v>0</v>
      </c>
      <c r="C4">
        <v>300</v>
      </c>
      <c r="D4">
        <v>2.0587999999999999E-2</v>
      </c>
      <c r="E4">
        <v>0.88235300000000005</v>
      </c>
      <c r="F4">
        <v>22.058824000000001</v>
      </c>
      <c r="G4">
        <v>367.64705900000001</v>
      </c>
      <c r="H4">
        <v>6.283112</v>
      </c>
    </row>
    <row r="5" spans="1:8" x14ac:dyDescent="0.25">
      <c r="A5">
        <v>0.02</v>
      </c>
      <c r="B5">
        <v>0</v>
      </c>
      <c r="C5">
        <v>300</v>
      </c>
      <c r="D5">
        <v>4.4117999999999997E-2</v>
      </c>
      <c r="E5">
        <v>1.470588</v>
      </c>
      <c r="F5">
        <v>29.411764999999999</v>
      </c>
      <c r="G5">
        <v>367.64705900000001</v>
      </c>
      <c r="H5">
        <v>6.2831219999999997</v>
      </c>
    </row>
    <row r="6" spans="1:8" x14ac:dyDescent="0.25">
      <c r="A6">
        <v>0.02</v>
      </c>
      <c r="B6">
        <v>0</v>
      </c>
      <c r="C6">
        <v>300</v>
      </c>
      <c r="D6">
        <v>8.0881999999999996E-2</v>
      </c>
      <c r="E6">
        <v>2.2058819999999999</v>
      </c>
      <c r="F6">
        <v>36.764705999999997</v>
      </c>
      <c r="G6">
        <v>367.64705900000001</v>
      </c>
      <c r="H6">
        <v>6.2831380000000001</v>
      </c>
    </row>
    <row r="7" spans="1:8" x14ac:dyDescent="0.25">
      <c r="A7">
        <v>0.02</v>
      </c>
      <c r="B7">
        <v>0</v>
      </c>
      <c r="C7">
        <v>300</v>
      </c>
      <c r="D7">
        <v>0.133824</v>
      </c>
      <c r="E7">
        <v>3.0882350000000001</v>
      </c>
      <c r="F7">
        <v>44.117646999999998</v>
      </c>
      <c r="G7">
        <v>367.64705900000001</v>
      </c>
      <c r="H7">
        <v>6.2831609999999998</v>
      </c>
    </row>
    <row r="8" spans="1:8" x14ac:dyDescent="0.25">
      <c r="A8">
        <v>0.02</v>
      </c>
      <c r="B8">
        <v>1.3573999999999999E-2</v>
      </c>
      <c r="C8">
        <v>300</v>
      </c>
      <c r="D8">
        <v>0.20588200000000001</v>
      </c>
      <c r="E8">
        <v>4.1176469999999998</v>
      </c>
      <c r="F8">
        <v>51.470587999999999</v>
      </c>
      <c r="G8">
        <v>367.64705900000001</v>
      </c>
      <c r="H8">
        <v>6.0000000000000002E-6</v>
      </c>
    </row>
    <row r="9" spans="1:8" x14ac:dyDescent="0.25">
      <c r="A9">
        <v>0.02</v>
      </c>
      <c r="B9">
        <v>0.107691</v>
      </c>
      <c r="C9">
        <v>300.00000199999999</v>
      </c>
      <c r="D9">
        <v>0.3</v>
      </c>
      <c r="E9">
        <v>5.2941180000000001</v>
      </c>
      <c r="F9">
        <v>58.823529000000001</v>
      </c>
      <c r="G9">
        <v>367.64705900000001</v>
      </c>
      <c r="H9">
        <v>4.5000000000000003E-5</v>
      </c>
    </row>
    <row r="10" spans="1:8" x14ac:dyDescent="0.25">
      <c r="A10">
        <v>0.02</v>
      </c>
      <c r="B10">
        <v>0.22680900000000001</v>
      </c>
      <c r="C10">
        <v>300.00001099999997</v>
      </c>
      <c r="D10">
        <v>0.41911799999999999</v>
      </c>
      <c r="E10">
        <v>6.6176469999999998</v>
      </c>
      <c r="F10">
        <v>66.176471000000006</v>
      </c>
      <c r="G10">
        <v>367.64705900000001</v>
      </c>
      <c r="H10">
        <v>9.2999999999999997E-5</v>
      </c>
    </row>
    <row r="11" spans="1:8" x14ac:dyDescent="0.25">
      <c r="A11">
        <v>0.02</v>
      </c>
      <c r="B11">
        <v>0.37386900000000001</v>
      </c>
      <c r="C11">
        <v>300.00002899999998</v>
      </c>
      <c r="D11">
        <v>0.56617600000000001</v>
      </c>
      <c r="E11">
        <v>8.0882349999999992</v>
      </c>
      <c r="F11">
        <v>73.529411999999994</v>
      </c>
      <c r="G11">
        <v>367.64705900000001</v>
      </c>
      <c r="H11">
        <v>1.5100000000000001E-4</v>
      </c>
    </row>
    <row r="12" spans="1:8" x14ac:dyDescent="0.25">
      <c r="A12">
        <v>0.02</v>
      </c>
      <c r="B12">
        <v>0.55180899999999999</v>
      </c>
      <c r="C12">
        <v>300.00006200000001</v>
      </c>
      <c r="D12">
        <v>0.74411799999999995</v>
      </c>
      <c r="E12">
        <v>9.7058820000000008</v>
      </c>
      <c r="F12">
        <v>80.882352999999995</v>
      </c>
      <c r="G12">
        <v>367.64705900000001</v>
      </c>
      <c r="H12">
        <v>2.1900000000000001E-4</v>
      </c>
    </row>
    <row r="13" spans="1:8" x14ac:dyDescent="0.25">
      <c r="A13">
        <v>0.02</v>
      </c>
      <c r="B13">
        <v>0.763575</v>
      </c>
      <c r="C13">
        <v>300.00011599999999</v>
      </c>
      <c r="D13">
        <v>0.95588200000000001</v>
      </c>
      <c r="E13">
        <v>11.470587999999999</v>
      </c>
      <c r="F13">
        <v>88.235293999999996</v>
      </c>
      <c r="G13">
        <v>367.64705900000001</v>
      </c>
      <c r="H13">
        <v>2.9700000000000001E-4</v>
      </c>
    </row>
    <row r="14" spans="1:8" x14ac:dyDescent="0.25">
      <c r="A14">
        <v>0.02</v>
      </c>
      <c r="B14">
        <v>1.012103</v>
      </c>
      <c r="C14">
        <v>300.000201</v>
      </c>
      <c r="D14">
        <v>1.204412</v>
      </c>
      <c r="E14">
        <v>13.382353</v>
      </c>
      <c r="F14">
        <v>95.588234999999997</v>
      </c>
      <c r="G14">
        <v>367.64705900000001</v>
      </c>
      <c r="H14">
        <v>3.8299999999999999E-4</v>
      </c>
    </row>
    <row r="15" spans="1:8" x14ac:dyDescent="0.25">
      <c r="A15">
        <v>0.02</v>
      </c>
      <c r="B15">
        <v>1.3003389999999999</v>
      </c>
      <c r="C15">
        <v>300.00032499999998</v>
      </c>
      <c r="D15">
        <v>1.4926470000000001</v>
      </c>
      <c r="E15">
        <v>15.441176</v>
      </c>
      <c r="F15">
        <v>102.941176</v>
      </c>
      <c r="G15">
        <v>367.64705900000001</v>
      </c>
      <c r="H15">
        <v>4.7699999999999999E-4</v>
      </c>
    </row>
    <row r="16" spans="1:8" x14ac:dyDescent="0.25">
      <c r="A16">
        <v>0.02</v>
      </c>
      <c r="B16">
        <v>1.631221</v>
      </c>
      <c r="C16">
        <v>300.00049999999999</v>
      </c>
      <c r="D16">
        <v>1.823529</v>
      </c>
      <c r="E16">
        <v>17.647058999999999</v>
      </c>
      <c r="F16">
        <v>110.294118</v>
      </c>
      <c r="G16">
        <v>367.64705900000001</v>
      </c>
      <c r="H16">
        <v>5.7600000000000001E-4</v>
      </c>
    </row>
    <row r="17" spans="1:8" x14ac:dyDescent="0.25">
      <c r="A17">
        <v>0.02</v>
      </c>
      <c r="B17">
        <v>2.007692</v>
      </c>
      <c r="C17">
        <v>300.00073600000002</v>
      </c>
      <c r="D17">
        <v>2.2000000000000002</v>
      </c>
      <c r="E17">
        <v>20</v>
      </c>
      <c r="F17">
        <v>117.647059</v>
      </c>
      <c r="G17">
        <v>367.64705900000001</v>
      </c>
      <c r="H17">
        <v>6.78E-4</v>
      </c>
    </row>
    <row r="18" spans="1:8" x14ac:dyDescent="0.25">
      <c r="A18">
        <v>0.02</v>
      </c>
      <c r="B18">
        <v>2.4326919999999999</v>
      </c>
      <c r="C18">
        <v>300.00104599999997</v>
      </c>
      <c r="D18">
        <v>2.625</v>
      </c>
      <c r="E18">
        <v>22.5</v>
      </c>
      <c r="F18">
        <v>125</v>
      </c>
      <c r="G18">
        <v>367.64705900000001</v>
      </c>
      <c r="H18">
        <v>7.7899999999999996E-4</v>
      </c>
    </row>
    <row r="19" spans="1:8" x14ac:dyDescent="0.25">
      <c r="A19">
        <v>0.02</v>
      </c>
      <c r="B19">
        <v>2.9076919999999999</v>
      </c>
      <c r="C19">
        <v>300.001439</v>
      </c>
      <c r="D19">
        <v>3.1</v>
      </c>
      <c r="E19">
        <v>25</v>
      </c>
      <c r="F19">
        <v>125</v>
      </c>
      <c r="G19">
        <v>0</v>
      </c>
      <c r="H19">
        <v>8.7399999999999999E-4</v>
      </c>
    </row>
    <row r="20" spans="1:8" x14ac:dyDescent="0.25">
      <c r="A20">
        <v>0.02</v>
      </c>
      <c r="B20">
        <v>3.4326919999999999</v>
      </c>
      <c r="C20">
        <v>300.00192099999998</v>
      </c>
      <c r="D20">
        <v>3.625</v>
      </c>
      <c r="E20">
        <v>27.5</v>
      </c>
      <c r="F20">
        <v>125</v>
      </c>
      <c r="G20">
        <v>0</v>
      </c>
      <c r="H20">
        <v>9.5699999999999995E-4</v>
      </c>
    </row>
    <row r="21" spans="1:8" x14ac:dyDescent="0.25">
      <c r="A21">
        <v>0.02</v>
      </c>
      <c r="B21">
        <v>4.0076919999999996</v>
      </c>
      <c r="C21">
        <v>300.00249100000002</v>
      </c>
      <c r="D21">
        <v>4.2</v>
      </c>
      <c r="E21">
        <v>30</v>
      </c>
      <c r="F21">
        <v>125</v>
      </c>
      <c r="G21">
        <v>0</v>
      </c>
      <c r="H21">
        <v>1.0219999999999999E-3</v>
      </c>
    </row>
    <row r="22" spans="1:8" x14ac:dyDescent="0.25">
      <c r="A22">
        <v>0.02</v>
      </c>
      <c r="B22">
        <v>4.6326919999999996</v>
      </c>
      <c r="C22">
        <v>300.00314400000002</v>
      </c>
      <c r="D22">
        <v>4.8250000000000002</v>
      </c>
      <c r="E22">
        <v>32.5</v>
      </c>
      <c r="F22">
        <v>125</v>
      </c>
      <c r="G22">
        <v>0</v>
      </c>
      <c r="H22">
        <v>1.0629999999999999E-3</v>
      </c>
    </row>
    <row r="23" spans="1:8" x14ac:dyDescent="0.25">
      <c r="A23">
        <v>0.02</v>
      </c>
      <c r="B23">
        <v>5.3076920000000003</v>
      </c>
      <c r="C23">
        <v>300.00386600000002</v>
      </c>
      <c r="D23">
        <v>5.5</v>
      </c>
      <c r="E23">
        <v>35</v>
      </c>
      <c r="F23">
        <v>125</v>
      </c>
      <c r="G23">
        <v>0</v>
      </c>
      <c r="H23">
        <v>1.07E-3</v>
      </c>
    </row>
    <row r="24" spans="1:8" x14ac:dyDescent="0.25">
      <c r="A24">
        <v>0.02</v>
      </c>
      <c r="B24">
        <v>6.0312210000000004</v>
      </c>
      <c r="C24">
        <v>300.00463100000002</v>
      </c>
      <c r="D24">
        <v>6.2235290000000001</v>
      </c>
      <c r="E24">
        <v>37.352941000000001</v>
      </c>
      <c r="F24">
        <v>117.647059</v>
      </c>
      <c r="G24">
        <v>-367.64705900000001</v>
      </c>
      <c r="H24">
        <v>1.036E-3</v>
      </c>
    </row>
    <row r="25" spans="1:8" x14ac:dyDescent="0.25">
      <c r="A25">
        <v>0.02</v>
      </c>
      <c r="B25">
        <v>6.8003390000000001</v>
      </c>
      <c r="C25">
        <v>300.00539900000001</v>
      </c>
      <c r="D25">
        <v>6.9926469999999998</v>
      </c>
      <c r="E25">
        <v>39.558824000000001</v>
      </c>
      <c r="F25">
        <v>110.294118</v>
      </c>
      <c r="G25">
        <v>-367.64705900000001</v>
      </c>
      <c r="H25">
        <v>9.5299999999999996E-4</v>
      </c>
    </row>
    <row r="26" spans="1:8" x14ac:dyDescent="0.25">
      <c r="A26">
        <v>0.02</v>
      </c>
      <c r="B26">
        <v>7.6121030000000003</v>
      </c>
      <c r="C26">
        <v>300.00611900000001</v>
      </c>
      <c r="D26">
        <v>7.8044120000000001</v>
      </c>
      <c r="E26">
        <v>41.617646999999998</v>
      </c>
      <c r="F26">
        <v>102.941176</v>
      </c>
      <c r="G26">
        <v>-367.64705900000001</v>
      </c>
      <c r="H26">
        <v>8.12E-4</v>
      </c>
    </row>
    <row r="27" spans="1:8" x14ac:dyDescent="0.25">
      <c r="A27">
        <v>0.02</v>
      </c>
      <c r="B27">
        <v>8.4635730000000002</v>
      </c>
      <c r="C27">
        <v>300.00672700000001</v>
      </c>
      <c r="D27">
        <v>8.6558820000000001</v>
      </c>
      <c r="E27">
        <v>43.529412000000001</v>
      </c>
      <c r="F27">
        <v>95.588234999999997</v>
      </c>
      <c r="G27">
        <v>-367.64705900000001</v>
      </c>
      <c r="H27">
        <v>6.0700000000000001E-4</v>
      </c>
    </row>
    <row r="28" spans="1:8" x14ac:dyDescent="0.25">
      <c r="A28">
        <v>0.02</v>
      </c>
      <c r="B28">
        <v>9.3518100000000004</v>
      </c>
      <c r="C28">
        <v>300.00714699999997</v>
      </c>
      <c r="D28">
        <v>9.5441179999999992</v>
      </c>
      <c r="E28">
        <v>45.294117999999997</v>
      </c>
      <c r="F28">
        <v>88.235293999999996</v>
      </c>
      <c r="G28">
        <v>-367.64705900000001</v>
      </c>
      <c r="H28">
        <v>3.28E-4</v>
      </c>
    </row>
    <row r="29" spans="1:8" x14ac:dyDescent="0.25">
      <c r="A29">
        <v>0.02</v>
      </c>
      <c r="B29">
        <v>10.273868999999999</v>
      </c>
      <c r="C29">
        <v>300.00729000000001</v>
      </c>
      <c r="D29">
        <v>10.466176000000001</v>
      </c>
      <c r="E29">
        <v>46.911765000000003</v>
      </c>
      <c r="F29">
        <v>80.882352999999995</v>
      </c>
      <c r="G29">
        <v>-367.64705900000001</v>
      </c>
      <c r="H29">
        <v>6.2831549999999998</v>
      </c>
    </row>
    <row r="30" spans="1:8" x14ac:dyDescent="0.25">
      <c r="A30">
        <v>0.02</v>
      </c>
      <c r="B30">
        <v>11.22681</v>
      </c>
      <c r="C30">
        <v>300.00705599999998</v>
      </c>
      <c r="D30">
        <v>11.419117999999999</v>
      </c>
      <c r="E30">
        <v>48.382353000000002</v>
      </c>
      <c r="F30">
        <v>73.529411999999994</v>
      </c>
      <c r="G30">
        <v>-367.64705900000001</v>
      </c>
      <c r="H30">
        <v>6.2827109999999999</v>
      </c>
    </row>
    <row r="31" spans="1:8" x14ac:dyDescent="0.25">
      <c r="A31">
        <v>0.02</v>
      </c>
      <c r="B31">
        <v>12.207693000000001</v>
      </c>
      <c r="C31">
        <v>300.00633399999998</v>
      </c>
      <c r="D31">
        <v>12.4</v>
      </c>
      <c r="E31">
        <v>49.705882000000003</v>
      </c>
      <c r="F31">
        <v>66.176471000000006</v>
      </c>
      <c r="G31">
        <v>-367.64705900000001</v>
      </c>
      <c r="H31">
        <v>6.2821749999999996</v>
      </c>
    </row>
    <row r="32" spans="1:8" x14ac:dyDescent="0.25">
      <c r="A32">
        <v>0.02</v>
      </c>
      <c r="B32">
        <v>13.213573999999999</v>
      </c>
      <c r="C32">
        <v>300.00500699999998</v>
      </c>
      <c r="D32">
        <v>13.405882</v>
      </c>
      <c r="E32">
        <v>50.882353000000002</v>
      </c>
      <c r="F32">
        <v>58.823529000000001</v>
      </c>
      <c r="G32">
        <v>-367.64705900000001</v>
      </c>
      <c r="H32">
        <v>6.281542</v>
      </c>
    </row>
    <row r="33" spans="1:8" x14ac:dyDescent="0.25">
      <c r="A33">
        <v>0.02</v>
      </c>
      <c r="B33">
        <v>14.241512</v>
      </c>
      <c r="C33">
        <v>300.002949</v>
      </c>
      <c r="D33">
        <v>14.433824</v>
      </c>
      <c r="E33">
        <v>51.911765000000003</v>
      </c>
      <c r="F33">
        <v>51.470587999999999</v>
      </c>
      <c r="G33">
        <v>-367.64705900000001</v>
      </c>
      <c r="H33">
        <v>6.2808080000000004</v>
      </c>
    </row>
    <row r="34" spans="1:8" x14ac:dyDescent="0.25">
      <c r="A34">
        <v>0.02</v>
      </c>
      <c r="B34">
        <v>15.288569000000001</v>
      </c>
      <c r="C34">
        <v>300.00002799999999</v>
      </c>
      <c r="D34">
        <v>15.480881999999999</v>
      </c>
      <c r="E34">
        <v>52.794117999999997</v>
      </c>
      <c r="F34">
        <v>44.117646999999998</v>
      </c>
      <c r="G34">
        <v>-367.64705900000001</v>
      </c>
      <c r="H34">
        <v>6.2799680000000002</v>
      </c>
    </row>
    <row r="35" spans="1:8" x14ac:dyDescent="0.25">
      <c r="A35">
        <v>0.02</v>
      </c>
      <c r="B35">
        <v>16.351796</v>
      </c>
      <c r="C35">
        <v>299.99611199999998</v>
      </c>
      <c r="D35">
        <v>16.544118000000001</v>
      </c>
      <c r="E35">
        <v>53.529412000000001</v>
      </c>
      <c r="F35">
        <v>36.764705999999997</v>
      </c>
      <c r="G35">
        <v>-367.64705900000001</v>
      </c>
      <c r="H35">
        <v>6.2790210000000002</v>
      </c>
    </row>
    <row r="36" spans="1:8" x14ac:dyDescent="0.25">
      <c r="A36">
        <v>0.02</v>
      </c>
      <c r="B36">
        <v>17.428256999999999</v>
      </c>
      <c r="C36">
        <v>299.99106899999998</v>
      </c>
      <c r="D36">
        <v>17.620588000000001</v>
      </c>
      <c r="E36">
        <v>54.117646999999998</v>
      </c>
      <c r="F36">
        <v>29.411764999999999</v>
      </c>
      <c r="G36">
        <v>-367.64705900000001</v>
      </c>
      <c r="H36">
        <v>6.2779629999999997</v>
      </c>
    </row>
    <row r="37" spans="1:8" x14ac:dyDescent="0.25">
      <c r="A37">
        <v>0.02</v>
      </c>
      <c r="B37">
        <v>18.515004000000001</v>
      </c>
      <c r="C37">
        <v>299.98476699999998</v>
      </c>
      <c r="D37">
        <v>18.707353000000001</v>
      </c>
      <c r="E37">
        <v>54.558824000000001</v>
      </c>
      <c r="F37">
        <v>22.058824000000001</v>
      </c>
      <c r="G37">
        <v>-367.64705900000001</v>
      </c>
      <c r="H37">
        <v>6.2767939999999998</v>
      </c>
    </row>
    <row r="38" spans="1:8" x14ac:dyDescent="0.25">
      <c r="A38">
        <v>0.02</v>
      </c>
      <c r="B38">
        <v>19.609092</v>
      </c>
      <c r="C38">
        <v>299.97708399999999</v>
      </c>
      <c r="D38">
        <v>19.801470999999999</v>
      </c>
      <c r="E38">
        <v>54.852941000000001</v>
      </c>
      <c r="F38">
        <v>14.705882000000001</v>
      </c>
      <c r="G38">
        <v>-367.64705900000001</v>
      </c>
      <c r="H38">
        <v>6.2755150000000004</v>
      </c>
    </row>
    <row r="39" spans="1:8" x14ac:dyDescent="0.25">
      <c r="A39">
        <v>0.02</v>
      </c>
      <c r="B39">
        <v>20.707585000000002</v>
      </c>
      <c r="C39">
        <v>299.96790399999998</v>
      </c>
      <c r="D39">
        <v>20.9</v>
      </c>
      <c r="E39">
        <v>55</v>
      </c>
      <c r="F39">
        <v>7.3529410000000004</v>
      </c>
      <c r="G39">
        <v>-367.64705900000001</v>
      </c>
      <c r="H39">
        <v>6.2741239999999996</v>
      </c>
    </row>
    <row r="40" spans="1:8" x14ac:dyDescent="0.25">
      <c r="A40">
        <v>0.02</v>
      </c>
      <c r="B40">
        <v>21.807534</v>
      </c>
      <c r="C40">
        <v>299.95712300000002</v>
      </c>
      <c r="D40">
        <v>22</v>
      </c>
      <c r="E40">
        <v>55</v>
      </c>
      <c r="F40">
        <v>0</v>
      </c>
      <c r="G40">
        <v>-367.64705900000001</v>
      </c>
      <c r="H40">
        <v>6.2726259999999998</v>
      </c>
    </row>
    <row r="41" spans="1:8" x14ac:dyDescent="0.25">
      <c r="A41">
        <v>0.02</v>
      </c>
      <c r="B41">
        <v>22.907463</v>
      </c>
      <c r="C41">
        <v>299.94463500000001</v>
      </c>
      <c r="D41">
        <v>23.1</v>
      </c>
      <c r="E41">
        <v>55</v>
      </c>
      <c r="F41">
        <v>0</v>
      </c>
      <c r="G41">
        <v>0</v>
      </c>
      <c r="H41">
        <v>6.27102</v>
      </c>
    </row>
    <row r="42" spans="1:8" x14ac:dyDescent="0.25">
      <c r="A42">
        <v>0.02</v>
      </c>
      <c r="B42">
        <v>24.007366999999999</v>
      </c>
      <c r="C42">
        <v>299.93031999999999</v>
      </c>
      <c r="D42">
        <v>24.2</v>
      </c>
      <c r="E42">
        <v>55</v>
      </c>
      <c r="F42">
        <v>0</v>
      </c>
      <c r="G42">
        <v>0</v>
      </c>
      <c r="H42">
        <v>6.2693050000000001</v>
      </c>
    </row>
    <row r="43" spans="1:8" x14ac:dyDescent="0.25">
      <c r="A43">
        <v>0.02</v>
      </c>
      <c r="B43">
        <v>25.107247999999998</v>
      </c>
      <c r="C43">
        <v>299.91405900000001</v>
      </c>
      <c r="D43">
        <v>25.3</v>
      </c>
      <c r="E43">
        <v>55</v>
      </c>
      <c r="F43">
        <v>0</v>
      </c>
      <c r="G43">
        <v>0</v>
      </c>
      <c r="H43">
        <v>6.2674799999999999</v>
      </c>
    </row>
    <row r="44" spans="1:8" x14ac:dyDescent="0.25">
      <c r="A44">
        <v>0.02</v>
      </c>
      <c r="B44">
        <v>26.207097999999998</v>
      </c>
      <c r="C44">
        <v>299.89572900000002</v>
      </c>
      <c r="D44">
        <v>26.4</v>
      </c>
      <c r="E44">
        <v>55</v>
      </c>
      <c r="F44">
        <v>0</v>
      </c>
      <c r="G44">
        <v>0</v>
      </c>
      <c r="H44">
        <v>6.2655440000000002</v>
      </c>
    </row>
    <row r="45" spans="1:8" x14ac:dyDescent="0.25">
      <c r="A45">
        <v>0.02</v>
      </c>
      <c r="B45">
        <v>27.306906999999999</v>
      </c>
      <c r="C45">
        <v>299.87520899999998</v>
      </c>
      <c r="D45">
        <v>27.5</v>
      </c>
      <c r="E45">
        <v>55</v>
      </c>
      <c r="F45">
        <v>0</v>
      </c>
      <c r="G45">
        <v>0</v>
      </c>
      <c r="H45">
        <v>6.2634949999999998</v>
      </c>
    </row>
    <row r="46" spans="1:8" x14ac:dyDescent="0.25">
      <c r="A46">
        <v>0.02</v>
      </c>
      <c r="B46">
        <v>28.406669000000001</v>
      </c>
      <c r="C46">
        <v>299.852372</v>
      </c>
      <c r="D46">
        <v>28.6</v>
      </c>
      <c r="E46">
        <v>55</v>
      </c>
      <c r="F46">
        <v>0</v>
      </c>
      <c r="G46">
        <v>0</v>
      </c>
      <c r="H46">
        <v>6.2613320000000003</v>
      </c>
    </row>
    <row r="47" spans="1:8" x14ac:dyDescent="0.25">
      <c r="A47">
        <v>0.02</v>
      </c>
      <c r="B47">
        <v>29.506374999999998</v>
      </c>
      <c r="C47">
        <v>299.82709399999999</v>
      </c>
      <c r="D47">
        <v>29.7</v>
      </c>
      <c r="E47">
        <v>55</v>
      </c>
      <c r="F47">
        <v>0</v>
      </c>
      <c r="G47">
        <v>0</v>
      </c>
      <c r="H47">
        <v>6.2590539999999999</v>
      </c>
    </row>
    <row r="48" spans="1:8" x14ac:dyDescent="0.25">
      <c r="A48">
        <v>0.02</v>
      </c>
      <c r="B48">
        <v>30.606024000000001</v>
      </c>
      <c r="C48">
        <v>299.79924499999998</v>
      </c>
      <c r="D48">
        <v>30.8</v>
      </c>
      <c r="E48">
        <v>55</v>
      </c>
      <c r="F48">
        <v>0</v>
      </c>
      <c r="G48">
        <v>0</v>
      </c>
      <c r="H48">
        <v>6.2566579999999998</v>
      </c>
    </row>
    <row r="49" spans="1:8" x14ac:dyDescent="0.25">
      <c r="A49">
        <v>0.02</v>
      </c>
      <c r="B49">
        <v>31.705601999999999</v>
      </c>
      <c r="C49">
        <v>299.76869699999997</v>
      </c>
      <c r="D49">
        <v>31.9</v>
      </c>
      <c r="E49">
        <v>55</v>
      </c>
      <c r="F49">
        <v>0</v>
      </c>
      <c r="G49">
        <v>0</v>
      </c>
      <c r="H49">
        <v>6.254143</v>
      </c>
    </row>
    <row r="50" spans="1:8" x14ac:dyDescent="0.25">
      <c r="A50">
        <v>0.02</v>
      </c>
      <c r="B50">
        <v>32.805097000000004</v>
      </c>
      <c r="C50">
        <v>299.73531700000001</v>
      </c>
      <c r="D50">
        <v>33</v>
      </c>
      <c r="E50">
        <v>55</v>
      </c>
      <c r="F50">
        <v>0</v>
      </c>
      <c r="G50">
        <v>0</v>
      </c>
      <c r="H50">
        <v>6.2515070000000001</v>
      </c>
    </row>
    <row r="51" spans="1:8" x14ac:dyDescent="0.25">
      <c r="A51">
        <v>0.02</v>
      </c>
      <c r="B51">
        <v>33.904496000000002</v>
      </c>
      <c r="C51">
        <v>299.69897099999997</v>
      </c>
      <c r="D51">
        <v>34.1</v>
      </c>
      <c r="E51">
        <v>55</v>
      </c>
      <c r="F51">
        <v>0</v>
      </c>
      <c r="G51">
        <v>0</v>
      </c>
      <c r="H51">
        <v>6.2487490000000001</v>
      </c>
    </row>
    <row r="52" spans="1:8" x14ac:dyDescent="0.25">
      <c r="A52">
        <v>0.02</v>
      </c>
      <c r="B52">
        <v>35.003787000000003</v>
      </c>
      <c r="C52">
        <v>299.65952499999997</v>
      </c>
      <c r="D52">
        <v>35.200000000000003</v>
      </c>
      <c r="E52">
        <v>55</v>
      </c>
      <c r="F52">
        <v>0</v>
      </c>
      <c r="G52">
        <v>0</v>
      </c>
      <c r="H52">
        <v>6.2458650000000002</v>
      </c>
    </row>
    <row r="53" spans="1:8" x14ac:dyDescent="0.25">
      <c r="A53">
        <v>0.02</v>
      </c>
      <c r="B53">
        <v>36.102955999999999</v>
      </c>
      <c r="C53">
        <v>299.61684000000002</v>
      </c>
      <c r="D53">
        <v>36.299999999999997</v>
      </c>
      <c r="E53">
        <v>55</v>
      </c>
      <c r="F53">
        <v>0</v>
      </c>
      <c r="G53">
        <v>0</v>
      </c>
      <c r="H53">
        <v>6.2428549999999996</v>
      </c>
    </row>
    <row r="54" spans="1:8" x14ac:dyDescent="0.25">
      <c r="A54">
        <v>0.02</v>
      </c>
      <c r="B54">
        <v>37.201988</v>
      </c>
      <c r="C54">
        <v>299.57077600000002</v>
      </c>
      <c r="D54">
        <v>37.4</v>
      </c>
      <c r="E54">
        <v>55</v>
      </c>
      <c r="F54">
        <v>0</v>
      </c>
      <c r="G54">
        <v>0</v>
      </c>
      <c r="H54">
        <v>6.2397159999999996</v>
      </c>
    </row>
    <row r="55" spans="1:8" x14ac:dyDescent="0.25">
      <c r="A55">
        <v>0.02</v>
      </c>
      <c r="B55">
        <v>38.300871999999998</v>
      </c>
      <c r="C55">
        <v>299.52118999999999</v>
      </c>
      <c r="D55">
        <v>38.5</v>
      </c>
      <c r="E55">
        <v>55</v>
      </c>
      <c r="F55">
        <v>0</v>
      </c>
      <c r="G55">
        <v>0</v>
      </c>
      <c r="H55">
        <v>6.2364449999999998</v>
      </c>
    </row>
    <row r="56" spans="1:8" x14ac:dyDescent="0.25">
      <c r="A56">
        <v>0.02</v>
      </c>
      <c r="B56">
        <v>39.399583999999997</v>
      </c>
      <c r="C56">
        <v>299.46793700000001</v>
      </c>
      <c r="D56">
        <v>39.6</v>
      </c>
      <c r="E56">
        <v>55</v>
      </c>
      <c r="F56">
        <v>0</v>
      </c>
      <c r="G56">
        <v>0</v>
      </c>
      <c r="H56">
        <v>6.2330410000000001</v>
      </c>
    </row>
    <row r="57" spans="1:8" x14ac:dyDescent="0.25">
      <c r="A57">
        <v>0.02</v>
      </c>
      <c r="B57">
        <v>40.498103999999998</v>
      </c>
      <c r="C57">
        <v>299.41086899999999</v>
      </c>
      <c r="D57">
        <v>40.700000000000003</v>
      </c>
      <c r="E57">
        <v>55</v>
      </c>
      <c r="F57">
        <v>0</v>
      </c>
      <c r="G57">
        <v>0</v>
      </c>
      <c r="H57">
        <v>6.2294999999999998</v>
      </c>
    </row>
    <row r="58" spans="1:8" x14ac:dyDescent="0.25">
      <c r="A58">
        <v>0.02</v>
      </c>
      <c r="B58">
        <v>41.596409999999999</v>
      </c>
      <c r="C58">
        <v>299.34983599999998</v>
      </c>
      <c r="D58">
        <v>41.8</v>
      </c>
      <c r="E58">
        <v>55</v>
      </c>
      <c r="F58">
        <v>0</v>
      </c>
      <c r="G58">
        <v>0</v>
      </c>
      <c r="H58">
        <v>6.2258209999999998</v>
      </c>
    </row>
    <row r="59" spans="1:8" x14ac:dyDescent="0.25">
      <c r="A59">
        <v>0.02</v>
      </c>
      <c r="B59">
        <v>42.694479000000001</v>
      </c>
      <c r="C59">
        <v>299.28468400000003</v>
      </c>
      <c r="D59">
        <v>42.9</v>
      </c>
      <c r="E59">
        <v>55</v>
      </c>
      <c r="F59">
        <v>0</v>
      </c>
      <c r="G59">
        <v>0</v>
      </c>
      <c r="H59">
        <v>6.2219990000000003</v>
      </c>
    </row>
    <row r="60" spans="1:8" x14ac:dyDescent="0.25">
      <c r="A60">
        <v>0.02</v>
      </c>
      <c r="B60">
        <v>43.792285999999997</v>
      </c>
      <c r="C60">
        <v>299.21525800000001</v>
      </c>
      <c r="D60">
        <v>44</v>
      </c>
      <c r="E60">
        <v>55</v>
      </c>
      <c r="F60">
        <v>0</v>
      </c>
      <c r="G60">
        <v>0</v>
      </c>
      <c r="H60">
        <v>6.2180340000000003</v>
      </c>
    </row>
    <row r="61" spans="1:8" x14ac:dyDescent="0.25">
      <c r="A61">
        <v>0.02</v>
      </c>
      <c r="B61">
        <v>44.889803000000001</v>
      </c>
      <c r="C61">
        <v>299.14139799999998</v>
      </c>
      <c r="D61">
        <v>45.1</v>
      </c>
      <c r="E61">
        <v>55</v>
      </c>
      <c r="F61">
        <v>0</v>
      </c>
      <c r="G61">
        <v>0</v>
      </c>
      <c r="H61">
        <v>6.2139199999999999</v>
      </c>
    </row>
    <row r="62" spans="1:8" x14ac:dyDescent="0.25">
      <c r="A62">
        <v>0.02</v>
      </c>
      <c r="B62">
        <v>45.987000999999999</v>
      </c>
      <c r="C62">
        <v>299.06294200000002</v>
      </c>
      <c r="D62">
        <v>46.2</v>
      </c>
      <c r="E62">
        <v>55</v>
      </c>
      <c r="F62">
        <v>0</v>
      </c>
      <c r="G62">
        <v>0</v>
      </c>
      <c r="H62">
        <v>6.2096559999999998</v>
      </c>
    </row>
    <row r="63" spans="1:8" x14ac:dyDescent="0.25">
      <c r="A63">
        <v>0.02</v>
      </c>
      <c r="B63">
        <v>47.083848000000003</v>
      </c>
      <c r="C63">
        <v>298.97972499999997</v>
      </c>
      <c r="D63">
        <v>47.3</v>
      </c>
      <c r="E63">
        <v>55</v>
      </c>
      <c r="F63">
        <v>0</v>
      </c>
      <c r="G63">
        <v>0</v>
      </c>
      <c r="H63">
        <v>6.2052389999999997</v>
      </c>
    </row>
    <row r="64" spans="1:8" x14ac:dyDescent="0.25">
      <c r="A64">
        <v>0.02</v>
      </c>
      <c r="B64">
        <v>48.180309999999999</v>
      </c>
      <c r="C64">
        <v>298.89157699999998</v>
      </c>
      <c r="D64">
        <v>48.4</v>
      </c>
      <c r="E64">
        <v>55</v>
      </c>
      <c r="F64">
        <v>0</v>
      </c>
      <c r="G64">
        <v>0</v>
      </c>
      <c r="H64">
        <v>6.2006639999999997</v>
      </c>
    </row>
    <row r="65" spans="1:8" x14ac:dyDescent="0.25">
      <c r="A65">
        <v>0.02</v>
      </c>
      <c r="B65">
        <v>49.276350000000001</v>
      </c>
      <c r="C65">
        <v>298.79832599999997</v>
      </c>
      <c r="D65">
        <v>49.5</v>
      </c>
      <c r="E65">
        <v>55</v>
      </c>
      <c r="F65">
        <v>0</v>
      </c>
      <c r="G65">
        <v>0</v>
      </c>
      <c r="H65">
        <v>6.1959289999999996</v>
      </c>
    </row>
    <row r="66" spans="1:8" x14ac:dyDescent="0.25">
      <c r="A66">
        <v>0.02</v>
      </c>
      <c r="B66">
        <v>50.371926999999999</v>
      </c>
      <c r="C66">
        <v>298.69979699999999</v>
      </c>
      <c r="D66">
        <v>50.6</v>
      </c>
      <c r="E66">
        <v>55</v>
      </c>
      <c r="F66">
        <v>0</v>
      </c>
      <c r="G66">
        <v>0</v>
      </c>
      <c r="H66">
        <v>6.1910299999999996</v>
      </c>
    </row>
    <row r="67" spans="1:8" x14ac:dyDescent="0.25">
      <c r="A67">
        <v>0.02</v>
      </c>
      <c r="B67">
        <v>51.466999000000001</v>
      </c>
      <c r="C67">
        <v>298.59581100000003</v>
      </c>
      <c r="D67">
        <v>51.7</v>
      </c>
      <c r="E67">
        <v>55</v>
      </c>
      <c r="F67">
        <v>0</v>
      </c>
      <c r="G67">
        <v>0</v>
      </c>
      <c r="H67">
        <v>6.1859630000000001</v>
      </c>
    </row>
    <row r="68" spans="1:8" x14ac:dyDescent="0.25">
      <c r="A68">
        <v>0.02</v>
      </c>
      <c r="B68">
        <v>52.561520000000002</v>
      </c>
      <c r="C68">
        <v>298.48618399999998</v>
      </c>
      <c r="D68">
        <v>52.8</v>
      </c>
      <c r="E68">
        <v>55</v>
      </c>
      <c r="F68">
        <v>0</v>
      </c>
      <c r="G68">
        <v>0</v>
      </c>
      <c r="H68">
        <v>6.1807239999999997</v>
      </c>
    </row>
    <row r="69" spans="1:8" x14ac:dyDescent="0.25">
      <c r="A69">
        <v>0.02</v>
      </c>
      <c r="B69">
        <v>53.655439999999999</v>
      </c>
      <c r="C69">
        <v>298.37072899999998</v>
      </c>
      <c r="D69">
        <v>53.9</v>
      </c>
      <c r="E69">
        <v>55</v>
      </c>
      <c r="F69">
        <v>0</v>
      </c>
      <c r="G69">
        <v>0</v>
      </c>
      <c r="H69">
        <v>6.1753099999999996</v>
      </c>
    </row>
    <row r="70" spans="1:8" x14ac:dyDescent="0.25">
      <c r="A70">
        <v>0.02</v>
      </c>
      <c r="B70">
        <v>54.748705999999999</v>
      </c>
      <c r="C70">
        <v>298.249256</v>
      </c>
      <c r="D70">
        <v>55</v>
      </c>
      <c r="E70">
        <v>55</v>
      </c>
      <c r="F70">
        <v>0</v>
      </c>
      <c r="G70">
        <v>0</v>
      </c>
      <c r="H70">
        <v>6.1697170000000003</v>
      </c>
    </row>
    <row r="71" spans="1:8" x14ac:dyDescent="0.25">
      <c r="A71">
        <v>0.02</v>
      </c>
      <c r="B71">
        <v>55.841273999999999</v>
      </c>
      <c r="C71">
        <v>298.12156800000002</v>
      </c>
      <c r="D71">
        <v>56.1</v>
      </c>
      <c r="E71">
        <v>55</v>
      </c>
      <c r="F71">
        <v>0</v>
      </c>
      <c r="G71">
        <v>0</v>
      </c>
      <c r="H71">
        <v>6.1639390000000001</v>
      </c>
    </row>
    <row r="72" spans="1:8" x14ac:dyDescent="0.25">
      <c r="A72">
        <v>0.02</v>
      </c>
      <c r="B72">
        <v>56.933072000000003</v>
      </c>
      <c r="C72">
        <v>297.98746799999998</v>
      </c>
      <c r="D72">
        <v>57.2</v>
      </c>
      <c r="E72">
        <v>55</v>
      </c>
      <c r="F72">
        <v>0</v>
      </c>
      <c r="G72">
        <v>0</v>
      </c>
      <c r="H72">
        <v>6.1579740000000003</v>
      </c>
    </row>
    <row r="73" spans="1:8" x14ac:dyDescent="0.25">
      <c r="A73">
        <v>0.02</v>
      </c>
      <c r="B73">
        <v>58.024034999999998</v>
      </c>
      <c r="C73">
        <v>297.84675299999998</v>
      </c>
      <c r="D73">
        <v>58.3</v>
      </c>
      <c r="E73">
        <v>55</v>
      </c>
      <c r="F73">
        <v>0</v>
      </c>
      <c r="G73">
        <v>0</v>
      </c>
      <c r="H73">
        <v>6.1518160000000002</v>
      </c>
    </row>
    <row r="74" spans="1:8" x14ac:dyDescent="0.25">
      <c r="A74">
        <v>0.02</v>
      </c>
      <c r="B74">
        <v>59.114091999999999</v>
      </c>
      <c r="C74">
        <v>297.69921499999998</v>
      </c>
      <c r="D74">
        <v>59.4</v>
      </c>
      <c r="E74">
        <v>55</v>
      </c>
      <c r="F74">
        <v>0</v>
      </c>
      <c r="G74">
        <v>0</v>
      </c>
      <c r="H74">
        <v>6.1454610000000001</v>
      </c>
    </row>
    <row r="75" spans="1:8" x14ac:dyDescent="0.25">
      <c r="A75">
        <v>0.02</v>
      </c>
      <c r="B75">
        <v>60.203170999999998</v>
      </c>
      <c r="C75">
        <v>297.544645</v>
      </c>
      <c r="D75">
        <v>60.5</v>
      </c>
      <c r="E75">
        <v>55</v>
      </c>
      <c r="F75">
        <v>0</v>
      </c>
      <c r="G75">
        <v>0</v>
      </c>
      <c r="H75">
        <v>6.1389040000000001</v>
      </c>
    </row>
    <row r="76" spans="1:8" x14ac:dyDescent="0.25">
      <c r="A76">
        <v>0.02</v>
      </c>
      <c r="B76">
        <v>61.291201999999998</v>
      </c>
      <c r="C76">
        <v>297.38282400000003</v>
      </c>
      <c r="D76">
        <v>61.6</v>
      </c>
      <c r="E76">
        <v>55</v>
      </c>
      <c r="F76">
        <v>0</v>
      </c>
      <c r="G76">
        <v>0</v>
      </c>
      <c r="H76">
        <v>6.1321399999999997</v>
      </c>
    </row>
    <row r="77" spans="1:8" x14ac:dyDescent="0.25">
      <c r="A77">
        <v>0.02</v>
      </c>
      <c r="B77">
        <v>62.378100000000003</v>
      </c>
      <c r="C77">
        <v>297.21353299999998</v>
      </c>
      <c r="D77">
        <v>62.7</v>
      </c>
      <c r="E77">
        <v>55</v>
      </c>
      <c r="F77">
        <v>0</v>
      </c>
      <c r="G77">
        <v>0</v>
      </c>
      <c r="H77">
        <v>6.125165</v>
      </c>
    </row>
    <row r="78" spans="1:8" x14ac:dyDescent="0.25">
      <c r="A78">
        <v>0.02</v>
      </c>
      <c r="B78">
        <v>63.463766</v>
      </c>
      <c r="C78">
        <v>297.03654899999998</v>
      </c>
      <c r="D78">
        <v>63.8</v>
      </c>
      <c r="E78">
        <v>55</v>
      </c>
      <c r="F78">
        <v>0</v>
      </c>
      <c r="G78">
        <v>0</v>
      </c>
      <c r="H78">
        <v>6.1179740000000002</v>
      </c>
    </row>
    <row r="79" spans="1:8" x14ac:dyDescent="0.25">
      <c r="A79">
        <v>0.02</v>
      </c>
      <c r="B79">
        <v>64.548101000000003</v>
      </c>
      <c r="C79">
        <v>296.85164300000002</v>
      </c>
      <c r="D79">
        <v>64.900000000000006</v>
      </c>
      <c r="E79">
        <v>55</v>
      </c>
      <c r="F79">
        <v>0</v>
      </c>
      <c r="G79">
        <v>0</v>
      </c>
      <c r="H79">
        <v>6.1105609999999997</v>
      </c>
    </row>
    <row r="80" spans="1:8" x14ac:dyDescent="0.25">
      <c r="A80">
        <v>0.02</v>
      </c>
      <c r="B80">
        <v>65.631033000000002</v>
      </c>
      <c r="C80">
        <v>296.65857899999997</v>
      </c>
      <c r="D80">
        <v>66</v>
      </c>
      <c r="E80">
        <v>55</v>
      </c>
      <c r="F80">
        <v>0</v>
      </c>
      <c r="G80">
        <v>0</v>
      </c>
      <c r="H80">
        <v>6.1029200000000001</v>
      </c>
    </row>
    <row r="81" spans="1:8" x14ac:dyDescent="0.25">
      <c r="A81">
        <v>0.02</v>
      </c>
      <c r="B81">
        <v>66.712425999999994</v>
      </c>
      <c r="C81">
        <v>296.45712300000002</v>
      </c>
      <c r="D81">
        <v>67.099999999999994</v>
      </c>
      <c r="E81">
        <v>55</v>
      </c>
      <c r="F81">
        <v>0</v>
      </c>
      <c r="G81">
        <v>0</v>
      </c>
      <c r="H81">
        <v>6.0950480000000002</v>
      </c>
    </row>
    <row r="82" spans="1:8" x14ac:dyDescent="0.25">
      <c r="A82">
        <v>0.02</v>
      </c>
      <c r="B82">
        <v>67.792164999999997</v>
      </c>
      <c r="C82">
        <v>296.24703599999998</v>
      </c>
      <c r="D82">
        <v>68.2</v>
      </c>
      <c r="E82">
        <v>55</v>
      </c>
      <c r="F82">
        <v>0</v>
      </c>
      <c r="G82">
        <v>0</v>
      </c>
      <c r="H82">
        <v>6.0869390000000001</v>
      </c>
    </row>
    <row r="83" spans="1:8" x14ac:dyDescent="0.25">
      <c r="A83">
        <v>0.02</v>
      </c>
      <c r="B83">
        <v>68.870157000000006</v>
      </c>
      <c r="C83">
        <v>296.02806399999997</v>
      </c>
      <c r="D83">
        <v>69.3</v>
      </c>
      <c r="E83">
        <v>55</v>
      </c>
      <c r="F83">
        <v>0</v>
      </c>
      <c r="G83">
        <v>0</v>
      </c>
      <c r="H83">
        <v>6.0785859999999996</v>
      </c>
    </row>
    <row r="84" spans="1:8" x14ac:dyDescent="0.25">
      <c r="A84">
        <v>0.02</v>
      </c>
      <c r="B84">
        <v>69.946239000000006</v>
      </c>
      <c r="C84">
        <v>295.79996699999998</v>
      </c>
      <c r="D84">
        <v>70.400000000000006</v>
      </c>
      <c r="E84">
        <v>55</v>
      </c>
      <c r="F84">
        <v>0</v>
      </c>
      <c r="G84">
        <v>0</v>
      </c>
      <c r="H84">
        <v>6.0699860000000001</v>
      </c>
    </row>
    <row r="85" spans="1:8" x14ac:dyDescent="0.25">
      <c r="A85">
        <v>0.02</v>
      </c>
      <c r="B85">
        <v>71.020296999999999</v>
      </c>
      <c r="C85">
        <v>295.56248499999998</v>
      </c>
      <c r="D85">
        <v>71.5</v>
      </c>
      <c r="E85">
        <v>55</v>
      </c>
      <c r="F85">
        <v>0</v>
      </c>
      <c r="G85">
        <v>0</v>
      </c>
      <c r="H85">
        <v>6.0611309999999996</v>
      </c>
    </row>
    <row r="86" spans="1:8" x14ac:dyDescent="0.25">
      <c r="A86">
        <v>0.02</v>
      </c>
      <c r="B86">
        <v>72.092174999999997</v>
      </c>
      <c r="C86">
        <v>295.31536499999999</v>
      </c>
      <c r="D86">
        <v>72.599999999999994</v>
      </c>
      <c r="E86">
        <v>55</v>
      </c>
      <c r="F86">
        <v>0</v>
      </c>
      <c r="G86">
        <v>0</v>
      </c>
      <c r="H86">
        <v>6.0520170000000002</v>
      </c>
    </row>
    <row r="87" spans="1:8" x14ac:dyDescent="0.25">
      <c r="A87">
        <v>0.02</v>
      </c>
      <c r="B87">
        <v>73.161721999999997</v>
      </c>
      <c r="C87">
        <v>295.05834599999997</v>
      </c>
      <c r="D87">
        <v>73.7</v>
      </c>
      <c r="E87">
        <v>55</v>
      </c>
      <c r="F87">
        <v>0</v>
      </c>
      <c r="G87">
        <v>0</v>
      </c>
      <c r="H87">
        <v>6.0426390000000003</v>
      </c>
    </row>
    <row r="88" spans="1:8" x14ac:dyDescent="0.25">
      <c r="A88">
        <v>0.02</v>
      </c>
      <c r="B88">
        <v>74.228776999999994</v>
      </c>
      <c r="C88">
        <v>294.79116399999998</v>
      </c>
      <c r="D88">
        <v>74.8</v>
      </c>
      <c r="E88">
        <v>55</v>
      </c>
      <c r="F88">
        <v>0</v>
      </c>
      <c r="G88">
        <v>0</v>
      </c>
      <c r="H88">
        <v>6.0329899999999999</v>
      </c>
    </row>
    <row r="89" spans="1:8" x14ac:dyDescent="0.25">
      <c r="A89">
        <v>0.02</v>
      </c>
      <c r="B89">
        <v>75.293165000000002</v>
      </c>
      <c r="C89">
        <v>294.513553</v>
      </c>
      <c r="D89">
        <v>75.900000000000006</v>
      </c>
      <c r="E89">
        <v>55</v>
      </c>
      <c r="F89">
        <v>0</v>
      </c>
      <c r="G89">
        <v>0</v>
      </c>
      <c r="H89">
        <v>6.0230670000000002</v>
      </c>
    </row>
    <row r="90" spans="1:8" x14ac:dyDescent="0.25">
      <c r="A90">
        <v>0.02</v>
      </c>
      <c r="B90">
        <v>76.354702000000003</v>
      </c>
      <c r="C90">
        <v>294.22524499999997</v>
      </c>
      <c r="D90">
        <v>77</v>
      </c>
      <c r="E90">
        <v>55</v>
      </c>
      <c r="F90">
        <v>0</v>
      </c>
      <c r="G90">
        <v>0</v>
      </c>
      <c r="H90">
        <v>6.0128620000000002</v>
      </c>
    </row>
    <row r="91" spans="1:8" x14ac:dyDescent="0.25">
      <c r="A91">
        <v>0.02</v>
      </c>
      <c r="B91">
        <v>77.413207</v>
      </c>
      <c r="C91">
        <v>293.92596800000001</v>
      </c>
      <c r="D91">
        <v>78.099999999999994</v>
      </c>
      <c r="E91">
        <v>55</v>
      </c>
      <c r="F91">
        <v>0</v>
      </c>
      <c r="G91">
        <v>0</v>
      </c>
      <c r="H91">
        <v>6.0023720000000003</v>
      </c>
    </row>
    <row r="92" spans="1:8" x14ac:dyDescent="0.25">
      <c r="A92">
        <v>0.02</v>
      </c>
      <c r="B92">
        <v>78.468455000000006</v>
      </c>
      <c r="C92">
        <v>293.615455</v>
      </c>
      <c r="D92">
        <v>79.2</v>
      </c>
      <c r="E92">
        <v>55</v>
      </c>
      <c r="F92">
        <v>0</v>
      </c>
      <c r="G92">
        <v>0</v>
      </c>
      <c r="H92">
        <v>5.9915919999999998</v>
      </c>
    </row>
    <row r="93" spans="1:8" x14ac:dyDescent="0.25">
      <c r="A93">
        <v>0.02</v>
      </c>
      <c r="B93">
        <v>79.520263999999997</v>
      </c>
      <c r="C93">
        <v>293.29342500000001</v>
      </c>
      <c r="D93">
        <v>80.3</v>
      </c>
      <c r="E93">
        <v>55</v>
      </c>
      <c r="F93">
        <v>0</v>
      </c>
      <c r="G93">
        <v>0</v>
      </c>
      <c r="H93">
        <v>5.9805169999999999</v>
      </c>
    </row>
    <row r="94" spans="1:8" x14ac:dyDescent="0.25">
      <c r="A94">
        <v>0.02</v>
      </c>
      <c r="B94">
        <v>80.568382999999997</v>
      </c>
      <c r="C94">
        <v>292.95961199999999</v>
      </c>
      <c r="D94">
        <v>81.400000000000006</v>
      </c>
      <c r="E94">
        <v>55</v>
      </c>
      <c r="F94">
        <v>0</v>
      </c>
      <c r="G94">
        <v>0</v>
      </c>
      <c r="H94">
        <v>5.9691419999999997</v>
      </c>
    </row>
    <row r="95" spans="1:8" x14ac:dyDescent="0.25">
      <c r="A95">
        <v>0.02</v>
      </c>
      <c r="B95">
        <v>81.612577999999999</v>
      </c>
      <c r="C95">
        <v>292.613743</v>
      </c>
      <c r="D95">
        <v>82.5</v>
      </c>
      <c r="E95">
        <v>55</v>
      </c>
      <c r="F95">
        <v>0</v>
      </c>
      <c r="G95">
        <v>0</v>
      </c>
      <c r="H95">
        <v>5.9574639999999999</v>
      </c>
    </row>
    <row r="96" spans="1:8" x14ac:dyDescent="0.25">
      <c r="A96">
        <v>0.02</v>
      </c>
      <c r="B96">
        <v>82.652623000000006</v>
      </c>
      <c r="C96">
        <v>292.255539</v>
      </c>
      <c r="D96">
        <v>83.6</v>
      </c>
      <c r="E96">
        <v>55</v>
      </c>
      <c r="F96">
        <v>0</v>
      </c>
      <c r="G96">
        <v>0</v>
      </c>
      <c r="H96">
        <v>5.9454789999999997</v>
      </c>
    </row>
    <row r="97" spans="1:8" x14ac:dyDescent="0.25">
      <c r="A97">
        <v>0.02</v>
      </c>
      <c r="B97">
        <v>83.688235000000006</v>
      </c>
      <c r="C97">
        <v>291.88473900000002</v>
      </c>
      <c r="D97">
        <v>84.7</v>
      </c>
      <c r="E97">
        <v>55</v>
      </c>
      <c r="F97">
        <v>0</v>
      </c>
      <c r="G97">
        <v>0</v>
      </c>
      <c r="H97">
        <v>5.9331839999999998</v>
      </c>
    </row>
    <row r="98" spans="1:8" x14ac:dyDescent="0.25">
      <c r="A98">
        <v>0.02</v>
      </c>
      <c r="B98">
        <v>84.719144999999997</v>
      </c>
      <c r="C98">
        <v>291.50107500000001</v>
      </c>
      <c r="D98">
        <v>85.8</v>
      </c>
      <c r="E98">
        <v>55</v>
      </c>
      <c r="F98">
        <v>0</v>
      </c>
      <c r="G98">
        <v>0</v>
      </c>
      <c r="H98">
        <v>5.9205759999999996</v>
      </c>
    </row>
    <row r="99" spans="1:8" x14ac:dyDescent="0.25">
      <c r="A99">
        <v>0.02</v>
      </c>
      <c r="B99">
        <v>85.745075999999997</v>
      </c>
      <c r="C99">
        <v>291.10428100000001</v>
      </c>
      <c r="D99">
        <v>86.9</v>
      </c>
      <c r="E99">
        <v>55</v>
      </c>
      <c r="F99">
        <v>0</v>
      </c>
      <c r="G99">
        <v>0</v>
      </c>
      <c r="H99">
        <v>5.9076529999999998</v>
      </c>
    </row>
    <row r="100" spans="1:8" x14ac:dyDescent="0.25">
      <c r="A100">
        <v>0.02</v>
      </c>
      <c r="B100">
        <v>86.765733999999995</v>
      </c>
      <c r="C100">
        <v>290.69409999999999</v>
      </c>
      <c r="D100">
        <v>88</v>
      </c>
      <c r="E100">
        <v>55</v>
      </c>
      <c r="F100">
        <v>0</v>
      </c>
      <c r="G100">
        <v>0</v>
      </c>
      <c r="H100">
        <v>5.8944130000000001</v>
      </c>
    </row>
    <row r="101" spans="1:8" x14ac:dyDescent="0.25">
      <c r="A101">
        <v>0.02</v>
      </c>
      <c r="B101">
        <v>87.780800999999997</v>
      </c>
      <c r="C101">
        <v>290.27028200000001</v>
      </c>
      <c r="D101">
        <v>89.1</v>
      </c>
      <c r="E101">
        <v>55</v>
      </c>
      <c r="F101">
        <v>0</v>
      </c>
      <c r="G101">
        <v>0</v>
      </c>
      <c r="H101">
        <v>5.8808569999999998</v>
      </c>
    </row>
    <row r="102" spans="1:8" x14ac:dyDescent="0.25">
      <c r="A102">
        <v>0.02</v>
      </c>
      <c r="B102">
        <v>88.789957000000001</v>
      </c>
      <c r="C102">
        <v>289.832584</v>
      </c>
      <c r="D102">
        <v>90.2</v>
      </c>
      <c r="E102">
        <v>55</v>
      </c>
      <c r="F102">
        <v>0</v>
      </c>
      <c r="G102">
        <v>0</v>
      </c>
      <c r="H102">
        <v>5.8669830000000003</v>
      </c>
    </row>
    <row r="103" spans="1:8" x14ac:dyDescent="0.25">
      <c r="A103">
        <v>0.02</v>
      </c>
      <c r="B103">
        <v>89.792871000000005</v>
      </c>
      <c r="C103">
        <v>289.38076899999999</v>
      </c>
      <c r="D103">
        <v>91.3</v>
      </c>
      <c r="E103">
        <v>55</v>
      </c>
      <c r="F103">
        <v>0</v>
      </c>
      <c r="G103">
        <v>0</v>
      </c>
      <c r="H103">
        <v>5.8527930000000001</v>
      </c>
    </row>
    <row r="104" spans="1:8" x14ac:dyDescent="0.25">
      <c r="A104">
        <v>0.02</v>
      </c>
      <c r="B104">
        <v>90.789197999999999</v>
      </c>
      <c r="C104">
        <v>288.91461299999997</v>
      </c>
      <c r="D104">
        <v>92.4</v>
      </c>
      <c r="E104">
        <v>55</v>
      </c>
      <c r="F104">
        <v>0</v>
      </c>
      <c r="G104">
        <v>0</v>
      </c>
      <c r="H104">
        <v>5.8382880000000004</v>
      </c>
    </row>
    <row r="105" spans="1:8" x14ac:dyDescent="0.25">
      <c r="A105">
        <v>0.02</v>
      </c>
      <c r="B105">
        <v>91.778588999999997</v>
      </c>
      <c r="C105">
        <v>288.433897</v>
      </c>
      <c r="D105">
        <v>93.5</v>
      </c>
      <c r="E105">
        <v>55</v>
      </c>
      <c r="F105">
        <v>0</v>
      </c>
      <c r="G105">
        <v>0</v>
      </c>
      <c r="H105">
        <v>5.8234709999999996</v>
      </c>
    </row>
    <row r="106" spans="1:8" x14ac:dyDescent="0.25">
      <c r="A106">
        <v>0.02</v>
      </c>
      <c r="B106">
        <v>92.760672</v>
      </c>
      <c r="C106">
        <v>287.938425</v>
      </c>
      <c r="D106">
        <v>94.6</v>
      </c>
      <c r="E106">
        <v>55</v>
      </c>
      <c r="F106">
        <v>0</v>
      </c>
      <c r="G106">
        <v>0</v>
      </c>
      <c r="H106">
        <v>5.8083470000000004</v>
      </c>
    </row>
    <row r="107" spans="1:8" x14ac:dyDescent="0.25">
      <c r="A107">
        <v>0.02</v>
      </c>
      <c r="B107">
        <v>93.735069999999993</v>
      </c>
      <c r="C107">
        <v>287.42800799999998</v>
      </c>
      <c r="D107">
        <v>95.7</v>
      </c>
      <c r="E107">
        <v>55</v>
      </c>
      <c r="F107">
        <v>0</v>
      </c>
      <c r="G107">
        <v>0</v>
      </c>
      <c r="H107">
        <v>5.7929190000000004</v>
      </c>
    </row>
    <row r="108" spans="1:8" x14ac:dyDescent="0.25">
      <c r="A108">
        <v>0.02</v>
      </c>
      <c r="B108">
        <v>94.701397999999998</v>
      </c>
      <c r="C108">
        <v>286.90247699999998</v>
      </c>
      <c r="D108">
        <v>96.8</v>
      </c>
      <c r="E108">
        <v>55</v>
      </c>
      <c r="F108">
        <v>0</v>
      </c>
      <c r="G108">
        <v>0</v>
      </c>
      <c r="H108">
        <v>5.7771949999999999</v>
      </c>
    </row>
    <row r="109" spans="1:8" x14ac:dyDescent="0.25">
      <c r="A109">
        <v>0.02</v>
      </c>
      <c r="B109">
        <v>95.659265000000005</v>
      </c>
      <c r="C109">
        <v>286.36167799999998</v>
      </c>
      <c r="D109">
        <v>97.9</v>
      </c>
      <c r="E109">
        <v>55</v>
      </c>
      <c r="F109">
        <v>0</v>
      </c>
      <c r="G109">
        <v>0</v>
      </c>
      <c r="H109">
        <v>5.7611809999999997</v>
      </c>
    </row>
    <row r="110" spans="1:8" x14ac:dyDescent="0.25">
      <c r="A110">
        <v>0.02</v>
      </c>
      <c r="B110">
        <v>96.608269000000007</v>
      </c>
      <c r="C110">
        <v>285.805475</v>
      </c>
      <c r="D110">
        <v>99</v>
      </c>
      <c r="E110">
        <v>55</v>
      </c>
      <c r="F110">
        <v>0</v>
      </c>
      <c r="G110">
        <v>0</v>
      </c>
      <c r="H110">
        <v>5.7448860000000002</v>
      </c>
    </row>
    <row r="111" spans="1:8" x14ac:dyDescent="0.25">
      <c r="A111">
        <v>0.02</v>
      </c>
      <c r="B111">
        <v>97.548006999999998</v>
      </c>
      <c r="C111">
        <v>285.23375600000003</v>
      </c>
      <c r="D111">
        <v>100.1</v>
      </c>
      <c r="E111">
        <v>55</v>
      </c>
      <c r="F111">
        <v>0</v>
      </c>
      <c r="G111">
        <v>0</v>
      </c>
      <c r="H111">
        <v>5.7283200000000001</v>
      </c>
    </row>
    <row r="112" spans="1:8" x14ac:dyDescent="0.25">
      <c r="A112">
        <v>0.02</v>
      </c>
      <c r="B112">
        <v>98.478066999999996</v>
      </c>
      <c r="C112">
        <v>284.64642700000002</v>
      </c>
      <c r="D112">
        <v>101.2</v>
      </c>
      <c r="E112">
        <v>55</v>
      </c>
      <c r="F112">
        <v>0</v>
      </c>
      <c r="G112">
        <v>0</v>
      </c>
      <c r="H112">
        <v>5.7114950000000002</v>
      </c>
    </row>
    <row r="113" spans="1:8" x14ac:dyDescent="0.25">
      <c r="A113">
        <v>0.02</v>
      </c>
      <c r="B113">
        <v>99.398038999999997</v>
      </c>
      <c r="C113">
        <v>284.04341899999997</v>
      </c>
      <c r="D113">
        <v>102.3</v>
      </c>
      <c r="E113">
        <v>55</v>
      </c>
      <c r="F113">
        <v>0</v>
      </c>
      <c r="G113">
        <v>0</v>
      </c>
      <c r="H113">
        <v>5.6944229999999996</v>
      </c>
    </row>
    <row r="114" spans="1:8" x14ac:dyDescent="0.25">
      <c r="A114">
        <v>0.02</v>
      </c>
      <c r="B114">
        <v>100.30750999999999</v>
      </c>
      <c r="C114">
        <v>283.42468600000001</v>
      </c>
      <c r="D114">
        <v>103.4</v>
      </c>
      <c r="E114">
        <v>55</v>
      </c>
      <c r="F114">
        <v>0</v>
      </c>
      <c r="G114">
        <v>0</v>
      </c>
      <c r="H114">
        <v>5.677117</v>
      </c>
    </row>
    <row r="115" spans="1:8" x14ac:dyDescent="0.25">
      <c r="A115">
        <v>0.02</v>
      </c>
      <c r="B115">
        <v>101.206068</v>
      </c>
      <c r="C115">
        <v>282.790209</v>
      </c>
      <c r="D115">
        <v>104.5</v>
      </c>
      <c r="E115">
        <v>55</v>
      </c>
      <c r="F115">
        <v>0</v>
      </c>
      <c r="G115">
        <v>0</v>
      </c>
      <c r="H115">
        <v>5.6595940000000002</v>
      </c>
    </row>
    <row r="116" spans="1:8" x14ac:dyDescent="0.25">
      <c r="A116">
        <v>0.02</v>
      </c>
      <c r="B116">
        <v>102.09330300000001</v>
      </c>
      <c r="C116">
        <v>282.139995</v>
      </c>
      <c r="D116">
        <v>105.6</v>
      </c>
      <c r="E116">
        <v>55</v>
      </c>
      <c r="F116">
        <v>0</v>
      </c>
      <c r="G116">
        <v>0</v>
      </c>
      <c r="H116">
        <v>5.6418699999999999</v>
      </c>
    </row>
    <row r="117" spans="1:8" x14ac:dyDescent="0.25">
      <c r="A117">
        <v>0.02</v>
      </c>
      <c r="B117">
        <v>102.968813</v>
      </c>
      <c r="C117">
        <v>281.47407600000003</v>
      </c>
      <c r="D117">
        <v>106.7</v>
      </c>
      <c r="E117">
        <v>55</v>
      </c>
      <c r="F117">
        <v>0</v>
      </c>
      <c r="G117">
        <v>0</v>
      </c>
      <c r="H117">
        <v>5.6239610000000004</v>
      </c>
    </row>
    <row r="118" spans="1:8" x14ac:dyDescent="0.25">
      <c r="A118">
        <v>0.02</v>
      </c>
      <c r="B118">
        <v>103.832201</v>
      </c>
      <c r="C118">
        <v>280.79251299999999</v>
      </c>
      <c r="D118">
        <v>107.8</v>
      </c>
      <c r="E118">
        <v>55</v>
      </c>
      <c r="F118">
        <v>0</v>
      </c>
      <c r="G118">
        <v>0</v>
      </c>
      <c r="H118">
        <v>5.6058880000000002</v>
      </c>
    </row>
    <row r="119" spans="1:8" x14ac:dyDescent="0.25">
      <c r="A119">
        <v>0.02</v>
      </c>
      <c r="B119">
        <v>104.68307900000001</v>
      </c>
      <c r="C119">
        <v>280.095394</v>
      </c>
      <c r="D119">
        <v>108.9</v>
      </c>
      <c r="E119">
        <v>55</v>
      </c>
      <c r="F119">
        <v>0</v>
      </c>
      <c r="G119">
        <v>0</v>
      </c>
      <c r="H119">
        <v>5.5876700000000001</v>
      </c>
    </row>
    <row r="120" spans="1:8" x14ac:dyDescent="0.25">
      <c r="A120">
        <v>0.02</v>
      </c>
      <c r="B120">
        <v>105.521068</v>
      </c>
      <c r="C120">
        <v>279.38283899999999</v>
      </c>
      <c r="D120">
        <v>110</v>
      </c>
      <c r="E120">
        <v>55</v>
      </c>
      <c r="F120">
        <v>0</v>
      </c>
      <c r="G120">
        <v>0</v>
      </c>
      <c r="H120">
        <v>5.5693270000000004</v>
      </c>
    </row>
    <row r="121" spans="1:8" x14ac:dyDescent="0.25">
      <c r="A121">
        <v>0.02</v>
      </c>
      <c r="B121">
        <v>106.34580800000001</v>
      </c>
      <c r="C121">
        <v>278.65499</v>
      </c>
      <c r="D121">
        <v>111.1</v>
      </c>
      <c r="E121">
        <v>55</v>
      </c>
      <c r="F121">
        <v>0</v>
      </c>
      <c r="G121">
        <v>0</v>
      </c>
      <c r="H121">
        <v>5.5508819999999996</v>
      </c>
    </row>
    <row r="122" spans="1:8" x14ac:dyDescent="0.25">
      <c r="A122">
        <v>0.02</v>
      </c>
      <c r="B122">
        <v>107.15695100000001</v>
      </c>
      <c r="C122">
        <v>277.91201999999998</v>
      </c>
      <c r="D122">
        <v>112.2</v>
      </c>
      <c r="E122">
        <v>55</v>
      </c>
      <c r="F122">
        <v>0</v>
      </c>
      <c r="G122">
        <v>0</v>
      </c>
      <c r="H122">
        <v>5.5323560000000001</v>
      </c>
    </row>
    <row r="123" spans="1:8" x14ac:dyDescent="0.25">
      <c r="A123">
        <v>0.02</v>
      </c>
      <c r="B123">
        <v>107.954168</v>
      </c>
      <c r="C123">
        <v>277.15412500000002</v>
      </c>
      <c r="D123">
        <v>113.3</v>
      </c>
      <c r="E123">
        <v>55</v>
      </c>
      <c r="F123">
        <v>0</v>
      </c>
      <c r="G123">
        <v>0</v>
      </c>
      <c r="H123">
        <v>5.5137720000000003</v>
      </c>
    </row>
    <row r="124" spans="1:8" x14ac:dyDescent="0.25">
      <c r="A124">
        <v>0.02</v>
      </c>
      <c r="B124">
        <v>108.737148</v>
      </c>
      <c r="C124">
        <v>276.381531</v>
      </c>
      <c r="D124">
        <v>114.4</v>
      </c>
      <c r="E124">
        <v>55</v>
      </c>
      <c r="F124">
        <v>0</v>
      </c>
      <c r="G124">
        <v>0</v>
      </c>
      <c r="H124">
        <v>5.495152</v>
      </c>
    </row>
    <row r="125" spans="1:8" x14ac:dyDescent="0.25">
      <c r="A125">
        <v>0.02</v>
      </c>
      <c r="B125">
        <v>109.50560299999999</v>
      </c>
      <c r="C125">
        <v>275.59448500000002</v>
      </c>
      <c r="D125">
        <v>115.5</v>
      </c>
      <c r="E125">
        <v>55</v>
      </c>
      <c r="F125">
        <v>0</v>
      </c>
      <c r="G125">
        <v>0</v>
      </c>
      <c r="H125">
        <v>5.4765199999999998</v>
      </c>
    </row>
    <row r="126" spans="1:8" x14ac:dyDescent="0.25">
      <c r="A126">
        <v>0.02</v>
      </c>
      <c r="B126">
        <v>110.25926800000001</v>
      </c>
      <c r="C126">
        <v>274.79325799999998</v>
      </c>
      <c r="D126">
        <v>116.6</v>
      </c>
      <c r="E126">
        <v>55</v>
      </c>
      <c r="F126">
        <v>0</v>
      </c>
      <c r="G126">
        <v>0</v>
      </c>
      <c r="H126">
        <v>5.4579000000000004</v>
      </c>
    </row>
    <row r="127" spans="1:8" x14ac:dyDescent="0.25">
      <c r="A127">
        <v>0.02</v>
      </c>
      <c r="B127">
        <v>110.997891</v>
      </c>
      <c r="C127">
        <v>273.97815400000002</v>
      </c>
      <c r="D127">
        <v>117.7</v>
      </c>
      <c r="E127">
        <v>55</v>
      </c>
      <c r="F127">
        <v>0</v>
      </c>
      <c r="G127">
        <v>0</v>
      </c>
      <c r="H127">
        <v>5.4393130000000003</v>
      </c>
    </row>
    <row r="128" spans="1:8" x14ac:dyDescent="0.25">
      <c r="A128">
        <v>0.02</v>
      </c>
      <c r="B128">
        <v>111.721255</v>
      </c>
      <c r="C128">
        <v>273.14948600000002</v>
      </c>
      <c r="D128">
        <v>118.8</v>
      </c>
      <c r="E128">
        <v>55</v>
      </c>
      <c r="F128">
        <v>0</v>
      </c>
      <c r="G128">
        <v>0</v>
      </c>
      <c r="H128">
        <v>5.420782</v>
      </c>
    </row>
    <row r="129" spans="1:8" x14ac:dyDescent="0.25">
      <c r="A129">
        <v>0.02</v>
      </c>
      <c r="B129">
        <v>112.429177</v>
      </c>
      <c r="C129">
        <v>272.30757699999998</v>
      </c>
      <c r="D129">
        <v>119.9</v>
      </c>
      <c r="E129">
        <v>55</v>
      </c>
      <c r="F129">
        <v>0</v>
      </c>
      <c r="G129">
        <v>0</v>
      </c>
      <c r="H129">
        <v>5.4023300000000001</v>
      </c>
    </row>
    <row r="130" spans="1:8" x14ac:dyDescent="0.25">
      <c r="A130">
        <v>0.02</v>
      </c>
      <c r="B130">
        <v>113.121493</v>
      </c>
      <c r="C130">
        <v>271.45277099999998</v>
      </c>
      <c r="D130">
        <v>121</v>
      </c>
      <c r="E130">
        <v>55</v>
      </c>
      <c r="F130">
        <v>0</v>
      </c>
      <c r="G130">
        <v>0</v>
      </c>
      <c r="H130">
        <v>5.3839769999999998</v>
      </c>
    </row>
    <row r="131" spans="1:8" x14ac:dyDescent="0.25">
      <c r="A131">
        <v>0.02</v>
      </c>
      <c r="B131">
        <v>113.79803800000001</v>
      </c>
      <c r="C131">
        <v>270.58546799999999</v>
      </c>
      <c r="D131">
        <v>122.1</v>
      </c>
      <c r="E131">
        <v>55</v>
      </c>
      <c r="F131">
        <v>0</v>
      </c>
      <c r="G131">
        <v>0</v>
      </c>
      <c r="H131">
        <v>5.3657450000000004</v>
      </c>
    </row>
    <row r="132" spans="1:8" x14ac:dyDescent="0.25">
      <c r="A132">
        <v>0.02</v>
      </c>
      <c r="B132">
        <v>114.458731</v>
      </c>
      <c r="C132">
        <v>269.706005</v>
      </c>
      <c r="D132">
        <v>123.2</v>
      </c>
      <c r="E132">
        <v>55</v>
      </c>
      <c r="F132">
        <v>0</v>
      </c>
      <c r="G132">
        <v>0</v>
      </c>
      <c r="H132">
        <v>5.3476530000000002</v>
      </c>
    </row>
    <row r="133" spans="1:8" x14ac:dyDescent="0.25">
      <c r="A133">
        <v>0.02</v>
      </c>
      <c r="B133">
        <v>115.10347299999999</v>
      </c>
      <c r="C133">
        <v>268.81478299999998</v>
      </c>
      <c r="D133">
        <v>124.3</v>
      </c>
      <c r="E133">
        <v>55</v>
      </c>
      <c r="F133">
        <v>0</v>
      </c>
      <c r="G133">
        <v>0</v>
      </c>
      <c r="H133">
        <v>5.3297189999999999</v>
      </c>
    </row>
    <row r="134" spans="1:8" x14ac:dyDescent="0.25">
      <c r="A134">
        <v>0.02</v>
      </c>
      <c r="B134">
        <v>115.732204</v>
      </c>
      <c r="C134">
        <v>267.91220299999998</v>
      </c>
      <c r="D134">
        <v>125.4</v>
      </c>
      <c r="E134">
        <v>55</v>
      </c>
      <c r="F134">
        <v>0</v>
      </c>
      <c r="G134">
        <v>0</v>
      </c>
      <c r="H134">
        <v>5.3119610000000002</v>
      </c>
    </row>
    <row r="135" spans="1:8" x14ac:dyDescent="0.25">
      <c r="A135">
        <v>0.02</v>
      </c>
      <c r="B135">
        <v>116.34490099999999</v>
      </c>
      <c r="C135">
        <v>266.99865</v>
      </c>
      <c r="D135">
        <v>126.5</v>
      </c>
      <c r="E135">
        <v>55</v>
      </c>
      <c r="F135">
        <v>0</v>
      </c>
      <c r="G135">
        <v>0</v>
      </c>
      <c r="H135">
        <v>5.2943949999999997</v>
      </c>
    </row>
    <row r="136" spans="1:8" x14ac:dyDescent="0.25">
      <c r="A136">
        <v>0.02</v>
      </c>
      <c r="B136">
        <v>116.941547</v>
      </c>
      <c r="C136">
        <v>266.07454200000001</v>
      </c>
      <c r="D136">
        <v>127.6</v>
      </c>
      <c r="E136">
        <v>55</v>
      </c>
      <c r="F136">
        <v>0</v>
      </c>
      <c r="G136">
        <v>0</v>
      </c>
      <c r="H136">
        <v>5.2770359999999998</v>
      </c>
    </row>
    <row r="137" spans="1:8" x14ac:dyDescent="0.25">
      <c r="A137">
        <v>0.02</v>
      </c>
      <c r="B137">
        <v>117.522164</v>
      </c>
      <c r="C137">
        <v>265.14028500000001</v>
      </c>
      <c r="D137">
        <v>128.69999999999999</v>
      </c>
      <c r="E137">
        <v>55</v>
      </c>
      <c r="F137">
        <v>0</v>
      </c>
      <c r="G137">
        <v>0</v>
      </c>
      <c r="H137">
        <v>5.2598989999999999</v>
      </c>
    </row>
    <row r="138" spans="1:8" x14ac:dyDescent="0.25">
      <c r="A138">
        <v>0.02</v>
      </c>
      <c r="B138">
        <v>118.086808</v>
      </c>
      <c r="C138">
        <v>264.196257</v>
      </c>
      <c r="D138">
        <v>129.80000000000001</v>
      </c>
      <c r="E138">
        <v>55</v>
      </c>
      <c r="F138">
        <v>0</v>
      </c>
      <c r="G138">
        <v>0</v>
      </c>
      <c r="H138">
        <v>5.2429940000000004</v>
      </c>
    </row>
    <row r="139" spans="1:8" x14ac:dyDescent="0.25">
      <c r="A139">
        <v>0.02</v>
      </c>
      <c r="B139">
        <v>118.63551200000001</v>
      </c>
      <c r="C139">
        <v>263.24291399999998</v>
      </c>
      <c r="D139">
        <v>130.9</v>
      </c>
      <c r="E139">
        <v>55</v>
      </c>
      <c r="F139">
        <v>0</v>
      </c>
      <c r="G139">
        <v>0</v>
      </c>
      <c r="H139">
        <v>5.2263339999999996</v>
      </c>
    </row>
    <row r="140" spans="1:8" x14ac:dyDescent="0.25">
      <c r="A140">
        <v>0.02</v>
      </c>
      <c r="B140">
        <v>119.168384</v>
      </c>
      <c r="C140">
        <v>262.28062599999998</v>
      </c>
      <c r="D140">
        <v>132</v>
      </c>
      <c r="E140">
        <v>55</v>
      </c>
      <c r="F140">
        <v>0</v>
      </c>
      <c r="G140">
        <v>0</v>
      </c>
      <c r="H140">
        <v>5.2099289999999998</v>
      </c>
    </row>
    <row r="141" spans="1:8" x14ac:dyDescent="0.25">
      <c r="A141">
        <v>0.02</v>
      </c>
      <c r="B141">
        <v>119.685529</v>
      </c>
      <c r="C141">
        <v>261.30978299999998</v>
      </c>
      <c r="D141">
        <v>133.1</v>
      </c>
      <c r="E141">
        <v>55</v>
      </c>
      <c r="F141">
        <v>0</v>
      </c>
      <c r="G141">
        <v>0</v>
      </c>
      <c r="H141">
        <v>5.1937850000000001</v>
      </c>
    </row>
    <row r="142" spans="1:8" x14ac:dyDescent="0.25">
      <c r="A142">
        <v>0.02</v>
      </c>
      <c r="B142">
        <v>120.18706899999999</v>
      </c>
      <c r="C142">
        <v>260.330781</v>
      </c>
      <c r="D142">
        <v>134.19999999999999</v>
      </c>
      <c r="E142">
        <v>55</v>
      </c>
      <c r="F142">
        <v>0</v>
      </c>
      <c r="G142">
        <v>0</v>
      </c>
      <c r="H142">
        <v>5.1779120000000001</v>
      </c>
    </row>
    <row r="143" spans="1:8" x14ac:dyDescent="0.25">
      <c r="A143">
        <v>0.02</v>
      </c>
      <c r="B143">
        <v>120.673142</v>
      </c>
      <c r="C143">
        <v>259.34400900000003</v>
      </c>
      <c r="D143">
        <v>135.30000000000001</v>
      </c>
      <c r="E143">
        <v>55</v>
      </c>
      <c r="F143">
        <v>0</v>
      </c>
      <c r="G143">
        <v>0</v>
      </c>
      <c r="H143">
        <v>5.1623140000000003</v>
      </c>
    </row>
    <row r="144" spans="1:8" x14ac:dyDescent="0.25">
      <c r="A144">
        <v>0.02</v>
      </c>
      <c r="B144">
        <v>121.14390299999999</v>
      </c>
      <c r="C144">
        <v>258.34984400000002</v>
      </c>
      <c r="D144">
        <v>136.4</v>
      </c>
      <c r="E144">
        <v>55</v>
      </c>
      <c r="F144">
        <v>0</v>
      </c>
      <c r="G144">
        <v>0</v>
      </c>
      <c r="H144">
        <v>5.146998</v>
      </c>
    </row>
    <row r="145" spans="1:8" x14ac:dyDescent="0.25">
      <c r="A145">
        <v>0.02</v>
      </c>
      <c r="B145">
        <v>121.59952199999999</v>
      </c>
      <c r="C145">
        <v>257.34865500000001</v>
      </c>
      <c r="D145">
        <v>137.5</v>
      </c>
      <c r="E145">
        <v>55</v>
      </c>
      <c r="F145">
        <v>0</v>
      </c>
      <c r="G145">
        <v>0</v>
      </c>
      <c r="H145">
        <v>5.1319650000000001</v>
      </c>
    </row>
    <row r="146" spans="1:8" x14ac:dyDescent="0.25">
      <c r="A146">
        <v>0.02</v>
      </c>
      <c r="B146">
        <v>122.040182</v>
      </c>
      <c r="C146">
        <v>256.34079800000001</v>
      </c>
      <c r="D146">
        <v>138.6</v>
      </c>
      <c r="E146">
        <v>55</v>
      </c>
      <c r="F146">
        <v>0</v>
      </c>
      <c r="G146">
        <v>0</v>
      </c>
      <c r="H146">
        <v>5.1172199999999997</v>
      </c>
    </row>
    <row r="147" spans="1:8" x14ac:dyDescent="0.25">
      <c r="A147">
        <v>0.02</v>
      </c>
      <c r="B147">
        <v>122.466081</v>
      </c>
      <c r="C147">
        <v>255.326615</v>
      </c>
      <c r="D147">
        <v>139.69999999999999</v>
      </c>
      <c r="E147">
        <v>55</v>
      </c>
      <c r="F147">
        <v>0</v>
      </c>
      <c r="G147">
        <v>0</v>
      </c>
      <c r="H147">
        <v>5.1027639999999996</v>
      </c>
    </row>
    <row r="148" spans="1:8" x14ac:dyDescent="0.25">
      <c r="A148">
        <v>0.02</v>
      </c>
      <c r="B148">
        <v>122.877424</v>
      </c>
      <c r="C148">
        <v>254.30643499999999</v>
      </c>
      <c r="D148">
        <v>140.80000000000001</v>
      </c>
      <c r="E148">
        <v>55</v>
      </c>
      <c r="F148">
        <v>0</v>
      </c>
      <c r="G148">
        <v>0</v>
      </c>
      <c r="H148">
        <v>5.088597</v>
      </c>
    </row>
    <row r="149" spans="1:8" x14ac:dyDescent="0.25">
      <c r="A149">
        <v>0.02</v>
      </c>
      <c r="B149">
        <v>123.274428</v>
      </c>
      <c r="C149">
        <v>253.280574</v>
      </c>
      <c r="D149">
        <v>141.9</v>
      </c>
      <c r="E149">
        <v>55</v>
      </c>
      <c r="F149">
        <v>0</v>
      </c>
      <c r="G149">
        <v>0</v>
      </c>
      <c r="H149">
        <v>5.0747200000000001</v>
      </c>
    </row>
    <row r="150" spans="1:8" x14ac:dyDescent="0.25">
      <c r="A150">
        <v>0.02</v>
      </c>
      <c r="B150">
        <v>123.657308</v>
      </c>
      <c r="C150">
        <v>252.24935300000001</v>
      </c>
      <c r="D150">
        <v>143</v>
      </c>
      <c r="E150">
        <v>55</v>
      </c>
      <c r="F150">
        <v>0</v>
      </c>
      <c r="G150">
        <v>0</v>
      </c>
      <c r="H150">
        <v>5.0611319999999997</v>
      </c>
    </row>
    <row r="151" spans="1:8" x14ac:dyDescent="0.25">
      <c r="A151">
        <v>0.02</v>
      </c>
      <c r="B151">
        <v>124.026276</v>
      </c>
      <c r="C151">
        <v>251.21312</v>
      </c>
      <c r="D151">
        <v>144.1</v>
      </c>
      <c r="E151">
        <v>55</v>
      </c>
      <c r="F151">
        <v>0</v>
      </c>
      <c r="G151">
        <v>0</v>
      </c>
      <c r="H151">
        <v>5.0478310000000004</v>
      </c>
    </row>
    <row r="152" spans="1:8" x14ac:dyDescent="0.25">
      <c r="A152">
        <v>0.02</v>
      </c>
      <c r="B152">
        <v>124.381593</v>
      </c>
      <c r="C152">
        <v>250.172077</v>
      </c>
      <c r="D152">
        <v>145.19999999999999</v>
      </c>
      <c r="E152">
        <v>55</v>
      </c>
      <c r="F152">
        <v>0</v>
      </c>
      <c r="G152">
        <v>0</v>
      </c>
      <c r="H152">
        <v>5.0348160000000002</v>
      </c>
    </row>
    <row r="153" spans="1:8" x14ac:dyDescent="0.25">
      <c r="A153">
        <v>0.02</v>
      </c>
      <c r="B153">
        <v>124.72346899999999</v>
      </c>
      <c r="C153">
        <v>249.126575</v>
      </c>
      <c r="D153">
        <v>146.30000000000001</v>
      </c>
      <c r="E153">
        <v>55</v>
      </c>
      <c r="F153">
        <v>0</v>
      </c>
      <c r="G153">
        <v>0</v>
      </c>
      <c r="H153">
        <v>5.0220830000000003</v>
      </c>
    </row>
    <row r="154" spans="1:8" x14ac:dyDescent="0.25">
      <c r="A154">
        <v>0.02</v>
      </c>
      <c r="B154">
        <v>125.052159</v>
      </c>
      <c r="C154">
        <v>248.076831</v>
      </c>
      <c r="D154">
        <v>147.4</v>
      </c>
      <c r="E154">
        <v>55</v>
      </c>
      <c r="F154">
        <v>0</v>
      </c>
      <c r="G154">
        <v>0</v>
      </c>
      <c r="H154">
        <v>5.0096299999999996</v>
      </c>
    </row>
    <row r="155" spans="1:8" x14ac:dyDescent="0.25">
      <c r="A155">
        <v>0.02</v>
      </c>
      <c r="B155">
        <v>125.36789</v>
      </c>
      <c r="C155">
        <v>247.02313899999999</v>
      </c>
      <c r="D155">
        <v>148.5</v>
      </c>
      <c r="E155">
        <v>55</v>
      </c>
      <c r="F155">
        <v>0</v>
      </c>
      <c r="G155">
        <v>0</v>
      </c>
      <c r="H155">
        <v>4.9974530000000001</v>
      </c>
    </row>
    <row r="156" spans="1:8" x14ac:dyDescent="0.25">
      <c r="A156">
        <v>0.02</v>
      </c>
      <c r="B156">
        <v>125.67092700000001</v>
      </c>
      <c r="C156">
        <v>245.96566999999999</v>
      </c>
      <c r="D156">
        <v>149.6</v>
      </c>
      <c r="E156">
        <v>55</v>
      </c>
      <c r="F156">
        <v>0</v>
      </c>
      <c r="G156">
        <v>0</v>
      </c>
      <c r="H156">
        <v>4.9855470000000004</v>
      </c>
    </row>
    <row r="157" spans="1:8" x14ac:dyDescent="0.25">
      <c r="A157">
        <v>0.02</v>
      </c>
      <c r="B157">
        <v>125.961474</v>
      </c>
      <c r="C157">
        <v>244.90478400000001</v>
      </c>
      <c r="D157">
        <v>150.69999999999999</v>
      </c>
      <c r="E157">
        <v>55</v>
      </c>
      <c r="F157">
        <v>0</v>
      </c>
      <c r="G157">
        <v>0</v>
      </c>
      <c r="H157">
        <v>4.9739100000000001</v>
      </c>
    </row>
    <row r="158" spans="1:8" x14ac:dyDescent="0.25">
      <c r="A158">
        <v>0.02</v>
      </c>
      <c r="B158">
        <v>126.239806</v>
      </c>
      <c r="C158">
        <v>243.84058899999999</v>
      </c>
      <c r="D158">
        <v>151.80000000000001</v>
      </c>
      <c r="E158">
        <v>55</v>
      </c>
      <c r="F158">
        <v>0</v>
      </c>
      <c r="G158">
        <v>0</v>
      </c>
      <c r="H158">
        <v>4.9625360000000001</v>
      </c>
    </row>
    <row r="159" spans="1:8" x14ac:dyDescent="0.25">
      <c r="A159">
        <v>0.02</v>
      </c>
      <c r="B159">
        <v>126.506159</v>
      </c>
      <c r="C159">
        <v>242.77331000000001</v>
      </c>
      <c r="D159">
        <v>152.9</v>
      </c>
      <c r="E159">
        <v>55</v>
      </c>
      <c r="F159">
        <v>0</v>
      </c>
      <c r="G159">
        <v>0</v>
      </c>
      <c r="H159">
        <v>4.9514199999999997</v>
      </c>
    </row>
    <row r="160" spans="1:8" x14ac:dyDescent="0.25">
      <c r="A160">
        <v>0.02</v>
      </c>
      <c r="B160">
        <v>126.760769</v>
      </c>
      <c r="C160">
        <v>241.70316600000001</v>
      </c>
      <c r="D160">
        <v>154</v>
      </c>
      <c r="E160">
        <v>55</v>
      </c>
      <c r="F160">
        <v>0</v>
      </c>
      <c r="G160">
        <v>0</v>
      </c>
      <c r="H160">
        <v>4.9405570000000001</v>
      </c>
    </row>
    <row r="161" spans="1:8" x14ac:dyDescent="0.25">
      <c r="A161">
        <v>0.02</v>
      </c>
      <c r="B161">
        <v>127.00386399999999</v>
      </c>
      <c r="C161">
        <v>240.630392</v>
      </c>
      <c r="D161">
        <v>155.1</v>
      </c>
      <c r="E161">
        <v>55</v>
      </c>
      <c r="F161">
        <v>0</v>
      </c>
      <c r="G161">
        <v>0</v>
      </c>
      <c r="H161">
        <v>4.9299429999999997</v>
      </c>
    </row>
    <row r="162" spans="1:8" x14ac:dyDescent="0.25">
      <c r="A162">
        <v>0.02</v>
      </c>
      <c r="B162">
        <v>127.235693</v>
      </c>
      <c r="C162">
        <v>239.555115</v>
      </c>
      <c r="D162">
        <v>156.19999999999999</v>
      </c>
      <c r="E162">
        <v>55</v>
      </c>
      <c r="F162">
        <v>0</v>
      </c>
      <c r="G162">
        <v>0</v>
      </c>
      <c r="H162">
        <v>4.9195719999999996</v>
      </c>
    </row>
    <row r="163" spans="1:8" x14ac:dyDescent="0.25">
      <c r="A163">
        <v>0.02</v>
      </c>
      <c r="B163">
        <v>127.456487</v>
      </c>
      <c r="C163">
        <v>238.47751099999999</v>
      </c>
      <c r="D163">
        <v>157.30000000000001</v>
      </c>
      <c r="E163">
        <v>55</v>
      </c>
      <c r="F163">
        <v>0</v>
      </c>
      <c r="G163">
        <v>0</v>
      </c>
      <c r="H163">
        <v>4.9094389999999999</v>
      </c>
    </row>
    <row r="164" spans="1:8" x14ac:dyDescent="0.25">
      <c r="A164">
        <v>0.02</v>
      </c>
      <c r="B164">
        <v>127.666478</v>
      </c>
      <c r="C164">
        <v>237.39774399999999</v>
      </c>
      <c r="D164">
        <v>158.4</v>
      </c>
      <c r="E164">
        <v>55</v>
      </c>
      <c r="F164">
        <v>0</v>
      </c>
      <c r="G164">
        <v>0</v>
      </c>
      <c r="H164">
        <v>4.8995379999999997</v>
      </c>
    </row>
    <row r="165" spans="1:8" x14ac:dyDescent="0.25">
      <c r="A165">
        <v>0.02</v>
      </c>
      <c r="B165">
        <v>127.865892</v>
      </c>
      <c r="C165">
        <v>236.315967</v>
      </c>
      <c r="D165">
        <v>159.5</v>
      </c>
      <c r="E165">
        <v>55</v>
      </c>
      <c r="F165">
        <v>0</v>
      </c>
      <c r="G165">
        <v>0</v>
      </c>
      <c r="H165">
        <v>4.8898640000000002</v>
      </c>
    </row>
    <row r="166" spans="1:8" x14ac:dyDescent="0.25">
      <c r="A166">
        <v>0.02</v>
      </c>
      <c r="B166">
        <v>128.05495400000001</v>
      </c>
      <c r="C166">
        <v>235.23232100000001</v>
      </c>
      <c r="D166">
        <v>160.6</v>
      </c>
      <c r="E166">
        <v>55</v>
      </c>
      <c r="F166">
        <v>0</v>
      </c>
      <c r="G166">
        <v>0</v>
      </c>
      <c r="H166">
        <v>4.8804109999999996</v>
      </c>
    </row>
    <row r="167" spans="1:8" x14ac:dyDescent="0.25">
      <c r="A167">
        <v>0.02</v>
      </c>
      <c r="B167">
        <v>128.233878</v>
      </c>
      <c r="C167">
        <v>234.146987</v>
      </c>
      <c r="D167">
        <v>161.69999999999999</v>
      </c>
      <c r="E167">
        <v>55</v>
      </c>
      <c r="F167">
        <v>0</v>
      </c>
      <c r="G167">
        <v>0</v>
      </c>
      <c r="H167">
        <v>4.871175</v>
      </c>
    </row>
    <row r="168" spans="1:8" x14ac:dyDescent="0.25">
      <c r="A168">
        <v>0.02</v>
      </c>
      <c r="B168">
        <v>128.40288200000001</v>
      </c>
      <c r="C168">
        <v>233.06008</v>
      </c>
      <c r="D168">
        <v>162.80000000000001</v>
      </c>
      <c r="E168">
        <v>55</v>
      </c>
      <c r="F168">
        <v>0</v>
      </c>
      <c r="G168">
        <v>0</v>
      </c>
      <c r="H168">
        <v>4.8621489999999996</v>
      </c>
    </row>
    <row r="169" spans="1:8" x14ac:dyDescent="0.25">
      <c r="A169">
        <v>0.02</v>
      </c>
      <c r="B169">
        <v>128.562186</v>
      </c>
      <c r="C169">
        <v>231.971687</v>
      </c>
      <c r="D169">
        <v>163.9</v>
      </c>
      <c r="E169">
        <v>55</v>
      </c>
      <c r="F169">
        <v>0</v>
      </c>
      <c r="G169">
        <v>0</v>
      </c>
      <c r="H169">
        <v>4.8533289999999996</v>
      </c>
    </row>
    <row r="170" spans="1:8" x14ac:dyDescent="0.25">
      <c r="A170">
        <v>0.02</v>
      </c>
      <c r="B170">
        <v>128.711997</v>
      </c>
      <c r="C170">
        <v>230.88190900000001</v>
      </c>
      <c r="D170">
        <v>165</v>
      </c>
      <c r="E170">
        <v>55</v>
      </c>
      <c r="F170">
        <v>0</v>
      </c>
      <c r="G170">
        <v>0</v>
      </c>
      <c r="H170">
        <v>4.8447089999999999</v>
      </c>
    </row>
    <row r="171" spans="1:8" x14ac:dyDescent="0.25">
      <c r="A171">
        <v>0.02</v>
      </c>
      <c r="B171">
        <v>128.85233500000001</v>
      </c>
      <c r="C171">
        <v>229.79235</v>
      </c>
      <c r="D171">
        <v>166.098579</v>
      </c>
      <c r="E171">
        <v>54.857858</v>
      </c>
      <c r="F171">
        <v>-7.1070960000000003</v>
      </c>
      <c r="G171">
        <v>-355.35478499999999</v>
      </c>
      <c r="H171">
        <v>4.8362949999999998</v>
      </c>
    </row>
    <row r="172" spans="1:8" x14ac:dyDescent="0.25">
      <c r="A172">
        <v>0.02</v>
      </c>
      <c r="B172">
        <v>128.98310599999999</v>
      </c>
      <c r="C172">
        <v>228.70594600000001</v>
      </c>
      <c r="D172">
        <v>167.19284400000001</v>
      </c>
      <c r="E172">
        <v>54.568657000000002</v>
      </c>
      <c r="F172">
        <v>-14.460037</v>
      </c>
      <c r="G172">
        <v>-367.64705900000001</v>
      </c>
      <c r="H172">
        <v>4.8281020000000003</v>
      </c>
    </row>
    <row r="173" spans="1:8" x14ac:dyDescent="0.25">
      <c r="A173">
        <v>0.02</v>
      </c>
      <c r="B173">
        <v>129.10429600000001</v>
      </c>
      <c r="C173">
        <v>227.62568300000001</v>
      </c>
      <c r="D173">
        <v>168.279854</v>
      </c>
      <c r="E173">
        <v>54.132398000000002</v>
      </c>
      <c r="F173">
        <v>-21.812978000000001</v>
      </c>
      <c r="G173">
        <v>-367.64705900000001</v>
      </c>
      <c r="H173">
        <v>4.820144</v>
      </c>
    </row>
    <row r="174" spans="1:8" x14ac:dyDescent="0.25">
      <c r="A174">
        <v>0.02</v>
      </c>
      <c r="B174">
        <v>129.215957</v>
      </c>
      <c r="C174">
        <v>226.55470700000001</v>
      </c>
      <c r="D174">
        <v>169.35666900000001</v>
      </c>
      <c r="E174">
        <v>53.549078999999999</v>
      </c>
      <c r="F174">
        <v>-29.165918999999999</v>
      </c>
      <c r="G174">
        <v>-367.64705900000001</v>
      </c>
      <c r="H174">
        <v>4.8124339999999997</v>
      </c>
    </row>
    <row r="175" spans="1:8" x14ac:dyDescent="0.25">
      <c r="A175">
        <v>0.02</v>
      </c>
      <c r="B175">
        <v>129.31823600000001</v>
      </c>
      <c r="C175">
        <v>225.49596199999999</v>
      </c>
      <c r="D175">
        <v>170.42034699999999</v>
      </c>
      <c r="E175">
        <v>52.818702000000002</v>
      </c>
      <c r="F175">
        <v>-36.518859999999997</v>
      </c>
      <c r="G175">
        <v>-367.64705900000001</v>
      </c>
      <c r="H175">
        <v>4.8049819999999999</v>
      </c>
    </row>
    <row r="176" spans="1:8" x14ac:dyDescent="0.25">
      <c r="A176">
        <v>0.02</v>
      </c>
      <c r="B176">
        <v>129.41134099999999</v>
      </c>
      <c r="C176">
        <v>224.45247599999999</v>
      </c>
      <c r="D176">
        <v>171.46794700000001</v>
      </c>
      <c r="E176">
        <v>51.941265999999999</v>
      </c>
      <c r="F176">
        <v>-43.871802000000002</v>
      </c>
      <c r="G176">
        <v>-367.64705900000001</v>
      </c>
      <c r="H176">
        <v>4.7977990000000004</v>
      </c>
    </row>
    <row r="177" spans="1:8" x14ac:dyDescent="0.25">
      <c r="A177">
        <v>0.02</v>
      </c>
      <c r="B177">
        <v>129.49553499999999</v>
      </c>
      <c r="C177">
        <v>223.42733799999999</v>
      </c>
      <c r="D177">
        <v>172.49652699999999</v>
      </c>
      <c r="E177">
        <v>50.916770999999997</v>
      </c>
      <c r="F177">
        <v>-51.224742999999997</v>
      </c>
      <c r="G177">
        <v>-367.64705900000001</v>
      </c>
      <c r="H177">
        <v>4.7908929999999996</v>
      </c>
    </row>
    <row r="178" spans="1:8" x14ac:dyDescent="0.25">
      <c r="A178">
        <v>0.02</v>
      </c>
      <c r="B178">
        <v>129.57114300000001</v>
      </c>
      <c r="C178">
        <v>222.42356599999999</v>
      </c>
      <c r="D178">
        <v>173.50314700000001</v>
      </c>
      <c r="E178">
        <v>49.745218000000001</v>
      </c>
      <c r="F178">
        <v>-58.577683999999998</v>
      </c>
      <c r="G178">
        <v>-367.64705900000001</v>
      </c>
      <c r="H178">
        <v>4.7842719999999996</v>
      </c>
    </row>
    <row r="179" spans="1:8" x14ac:dyDescent="0.25">
      <c r="A179">
        <v>0.02</v>
      </c>
      <c r="B179">
        <v>129.638541</v>
      </c>
      <c r="C179">
        <v>221.444174</v>
      </c>
      <c r="D179">
        <v>174.48486500000001</v>
      </c>
      <c r="E179">
        <v>48.426605000000002</v>
      </c>
      <c r="F179">
        <v>-65.930625000000006</v>
      </c>
      <c r="G179">
        <v>-367.64705900000001</v>
      </c>
      <c r="H179">
        <v>4.7779410000000002</v>
      </c>
    </row>
    <row r="180" spans="1:8" x14ac:dyDescent="0.25">
      <c r="A180">
        <v>0.02</v>
      </c>
      <c r="B180">
        <v>129.69814099999999</v>
      </c>
      <c r="C180">
        <v>220.49220399999999</v>
      </c>
      <c r="D180">
        <v>175.43874</v>
      </c>
      <c r="E180">
        <v>46.960934000000002</v>
      </c>
      <c r="F180">
        <v>-73.283565999999993</v>
      </c>
      <c r="G180">
        <v>-367.64705900000001</v>
      </c>
      <c r="H180">
        <v>4.7719079999999998</v>
      </c>
    </row>
    <row r="181" spans="1:8" x14ac:dyDescent="0.25">
      <c r="A181">
        <v>0.02</v>
      </c>
      <c r="B181">
        <v>129.75040200000001</v>
      </c>
      <c r="C181">
        <v>219.57058499999999</v>
      </c>
      <c r="D181">
        <v>176.36183199999999</v>
      </c>
      <c r="E181">
        <v>45.348204000000003</v>
      </c>
      <c r="F181">
        <v>-80.636506999999995</v>
      </c>
      <c r="G181">
        <v>-367.64705900000001</v>
      </c>
      <c r="H181">
        <v>4.7661759999999997</v>
      </c>
    </row>
    <row r="182" spans="1:8" x14ac:dyDescent="0.25">
      <c r="A182">
        <v>0.02</v>
      </c>
      <c r="B182">
        <v>129.79579899999999</v>
      </c>
      <c r="C182">
        <v>218.682388</v>
      </c>
      <c r="D182">
        <v>177.25119799999999</v>
      </c>
      <c r="E182">
        <v>43.588414999999998</v>
      </c>
      <c r="F182">
        <v>-87.989448999999993</v>
      </c>
      <c r="G182">
        <v>-367.64705900000001</v>
      </c>
      <c r="H182">
        <v>4.7607520000000001</v>
      </c>
    </row>
    <row r="183" spans="1:8" x14ac:dyDescent="0.25">
      <c r="A183">
        <v>0.02</v>
      </c>
      <c r="B183">
        <v>129.83484000000001</v>
      </c>
      <c r="C183">
        <v>217.83053899999999</v>
      </c>
      <c r="D183">
        <v>178.10389799999999</v>
      </c>
      <c r="E183">
        <v>41.681567000000001</v>
      </c>
      <c r="F183">
        <v>-95.342389999999995</v>
      </c>
      <c r="G183">
        <v>-367.64705900000001</v>
      </c>
      <c r="H183">
        <v>4.7556390000000004</v>
      </c>
    </row>
    <row r="184" spans="1:8" x14ac:dyDescent="0.25">
      <c r="A184">
        <v>0.02</v>
      </c>
      <c r="B184">
        <v>129.868042</v>
      </c>
      <c r="C184">
        <v>217.018126</v>
      </c>
      <c r="D184">
        <v>178.91699</v>
      </c>
      <c r="E184">
        <v>39.627659999999999</v>
      </c>
      <c r="F184">
        <v>-102.695331</v>
      </c>
      <c r="G184">
        <v>-367.64705900000001</v>
      </c>
      <c r="H184">
        <v>4.7508419999999996</v>
      </c>
    </row>
    <row r="185" spans="1:8" x14ac:dyDescent="0.25">
      <c r="A185">
        <v>0.02</v>
      </c>
      <c r="B185">
        <v>129.895937</v>
      </c>
      <c r="C185">
        <v>216.248085</v>
      </c>
      <c r="D185">
        <v>179.687534</v>
      </c>
      <c r="E185">
        <v>37.426695000000002</v>
      </c>
      <c r="F185">
        <v>-110.048272</v>
      </c>
      <c r="G185">
        <v>-367.64705900000001</v>
      </c>
      <c r="H185">
        <v>4.7463649999999999</v>
      </c>
    </row>
    <row r="186" spans="1:8" x14ac:dyDescent="0.25">
      <c r="A186">
        <v>0.02</v>
      </c>
      <c r="B186">
        <v>129.91905700000001</v>
      </c>
      <c r="C186">
        <v>215.52345</v>
      </c>
      <c r="D186">
        <v>180.412587</v>
      </c>
      <c r="E186">
        <v>35.078671</v>
      </c>
      <c r="F186">
        <v>-117.401213</v>
      </c>
      <c r="G186">
        <v>-367.64705900000001</v>
      </c>
      <c r="H186">
        <v>4.7422129999999996</v>
      </c>
    </row>
    <row r="187" spans="1:8" x14ac:dyDescent="0.25">
      <c r="A187">
        <v>0.02</v>
      </c>
      <c r="B187">
        <v>129.937939</v>
      </c>
      <c r="C187">
        <v>214.847081</v>
      </c>
      <c r="D187">
        <v>181.08921000000001</v>
      </c>
      <c r="E187">
        <v>32.583587000000001</v>
      </c>
      <c r="F187">
        <v>-124.754155</v>
      </c>
      <c r="G187">
        <v>-367.64705900000001</v>
      </c>
      <c r="H187">
        <v>4.738391</v>
      </c>
    </row>
    <row r="188" spans="1:8" x14ac:dyDescent="0.25">
      <c r="A188">
        <v>0.02</v>
      </c>
      <c r="B188">
        <v>129.95313300000001</v>
      </c>
      <c r="C188">
        <v>214.22061400000001</v>
      </c>
      <c r="D188">
        <v>181.71588199999999</v>
      </c>
      <c r="E188">
        <v>30.083587000000001</v>
      </c>
      <c r="F188">
        <v>-125</v>
      </c>
      <c r="G188">
        <v>-12.292274000000001</v>
      </c>
      <c r="H188">
        <v>4.7348939999999997</v>
      </c>
    </row>
    <row r="189" spans="1:8" x14ac:dyDescent="0.25">
      <c r="A189">
        <v>0.02</v>
      </c>
      <c r="B189">
        <v>129.965191</v>
      </c>
      <c r="C189">
        <v>213.644059</v>
      </c>
      <c r="D189">
        <v>182.292553</v>
      </c>
      <c r="E189">
        <v>27.583587000000001</v>
      </c>
      <c r="F189">
        <v>-125</v>
      </c>
      <c r="G189">
        <v>0</v>
      </c>
      <c r="H189">
        <v>4.7317130000000001</v>
      </c>
    </row>
    <row r="190" spans="1:8" x14ac:dyDescent="0.25">
      <c r="A190">
        <v>0.02</v>
      </c>
      <c r="B190">
        <v>129.97461000000001</v>
      </c>
      <c r="C190">
        <v>213.11747800000001</v>
      </c>
      <c r="D190">
        <v>182.81922499999999</v>
      </c>
      <c r="E190">
        <v>25.083587000000001</v>
      </c>
      <c r="F190">
        <v>-125</v>
      </c>
      <c r="G190">
        <v>0</v>
      </c>
      <c r="H190">
        <v>4.7288370000000004</v>
      </c>
    </row>
    <row r="191" spans="1:8" x14ac:dyDescent="0.25">
      <c r="A191">
        <v>0.02</v>
      </c>
      <c r="B191">
        <v>129.98183499999999</v>
      </c>
      <c r="C191">
        <v>212.64086399999999</v>
      </c>
      <c r="D191">
        <v>183.295897</v>
      </c>
      <c r="E191">
        <v>22.583587000000001</v>
      </c>
      <c r="F191">
        <v>-125</v>
      </c>
      <c r="G191">
        <v>0</v>
      </c>
      <c r="H191">
        <v>4.7262599999999999</v>
      </c>
    </row>
    <row r="192" spans="1:8" x14ac:dyDescent="0.25">
      <c r="A192">
        <v>0.02</v>
      </c>
      <c r="B192">
        <v>129.98726500000001</v>
      </c>
      <c r="C192">
        <v>212.21417</v>
      </c>
      <c r="D192">
        <v>183.72256899999999</v>
      </c>
      <c r="E192">
        <v>20.083587000000001</v>
      </c>
      <c r="F192">
        <v>-125</v>
      </c>
      <c r="G192">
        <v>0</v>
      </c>
      <c r="H192">
        <v>4.7239719999999998</v>
      </c>
    </row>
    <row r="193" spans="1:8" x14ac:dyDescent="0.25">
      <c r="A193">
        <v>0.02</v>
      </c>
      <c r="B193">
        <v>129.991263</v>
      </c>
      <c r="C193">
        <v>211.836152</v>
      </c>
      <c r="D193">
        <v>184.100662</v>
      </c>
      <c r="E193">
        <v>17.725729000000001</v>
      </c>
      <c r="F193">
        <v>-117.892904</v>
      </c>
      <c r="G193">
        <v>355.35478499999999</v>
      </c>
      <c r="H193">
        <v>4.7219600000000002</v>
      </c>
    </row>
    <row r="194" spans="1:8" x14ac:dyDescent="0.25">
      <c r="A194">
        <v>0.02</v>
      </c>
      <c r="B194">
        <v>129.99415200000001</v>
      </c>
      <c r="C194">
        <v>211.50376399999999</v>
      </c>
      <c r="D194">
        <v>184.43306799999999</v>
      </c>
      <c r="E194">
        <v>15.51493</v>
      </c>
      <c r="F194">
        <v>-110.539963</v>
      </c>
      <c r="G194">
        <v>367.64705900000001</v>
      </c>
      <c r="H194">
        <v>4.7202029999999997</v>
      </c>
    </row>
    <row r="195" spans="1:8" x14ac:dyDescent="0.25">
      <c r="A195">
        <v>0.02</v>
      </c>
      <c r="B195">
        <v>129.996195</v>
      </c>
      <c r="C195">
        <v>211.21410800000001</v>
      </c>
      <c r="D195">
        <v>184.72273000000001</v>
      </c>
      <c r="E195">
        <v>13.45119</v>
      </c>
      <c r="F195">
        <v>-103.187022</v>
      </c>
      <c r="G195">
        <v>367.64705900000001</v>
      </c>
      <c r="H195">
        <v>4.7186810000000001</v>
      </c>
    </row>
    <row r="196" spans="1:8" x14ac:dyDescent="0.25">
      <c r="A196">
        <v>0.02</v>
      </c>
      <c r="B196">
        <v>129.997604</v>
      </c>
      <c r="C196">
        <v>210.964258</v>
      </c>
      <c r="D196">
        <v>184.972587</v>
      </c>
      <c r="E196">
        <v>11.534508000000001</v>
      </c>
      <c r="F196">
        <v>-95.834080999999998</v>
      </c>
      <c r="G196">
        <v>367.64705900000001</v>
      </c>
      <c r="H196">
        <v>4.7173740000000004</v>
      </c>
    </row>
    <row r="197" spans="1:8" x14ac:dyDescent="0.25">
      <c r="A197">
        <v>0.02</v>
      </c>
      <c r="B197">
        <v>129.998547</v>
      </c>
      <c r="C197">
        <v>210.75125399999999</v>
      </c>
      <c r="D197">
        <v>185.18557999999999</v>
      </c>
      <c r="E197">
        <v>9.7648849999999996</v>
      </c>
      <c r="F197">
        <v>-88.481139999999996</v>
      </c>
      <c r="G197">
        <v>367.64705900000001</v>
      </c>
      <c r="H197">
        <v>4.7162649999999999</v>
      </c>
    </row>
    <row r="198" spans="1:8" x14ac:dyDescent="0.25">
      <c r="A198">
        <v>0.02</v>
      </c>
      <c r="B198">
        <v>129.99915799999999</v>
      </c>
      <c r="C198">
        <v>210.57214200000001</v>
      </c>
      <c r="D198">
        <v>185.364653</v>
      </c>
      <c r="E198">
        <v>8.1423210000000008</v>
      </c>
      <c r="F198">
        <v>-81.128197999999998</v>
      </c>
      <c r="G198">
        <v>367.64705900000001</v>
      </c>
      <c r="H198">
        <v>4.7153359999999997</v>
      </c>
    </row>
    <row r="199" spans="1:8" x14ac:dyDescent="0.25">
      <c r="A199">
        <v>0.02</v>
      </c>
      <c r="B199">
        <v>129.999538</v>
      </c>
      <c r="C199">
        <v>210.424105</v>
      </c>
      <c r="D199">
        <v>185.512744</v>
      </c>
      <c r="E199">
        <v>6.6668159999999999</v>
      </c>
      <c r="F199">
        <v>-73.775256999999996</v>
      </c>
      <c r="G199">
        <v>367.64705900000001</v>
      </c>
      <c r="H199">
        <v>4.7145710000000003</v>
      </c>
    </row>
    <row r="200" spans="1:8" x14ac:dyDescent="0.25">
      <c r="A200">
        <v>0.02</v>
      </c>
      <c r="B200">
        <v>129.999763</v>
      </c>
      <c r="C200">
        <v>210.30400700000001</v>
      </c>
      <c r="D200">
        <v>185.63279600000001</v>
      </c>
      <c r="E200">
        <v>5.3383700000000003</v>
      </c>
      <c r="F200">
        <v>-66.422315999999995</v>
      </c>
      <c r="G200">
        <v>367.64705900000001</v>
      </c>
      <c r="H200">
        <v>4.7139509999999998</v>
      </c>
    </row>
    <row r="201" spans="1:8" x14ac:dyDescent="0.25">
      <c r="A201">
        <v>0.02</v>
      </c>
      <c r="B201">
        <v>129.999888</v>
      </c>
      <c r="C201">
        <v>210.209082</v>
      </c>
      <c r="D201">
        <v>185.72774899999999</v>
      </c>
      <c r="E201">
        <v>4.1569820000000002</v>
      </c>
      <c r="F201">
        <v>-59.069375000000001</v>
      </c>
      <c r="G201">
        <v>367.64705900000001</v>
      </c>
      <c r="H201">
        <v>4.7134619999999998</v>
      </c>
    </row>
    <row r="202" spans="1:8" x14ac:dyDescent="0.25">
      <c r="A202">
        <v>0.02</v>
      </c>
      <c r="B202">
        <v>129.99995200000001</v>
      </c>
      <c r="C202">
        <v>210.136304</v>
      </c>
      <c r="D202">
        <v>185.800546</v>
      </c>
      <c r="E202">
        <v>3.1226539999999998</v>
      </c>
      <c r="F202">
        <v>-51.716434</v>
      </c>
      <c r="G202">
        <v>367.64705900000001</v>
      </c>
      <c r="H202">
        <v>4.7130879999999999</v>
      </c>
    </row>
    <row r="203" spans="1:8" x14ac:dyDescent="0.25">
      <c r="A203">
        <v>0.02</v>
      </c>
      <c r="B203">
        <v>129.99998199999999</v>
      </c>
      <c r="C203">
        <v>210.08271199999999</v>
      </c>
      <c r="D203">
        <v>185.85412600000001</v>
      </c>
      <c r="E203">
        <v>2.2353839999999998</v>
      </c>
      <c r="F203">
        <v>-44.363492999999998</v>
      </c>
      <c r="G203">
        <v>367.64705900000001</v>
      </c>
      <c r="H203">
        <v>4.7128129999999997</v>
      </c>
    </row>
    <row r="204" spans="1:8" x14ac:dyDescent="0.25">
      <c r="A204">
        <v>0.02</v>
      </c>
      <c r="B204">
        <v>129.99999500000001</v>
      </c>
      <c r="C204">
        <v>210.04538600000001</v>
      </c>
      <c r="D204">
        <v>185.89143200000001</v>
      </c>
      <c r="E204">
        <v>1.4951730000000001</v>
      </c>
      <c r="F204">
        <v>-37.010551</v>
      </c>
      <c r="G204">
        <v>367.64705900000001</v>
      </c>
      <c r="H204">
        <v>4.7126219999999996</v>
      </c>
    </row>
    <row r="205" spans="1:8" x14ac:dyDescent="0.25">
      <c r="A205">
        <v>0.02</v>
      </c>
      <c r="B205">
        <v>129.999999</v>
      </c>
      <c r="C205">
        <v>210.02139500000001</v>
      </c>
      <c r="D205">
        <v>185.915404</v>
      </c>
      <c r="E205">
        <v>0.90202099999999996</v>
      </c>
      <c r="F205">
        <v>-29.657609999999998</v>
      </c>
      <c r="G205">
        <v>367.64705900000001</v>
      </c>
      <c r="H205">
        <v>4.7124990000000002</v>
      </c>
    </row>
    <row r="206" spans="1:8" x14ac:dyDescent="0.25">
      <c r="A206">
        <v>0.02</v>
      </c>
      <c r="B206">
        <v>130</v>
      </c>
      <c r="C206">
        <v>210.007803</v>
      </c>
      <c r="D206">
        <v>185.92898299999999</v>
      </c>
      <c r="E206">
        <v>0.45592700000000003</v>
      </c>
      <c r="F206">
        <v>-22.304669000000001</v>
      </c>
      <c r="G206">
        <v>367.64705900000001</v>
      </c>
      <c r="H206">
        <v>4.7124290000000002</v>
      </c>
    </row>
    <row r="207" spans="1:8" x14ac:dyDescent="0.25">
      <c r="A207">
        <v>0.02</v>
      </c>
      <c r="B207">
        <v>130</v>
      </c>
      <c r="C207">
        <v>210.00166899999999</v>
      </c>
      <c r="D207">
        <v>185.93511100000001</v>
      </c>
      <c r="E207">
        <v>0.156893</v>
      </c>
      <c r="F207">
        <v>-14.951727999999999</v>
      </c>
      <c r="G207">
        <v>367.64705900000001</v>
      </c>
      <c r="H207">
        <v>4.7123980000000003</v>
      </c>
    </row>
    <row r="208" spans="1:8" x14ac:dyDescent="0.25">
      <c r="A208">
        <v>0.02</v>
      </c>
      <c r="B208">
        <v>130</v>
      </c>
      <c r="C208">
        <v>210.00004899999999</v>
      </c>
      <c r="D208">
        <v>185.93672900000001</v>
      </c>
      <c r="E208">
        <v>4.9170000000000004E-3</v>
      </c>
      <c r="F208">
        <v>-7.5987869999999997</v>
      </c>
      <c r="G208">
        <v>367.64705900000001</v>
      </c>
      <c r="H208">
        <v>4.7123889999999999</v>
      </c>
    </row>
    <row r="209" spans="1:8" x14ac:dyDescent="0.25">
      <c r="A209">
        <v>0.02</v>
      </c>
      <c r="B209">
        <v>130</v>
      </c>
      <c r="C209">
        <v>210</v>
      </c>
      <c r="D209">
        <v>185.936778</v>
      </c>
      <c r="E209">
        <v>0</v>
      </c>
      <c r="F209">
        <v>-0.24584500000000001</v>
      </c>
      <c r="G209">
        <v>367.64705900000001</v>
      </c>
      <c r="H209">
        <v>4.7123889999999999</v>
      </c>
    </row>
    <row r="210" spans="1:8" x14ac:dyDescent="0.25">
      <c r="A210">
        <v>0.02</v>
      </c>
      <c r="B210">
        <v>130</v>
      </c>
      <c r="C210">
        <v>210</v>
      </c>
      <c r="D210">
        <v>185.936778</v>
      </c>
      <c r="E210">
        <v>0</v>
      </c>
      <c r="F210">
        <v>0</v>
      </c>
      <c r="G210">
        <v>12.292274000000001</v>
      </c>
      <c r="H210">
        <v>4.7123889999999999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Main!Q2</f>
        <v>0</v>
      </c>
      <c r="C2">
        <f>Main!R2</f>
        <v>300</v>
      </c>
      <c r="D2">
        <v>0</v>
      </c>
      <c r="E2">
        <f t="shared" ref="E2:E4" si="0" xml:space="preserve"> IF(ISBLANK(D3), 0, (D3-D2)/$A2 )</f>
        <v>7.3550000000000046E-2</v>
      </c>
      <c r="F2">
        <f xml:space="preserve"> (E3-E2)/$A2</f>
        <v>11.027499999999995</v>
      </c>
      <c r="G2">
        <f xml:space="preserve"> (F3-F2)/$A2</f>
        <v>367.75000000000011</v>
      </c>
      <c r="H2">
        <f>Main!O2</f>
        <v>6.2831039999999998</v>
      </c>
    </row>
    <row r="3" spans="1:8" x14ac:dyDescent="0.25">
      <c r="A3">
        <f>Main!$K$2</f>
        <v>0.02</v>
      </c>
      <c r="B3">
        <f>Main!Q3</f>
        <v>1.4709999951377144E-3</v>
      </c>
      <c r="C3">
        <f>Main!R3</f>
        <v>299.99999988039713</v>
      </c>
      <c r="D3">
        <f>D2 + SQRT( (B3-B2)^2  + (C3-C2)^2 )</f>
        <v>1.471000000000001E-3</v>
      </c>
      <c r="E3">
        <f t="shared" si="0"/>
        <v>0.29409999999999997</v>
      </c>
      <c r="F3">
        <f t="shared" ref="F3:G4" si="1" xml:space="preserve"> (E4-E3)/$A3</f>
        <v>18.382499999999997</v>
      </c>
      <c r="G3">
        <f t="shared" si="1"/>
        <v>367.74999999999949</v>
      </c>
      <c r="H3">
        <f>Main!O3</f>
        <v>6.2831039999999998</v>
      </c>
    </row>
    <row r="4" spans="1:8" x14ac:dyDescent="0.25">
      <c r="A4">
        <f>Main!$K$2</f>
        <v>0.02</v>
      </c>
      <c r="B4">
        <f>Main!Q4</f>
        <v>7.3529999766399155E-3</v>
      </c>
      <c r="C4">
        <f>Main!R4</f>
        <v>299.99999941391229</v>
      </c>
      <c r="D4">
        <f t="shared" ref="D4:D5" si="2">D3 + SQRT( (B4-B3)^2  + (C4-C3)^2 )</f>
        <v>7.353000000000001E-3</v>
      </c>
      <c r="E4">
        <f t="shared" si="0"/>
        <v>0.66174999999999995</v>
      </c>
      <c r="F4">
        <f t="shared" si="1"/>
        <v>25.737499999999986</v>
      </c>
      <c r="G4">
        <f t="shared" si="1"/>
        <v>367.37500000000108</v>
      </c>
      <c r="H4">
        <f>Main!O4</f>
        <v>6.2831060000000001</v>
      </c>
    </row>
    <row r="5" spans="1:8" x14ac:dyDescent="0.25">
      <c r="A5">
        <f>Main!$K$2</f>
        <v>0.02</v>
      </c>
      <c r="B5">
        <f>Main!Q5</f>
        <v>2.058799994107785E-2</v>
      </c>
      <c r="C5">
        <f>Main!R5</f>
        <v>299.99999844369177</v>
      </c>
      <c r="D5">
        <f t="shared" ref="D5:D68" si="3">D4 + SQRT( (B5-B4)^2  + (C5-C4)^2 )</f>
        <v>2.0588000000000002E-2</v>
      </c>
      <c r="E5">
        <f t="shared" ref="E5:E68" si="4" xml:space="preserve"> IF(ISBLANK(D6), 0, (D6-D5)/$A5 )</f>
        <v>1.1764999999999997</v>
      </c>
      <c r="F5">
        <f t="shared" ref="F5:F68" si="5" xml:space="preserve"> (E6-E5)/$A5</f>
        <v>33.085000000000008</v>
      </c>
      <c r="G5">
        <f t="shared" ref="G5:G68" si="6" xml:space="preserve"> (F6-F5)/$A5</f>
        <v>367.99999999999994</v>
      </c>
      <c r="H5">
        <f>Main!O5</f>
        <v>6.283112</v>
      </c>
    </row>
    <row r="6" spans="1:8" x14ac:dyDescent="0.25">
      <c r="A6">
        <f>Main!$K$2</f>
        <v>0.02</v>
      </c>
      <c r="B6">
        <f>Main!Q6</f>
        <v>4.4117999893926091E-2</v>
      </c>
      <c r="C6">
        <f>Main!R6</f>
        <v>299.99999695407382</v>
      </c>
      <c r="D6">
        <f t="shared" si="3"/>
        <v>4.4117999999999997E-2</v>
      </c>
      <c r="E6">
        <f t="shared" si="4"/>
        <v>1.8381999999999998</v>
      </c>
      <c r="F6">
        <f t="shared" si="5"/>
        <v>40.445000000000007</v>
      </c>
      <c r="G6">
        <f t="shared" si="6"/>
        <v>367.25000000000063</v>
      </c>
      <c r="H6">
        <f>Main!O6</f>
        <v>6.2831219999999997</v>
      </c>
    </row>
    <row r="7" spans="1:8" x14ac:dyDescent="0.25">
      <c r="A7">
        <f>Main!$K$2</f>
        <v>0.02</v>
      </c>
      <c r="B7">
        <f>Main!Q7</f>
        <v>8.0881999852787739E-2</v>
      </c>
      <c r="C7">
        <f>Main!R7</f>
        <v>299.99999521487268</v>
      </c>
      <c r="D7">
        <f t="shared" si="3"/>
        <v>8.0881999999999996E-2</v>
      </c>
      <c r="E7">
        <f t="shared" si="4"/>
        <v>2.6471</v>
      </c>
      <c r="F7">
        <f t="shared" si="5"/>
        <v>47.79000000000002</v>
      </c>
      <c r="G7">
        <f t="shared" si="6"/>
        <v>367.999999999995</v>
      </c>
      <c r="H7">
        <f>Main!O7</f>
        <v>6.2831380000000001</v>
      </c>
    </row>
    <row r="8" spans="1:8" x14ac:dyDescent="0.25">
      <c r="A8">
        <f>Main!$K$2</f>
        <v>0.02</v>
      </c>
      <c r="B8">
        <f>Main!Q8</f>
        <v>0.13382399983714766</v>
      </c>
      <c r="C8">
        <f>Main!R8</f>
        <v>299.99999392800197</v>
      </c>
      <c r="D8">
        <f t="shared" si="3"/>
        <v>0.133824</v>
      </c>
      <c r="E8">
        <f t="shared" si="4"/>
        <v>3.6029000000000004</v>
      </c>
      <c r="F8">
        <f t="shared" si="5"/>
        <v>55.14999999999992</v>
      </c>
      <c r="G8">
        <f t="shared" si="6"/>
        <v>367.50000000000608</v>
      </c>
      <c r="H8">
        <f>Main!O8</f>
        <v>6.2831609999999998</v>
      </c>
    </row>
    <row r="9" spans="1:8" x14ac:dyDescent="0.25">
      <c r="A9">
        <f>Main!$K$2</f>
        <v>0.02</v>
      </c>
      <c r="B9">
        <f>Main!Q9</f>
        <v>0.20588199983585062</v>
      </c>
      <c r="C9">
        <f>Main!R9</f>
        <v>299.99999436034994</v>
      </c>
      <c r="D9">
        <f t="shared" si="3"/>
        <v>0.20588200000000001</v>
      </c>
      <c r="E9">
        <f t="shared" si="4"/>
        <v>4.7058999999999989</v>
      </c>
      <c r="F9">
        <f t="shared" si="5"/>
        <v>62.500000000000043</v>
      </c>
      <c r="G9">
        <f t="shared" si="6"/>
        <v>367.5000000000004</v>
      </c>
      <c r="H9">
        <f>Main!O9</f>
        <v>6.0000000000000002E-6</v>
      </c>
    </row>
    <row r="10" spans="1:8" x14ac:dyDescent="0.25">
      <c r="A10">
        <f>Main!$K$2</f>
        <v>0.02</v>
      </c>
      <c r="B10">
        <f>Main!Q10</f>
        <v>0.29999999974055613</v>
      </c>
      <c r="C10">
        <f>Main!R10</f>
        <v>299.99999859565992</v>
      </c>
      <c r="D10">
        <f t="shared" si="3"/>
        <v>0.3</v>
      </c>
      <c r="E10">
        <f t="shared" si="4"/>
        <v>5.9558999999999997</v>
      </c>
      <c r="F10">
        <f t="shared" si="5"/>
        <v>69.850000000000051</v>
      </c>
      <c r="G10">
        <f t="shared" si="6"/>
        <v>367.99999999998647</v>
      </c>
      <c r="H10">
        <f>Main!O10</f>
        <v>4.5000000000000003E-5</v>
      </c>
    </row>
    <row r="11" spans="1:8" x14ac:dyDescent="0.25">
      <c r="A11">
        <f>Main!$K$2</f>
        <v>0.02</v>
      </c>
      <c r="B11">
        <f>Main!Q11</f>
        <v>0.41911799922543036</v>
      </c>
      <c r="C11">
        <f>Main!R11</f>
        <v>300.00000967363388</v>
      </c>
      <c r="D11">
        <f t="shared" si="3"/>
        <v>0.41911799999999999</v>
      </c>
      <c r="E11">
        <f t="shared" si="4"/>
        <v>7.3529000000000009</v>
      </c>
      <c r="F11">
        <f t="shared" si="5"/>
        <v>77.209999999999781</v>
      </c>
      <c r="G11">
        <f t="shared" si="6"/>
        <v>367.25000000001199</v>
      </c>
      <c r="H11">
        <f>Main!O11</f>
        <v>9.2999999999999997E-5</v>
      </c>
    </row>
    <row r="12" spans="1:8" x14ac:dyDescent="0.25">
      <c r="A12">
        <f>Main!$K$2</f>
        <v>0.02</v>
      </c>
      <c r="B12">
        <f>Main!Q12</f>
        <v>0.56617599754889569</v>
      </c>
      <c r="C12">
        <f>Main!R12</f>
        <v>300.00003187939183</v>
      </c>
      <c r="D12">
        <f t="shared" si="3"/>
        <v>0.56617600000000001</v>
      </c>
      <c r="E12">
        <f t="shared" si="4"/>
        <v>8.8970999999999965</v>
      </c>
      <c r="F12">
        <f t="shared" si="5"/>
        <v>84.555000000000021</v>
      </c>
      <c r="G12">
        <f t="shared" si="6"/>
        <v>368.000000000022</v>
      </c>
      <c r="H12">
        <f>Main!O12</f>
        <v>1.5100000000000001E-4</v>
      </c>
    </row>
    <row r="13" spans="1:8" x14ac:dyDescent="0.25">
      <c r="A13">
        <f>Main!$K$2</f>
        <v>0.02</v>
      </c>
      <c r="B13">
        <f>Main!Q13</f>
        <v>0.74411799328175754</v>
      </c>
      <c r="C13">
        <f>Main!R13</f>
        <v>300.00007084868952</v>
      </c>
      <c r="D13">
        <f t="shared" si="3"/>
        <v>0.74411799999999995</v>
      </c>
      <c r="E13">
        <f t="shared" si="4"/>
        <v>10.588199999999997</v>
      </c>
      <c r="F13">
        <f t="shared" si="5"/>
        <v>91.915000000000461</v>
      </c>
      <c r="G13">
        <f t="shared" si="6"/>
        <v>367.37499999996498</v>
      </c>
      <c r="H13">
        <f>Main!O13</f>
        <v>2.1900000000000001E-4</v>
      </c>
    </row>
    <row r="14" spans="1:8" x14ac:dyDescent="0.25">
      <c r="A14">
        <f>Main!$K$2</f>
        <v>0.02</v>
      </c>
      <c r="B14">
        <f>Main!Q14</f>
        <v>0.95588198394201229</v>
      </c>
      <c r="C14">
        <f>Main!R14</f>
        <v>300.00013374259657</v>
      </c>
      <c r="D14">
        <f t="shared" si="3"/>
        <v>0.9558819999999999</v>
      </c>
      <c r="E14">
        <f t="shared" si="4"/>
        <v>12.426500000000006</v>
      </c>
      <c r="F14">
        <f t="shared" si="5"/>
        <v>99.262499999999761</v>
      </c>
      <c r="G14">
        <f t="shared" si="6"/>
        <v>367.74999999999096</v>
      </c>
      <c r="H14">
        <f>Main!O14</f>
        <v>2.9700000000000001E-4</v>
      </c>
    </row>
    <row r="15" spans="1:8" x14ac:dyDescent="0.25">
      <c r="A15">
        <f>Main!$K$2</f>
        <v>0.02</v>
      </c>
      <c r="B15">
        <f>Main!Q15</f>
        <v>1.204411965713704</v>
      </c>
      <c r="C15">
        <f>Main!R15</f>
        <v>300.00022892958424</v>
      </c>
      <c r="D15">
        <f t="shared" si="3"/>
        <v>1.204412</v>
      </c>
      <c r="E15">
        <f t="shared" si="4"/>
        <v>14.411750000000001</v>
      </c>
      <c r="F15">
        <f t="shared" si="5"/>
        <v>106.61749999999958</v>
      </c>
      <c r="G15">
        <f t="shared" si="6"/>
        <v>367.75000000006696</v>
      </c>
      <c r="H15">
        <f>Main!O15</f>
        <v>3.8299999999999999E-4</v>
      </c>
    </row>
    <row r="16" spans="1:8" x14ac:dyDescent="0.25">
      <c r="A16">
        <f>Main!$K$2</f>
        <v>0.02</v>
      </c>
      <c r="B16">
        <f>Main!Q16</f>
        <v>1.492646932922794</v>
      </c>
      <c r="C16">
        <f>Main!R16</f>
        <v>300.000366417674</v>
      </c>
      <c r="D16">
        <f t="shared" si="3"/>
        <v>1.4926470000000001</v>
      </c>
      <c r="E16">
        <f t="shared" si="4"/>
        <v>16.544099999999993</v>
      </c>
      <c r="F16">
        <f t="shared" si="5"/>
        <v>113.97250000000092</v>
      </c>
      <c r="G16">
        <f t="shared" si="6"/>
        <v>367.49999999989808</v>
      </c>
      <c r="H16">
        <f>Main!O16</f>
        <v>4.7699999999999999E-4</v>
      </c>
    </row>
    <row r="17" spans="1:8" x14ac:dyDescent="0.25">
      <c r="A17">
        <f>Main!$K$2</f>
        <v>0.02</v>
      </c>
      <c r="B17">
        <f>Main!Q17</f>
        <v>1.8235288780334422</v>
      </c>
      <c r="C17">
        <f>Main!R17</f>
        <v>300.00055700569544</v>
      </c>
      <c r="D17">
        <f t="shared" si="3"/>
        <v>1.823529</v>
      </c>
      <c r="E17">
        <f t="shared" si="4"/>
        <v>18.823550000000012</v>
      </c>
      <c r="F17">
        <f t="shared" si="5"/>
        <v>121.32249999999888</v>
      </c>
      <c r="G17">
        <f t="shared" si="6"/>
        <v>183.8750000000914</v>
      </c>
      <c r="H17">
        <f>Main!O17</f>
        <v>5.7600000000000001E-4</v>
      </c>
    </row>
    <row r="18" spans="1:8" x14ac:dyDescent="0.25">
      <c r="A18">
        <f>Main!$K$2</f>
        <v>0.02</v>
      </c>
      <c r="B18">
        <f>Main!Q18</f>
        <v>2.1999997915045983</v>
      </c>
      <c r="C18">
        <f>Main!R18</f>
        <v>300.00081225301386</v>
      </c>
      <c r="D18">
        <f t="shared" si="3"/>
        <v>2.2000000000000002</v>
      </c>
      <c r="E18">
        <f t="shared" si="4"/>
        <v>21.249999999999989</v>
      </c>
      <c r="F18">
        <f t="shared" si="5"/>
        <v>125.00000000000071</v>
      </c>
      <c r="G18">
        <f t="shared" si="6"/>
        <v>-5.3290705182007514E-11</v>
      </c>
      <c r="H18">
        <f>Main!O18</f>
        <v>6.78E-4</v>
      </c>
    </row>
    <row r="19" spans="1:8" x14ac:dyDescent="0.25">
      <c r="A19">
        <f>Main!$K$2</f>
        <v>0.02</v>
      </c>
      <c r="B19">
        <f>Main!Q19</f>
        <v>2.6249996625508922</v>
      </c>
      <c r="C19">
        <f>Main!R19</f>
        <v>300.0011433279804</v>
      </c>
      <c r="D19">
        <f t="shared" si="3"/>
        <v>2.625</v>
      </c>
      <c r="E19">
        <f t="shared" si="4"/>
        <v>23.750000000000004</v>
      </c>
      <c r="F19">
        <f t="shared" si="5"/>
        <v>124.99999999999964</v>
      </c>
      <c r="G19">
        <f t="shared" si="6"/>
        <v>4.4053649617126212E-11</v>
      </c>
      <c r="H19">
        <f>Main!O19</f>
        <v>7.7899999999999996E-4</v>
      </c>
    </row>
    <row r="20" spans="1:8" x14ac:dyDescent="0.25">
      <c r="A20">
        <f>Main!$K$2</f>
        <v>0.02</v>
      </c>
      <c r="B20">
        <f>Main!Q20</f>
        <v>3.0999994811303537</v>
      </c>
      <c r="C20">
        <f>Main!R20</f>
        <v>300.00155847792757</v>
      </c>
      <c r="D20">
        <f t="shared" si="3"/>
        <v>3.1</v>
      </c>
      <c r="E20">
        <f t="shared" si="4"/>
        <v>26.249999999999996</v>
      </c>
      <c r="F20">
        <f t="shared" si="5"/>
        <v>125.00000000000053</v>
      </c>
      <c r="G20">
        <f t="shared" si="6"/>
        <v>-4.4053649617126212E-11</v>
      </c>
      <c r="H20">
        <f>Main!O20</f>
        <v>8.7399999999999999E-4</v>
      </c>
    </row>
    <row r="21" spans="1:8" x14ac:dyDescent="0.25">
      <c r="A21">
        <f>Main!$K$2</f>
        <v>0.02</v>
      </c>
      <c r="B21">
        <f>Main!Q21</f>
        <v>3.6249992407200096</v>
      </c>
      <c r="C21">
        <f>Main!R21</f>
        <v>300.00206090285087</v>
      </c>
      <c r="D21">
        <f t="shared" si="3"/>
        <v>3.625</v>
      </c>
      <c r="E21">
        <f t="shared" si="4"/>
        <v>28.750000000000007</v>
      </c>
      <c r="F21">
        <f t="shared" si="5"/>
        <v>124.99999999999964</v>
      </c>
      <c r="G21">
        <f t="shared" si="6"/>
        <v>0</v>
      </c>
      <c r="H21">
        <f>Main!O21</f>
        <v>9.5699999999999995E-4</v>
      </c>
    </row>
    <row r="22" spans="1:8" x14ac:dyDescent="0.25">
      <c r="A22">
        <f>Main!$K$2</f>
        <v>0.02</v>
      </c>
      <c r="B22">
        <f>Main!Q22</f>
        <v>4.199998940430886</v>
      </c>
      <c r="C22">
        <f>Main!R22</f>
        <v>300.00264855274855</v>
      </c>
      <c r="D22">
        <f t="shared" si="3"/>
        <v>4.2</v>
      </c>
      <c r="E22">
        <f t="shared" si="4"/>
        <v>31.25</v>
      </c>
      <c r="F22">
        <f t="shared" si="5"/>
        <v>124.99999999999964</v>
      </c>
      <c r="G22">
        <f t="shared" si="6"/>
        <v>-183.87499999995782</v>
      </c>
      <c r="H22">
        <f>Main!O22</f>
        <v>1.0219999999999999E-3</v>
      </c>
    </row>
    <row r="23" spans="1:8" x14ac:dyDescent="0.25">
      <c r="A23">
        <f>Main!$K$2</f>
        <v>0.02</v>
      </c>
      <c r="B23">
        <f>Main!Q23</f>
        <v>4.8249985873156067</v>
      </c>
      <c r="C23">
        <f>Main!R23</f>
        <v>300.00331292762343</v>
      </c>
      <c r="D23">
        <f t="shared" si="3"/>
        <v>4.8250000000000002</v>
      </c>
      <c r="E23">
        <f t="shared" si="4"/>
        <v>33.749999999999993</v>
      </c>
      <c r="F23">
        <f t="shared" si="5"/>
        <v>121.32250000000049</v>
      </c>
      <c r="G23">
        <f t="shared" si="6"/>
        <v>-367.49999999996061</v>
      </c>
      <c r="H23">
        <f>Main!O23</f>
        <v>1.0629999999999999E-3</v>
      </c>
    </row>
    <row r="24" spans="1:8" x14ac:dyDescent="0.25">
      <c r="A24">
        <f>Main!$K$2</f>
        <v>0.02</v>
      </c>
      <c r="B24">
        <f>Main!Q24</f>
        <v>5.4999982009118931</v>
      </c>
      <c r="C24">
        <f>Main!R24</f>
        <v>300.0040351774856</v>
      </c>
      <c r="D24">
        <f t="shared" si="3"/>
        <v>5.5</v>
      </c>
      <c r="E24">
        <f t="shared" si="4"/>
        <v>36.176450000000003</v>
      </c>
      <c r="F24">
        <f t="shared" si="5"/>
        <v>113.97250000000128</v>
      </c>
      <c r="G24">
        <f t="shared" si="6"/>
        <v>-367.75000000009328</v>
      </c>
      <c r="H24">
        <f>Main!O24</f>
        <v>1.07E-3</v>
      </c>
    </row>
    <row r="25" spans="1:8" x14ac:dyDescent="0.25">
      <c r="A25">
        <f>Main!$K$2</f>
        <v>0.02</v>
      </c>
      <c r="B25">
        <f>Main!Q25</f>
        <v>6.2235268126315368</v>
      </c>
      <c r="C25">
        <f>Main!R25</f>
        <v>300.00478475339554</v>
      </c>
      <c r="D25">
        <f t="shared" si="3"/>
        <v>6.2235290000000001</v>
      </c>
      <c r="E25">
        <f t="shared" si="4"/>
        <v>38.455900000000028</v>
      </c>
      <c r="F25">
        <f t="shared" si="5"/>
        <v>106.61749999999941</v>
      </c>
      <c r="G25">
        <f t="shared" si="6"/>
        <v>-367.74999999991564</v>
      </c>
      <c r="H25">
        <f>Main!O25</f>
        <v>1.036E-3</v>
      </c>
    </row>
    <row r="26" spans="1:8" x14ac:dyDescent="0.25">
      <c r="A26">
        <f>Main!$K$2</f>
        <v>0.02</v>
      </c>
      <c r="B26">
        <f>Main!Q26</f>
        <v>6.9926444633716187</v>
      </c>
      <c r="C26">
        <f>Main!R26</f>
        <v>300.0055177227386</v>
      </c>
      <c r="D26">
        <f t="shared" si="3"/>
        <v>6.9926470000000007</v>
      </c>
      <c r="E26">
        <f t="shared" si="4"/>
        <v>40.588250000000016</v>
      </c>
      <c r="F26">
        <f t="shared" si="5"/>
        <v>99.262500000001097</v>
      </c>
      <c r="G26">
        <f t="shared" si="6"/>
        <v>-367.37500000025847</v>
      </c>
      <c r="H26">
        <f>Main!O26</f>
        <v>9.5299999999999996E-4</v>
      </c>
    </row>
    <row r="27" spans="1:8" x14ac:dyDescent="0.25">
      <c r="A27">
        <f>Main!$K$2</f>
        <v>0.02</v>
      </c>
      <c r="B27">
        <f>Main!Q27</f>
        <v>7.8044091957554427</v>
      </c>
      <c r="C27">
        <f>Main!R27</f>
        <v>300.00617687584617</v>
      </c>
      <c r="D27">
        <f t="shared" si="3"/>
        <v>7.804412000000001</v>
      </c>
      <c r="E27">
        <f t="shared" si="4"/>
        <v>42.573500000000038</v>
      </c>
      <c r="F27">
        <f t="shared" si="5"/>
        <v>91.914999999995928</v>
      </c>
      <c r="G27">
        <f t="shared" si="6"/>
        <v>-367.99999999949762</v>
      </c>
      <c r="H27">
        <f>Main!O27</f>
        <v>8.12E-4</v>
      </c>
    </row>
    <row r="28" spans="1:8" x14ac:dyDescent="0.25">
      <c r="A28">
        <f>Main!$K$2</f>
        <v>0.02</v>
      </c>
      <c r="B28">
        <f>Main!Q28</f>
        <v>8.6558790388938132</v>
      </c>
      <c r="C28">
        <f>Main!R28</f>
        <v>300.00669371810443</v>
      </c>
      <c r="D28">
        <f t="shared" si="3"/>
        <v>8.6558820000000019</v>
      </c>
      <c r="E28">
        <f t="shared" si="4"/>
        <v>44.411799999999957</v>
      </c>
      <c r="F28">
        <f t="shared" si="5"/>
        <v>84.555000000005975</v>
      </c>
      <c r="G28">
        <f t="shared" si="6"/>
        <v>-367.25000000069838</v>
      </c>
      <c r="H28">
        <f>Main!O28</f>
        <v>6.0700000000000001E-4</v>
      </c>
    </row>
    <row r="29" spans="1:8" x14ac:dyDescent="0.25">
      <c r="A29">
        <f>Main!$K$2</f>
        <v>0.02</v>
      </c>
      <c r="B29">
        <f>Main!Q29</f>
        <v>9.5441149911138226</v>
      </c>
      <c r="C29">
        <f>Main!R29</f>
        <v>300.0069850595072</v>
      </c>
      <c r="D29">
        <f t="shared" si="3"/>
        <v>9.544118000000001</v>
      </c>
      <c r="E29">
        <f t="shared" si="4"/>
        <v>46.102900000000076</v>
      </c>
      <c r="F29">
        <f t="shared" si="5"/>
        <v>77.209999999992007</v>
      </c>
      <c r="G29">
        <f t="shared" si="6"/>
        <v>-367.99999999924893</v>
      </c>
      <c r="H29">
        <f>Main!O29</f>
        <v>3.28E-4</v>
      </c>
    </row>
    <row r="30" spans="1:8" x14ac:dyDescent="0.25">
      <c r="A30">
        <f>Main!$K$2</f>
        <v>0.02</v>
      </c>
      <c r="B30">
        <f>Main!Q30</f>
        <v>10.466172990690357</v>
      </c>
      <c r="C30">
        <f>Main!R30</f>
        <v>300.00695711452983</v>
      </c>
      <c r="D30">
        <f t="shared" si="3"/>
        <v>10.466176000000003</v>
      </c>
      <c r="E30">
        <f t="shared" si="4"/>
        <v>47.647099999999917</v>
      </c>
      <c r="F30">
        <f t="shared" si="5"/>
        <v>69.850000000007029</v>
      </c>
      <c r="G30">
        <f t="shared" si="6"/>
        <v>-367.50000000052904</v>
      </c>
      <c r="H30">
        <f>Main!O30</f>
        <v>6.2831549999999998</v>
      </c>
    </row>
    <row r="31" spans="1:8" x14ac:dyDescent="0.25">
      <c r="A31">
        <f>Main!$K$2</f>
        <v>0.02</v>
      </c>
      <c r="B31">
        <f>Main!Q31</f>
        <v>11.419114883499962</v>
      </c>
      <c r="C31">
        <f>Main!R31</f>
        <v>300.00650512731443</v>
      </c>
      <c r="D31">
        <f t="shared" si="3"/>
        <v>11.419118000000001</v>
      </c>
      <c r="E31">
        <f t="shared" si="4"/>
        <v>49.044100000000057</v>
      </c>
      <c r="F31">
        <f t="shared" si="5"/>
        <v>62.499999999996447</v>
      </c>
      <c r="G31">
        <f t="shared" si="6"/>
        <v>-367.49999999985403</v>
      </c>
      <c r="H31">
        <f>Main!O31</f>
        <v>6.2827109999999999</v>
      </c>
    </row>
    <row r="32" spans="1:8" x14ac:dyDescent="0.25">
      <c r="A32">
        <f>Main!$K$2</f>
        <v>0.02</v>
      </c>
      <c r="B32">
        <f>Main!Q32</f>
        <v>12.399996382896775</v>
      </c>
      <c r="C32">
        <f>Main!R32</f>
        <v>300.00551413535607</v>
      </c>
      <c r="D32">
        <f t="shared" si="3"/>
        <v>12.400000000000002</v>
      </c>
      <c r="E32">
        <f t="shared" si="4"/>
        <v>50.294099999999986</v>
      </c>
      <c r="F32">
        <f t="shared" si="5"/>
        <v>55.149999999999366</v>
      </c>
      <c r="G32">
        <f t="shared" si="6"/>
        <v>-367.99999999992394</v>
      </c>
      <c r="H32">
        <f>Main!O32</f>
        <v>6.2821749999999996</v>
      </c>
    </row>
    <row r="33" spans="1:8" x14ac:dyDescent="0.25">
      <c r="A33">
        <f>Main!$K$2</f>
        <v>0.02</v>
      </c>
      <c r="B33">
        <f>Main!Q33</f>
        <v>13.40587702472579</v>
      </c>
      <c r="C33">
        <f>Main!R33</f>
        <v>300.00386116298762</v>
      </c>
      <c r="D33">
        <f t="shared" si="3"/>
        <v>13.405882000000002</v>
      </c>
      <c r="E33">
        <f t="shared" si="4"/>
        <v>51.397099999999973</v>
      </c>
      <c r="F33">
        <f t="shared" si="5"/>
        <v>47.790000000000887</v>
      </c>
      <c r="G33">
        <f t="shared" si="6"/>
        <v>-367.24999999959704</v>
      </c>
      <c r="H33">
        <f>Main!O33</f>
        <v>6.281542</v>
      </c>
    </row>
    <row r="34" spans="1:8" x14ac:dyDescent="0.25">
      <c r="A34">
        <f>Main!$K$2</f>
        <v>0.02</v>
      </c>
      <c r="B34">
        <f>Main!Q34</f>
        <v>14.433816119974088</v>
      </c>
      <c r="C34">
        <f>Main!R34</f>
        <v>300.00141743139267</v>
      </c>
      <c r="D34">
        <f t="shared" si="3"/>
        <v>14.433824000000001</v>
      </c>
      <c r="E34">
        <f t="shared" si="4"/>
        <v>52.352899999999991</v>
      </c>
      <c r="F34">
        <f t="shared" si="5"/>
        <v>40.445000000008946</v>
      </c>
      <c r="G34">
        <f t="shared" si="6"/>
        <v>-368.00000000081212</v>
      </c>
      <c r="H34">
        <f>Main!O34</f>
        <v>6.2808080000000004</v>
      </c>
    </row>
    <row r="35" spans="1:8" x14ac:dyDescent="0.25">
      <c r="A35">
        <f>Main!$K$2</f>
        <v>0.02</v>
      </c>
      <c r="B35">
        <f>Main!Q35</f>
        <v>15.480868700895797</v>
      </c>
      <c r="C35">
        <f>Main!R35</f>
        <v>299.99804872998345</v>
      </c>
      <c r="D35">
        <f t="shared" si="3"/>
        <v>15.480882000000001</v>
      </c>
      <c r="E35">
        <f t="shared" si="4"/>
        <v>53.16180000000017</v>
      </c>
      <c r="F35">
        <f t="shared" si="5"/>
        <v>33.084999999992704</v>
      </c>
      <c r="G35">
        <f t="shared" si="6"/>
        <v>-367.37499999972556</v>
      </c>
      <c r="H35">
        <f>Main!O35</f>
        <v>6.2799680000000002</v>
      </c>
    </row>
    <row r="36" spans="1:8" x14ac:dyDescent="0.25">
      <c r="A36">
        <f>Main!$K$2</f>
        <v>0.02</v>
      </c>
      <c r="B36">
        <f>Main!Q36</f>
        <v>16.544095481879879</v>
      </c>
      <c r="C36">
        <f>Main!R36</f>
        <v>299.993621101472</v>
      </c>
      <c r="D36">
        <f t="shared" si="3"/>
        <v>16.544118000000005</v>
      </c>
      <c r="E36">
        <f t="shared" si="4"/>
        <v>53.823500000000024</v>
      </c>
      <c r="F36">
        <f t="shared" si="5"/>
        <v>25.737499999998192</v>
      </c>
      <c r="G36">
        <f t="shared" si="6"/>
        <v>-367.75000000011102</v>
      </c>
      <c r="H36">
        <f>Main!O36</f>
        <v>6.2790210000000002</v>
      </c>
    </row>
    <row r="37" spans="1:8" x14ac:dyDescent="0.25">
      <c r="A37">
        <f>Main!$K$2</f>
        <v>0.02</v>
      </c>
      <c r="B37">
        <f>Main!Q37</f>
        <v>17.62055080290336</v>
      </c>
      <c r="C37">
        <f>Main!R37</f>
        <v>299.9879994700151</v>
      </c>
      <c r="D37">
        <f t="shared" si="3"/>
        <v>17.620588000000005</v>
      </c>
      <c r="E37">
        <f t="shared" si="4"/>
        <v>54.338249999999988</v>
      </c>
      <c r="F37">
        <f t="shared" si="5"/>
        <v>18.382499999995972</v>
      </c>
      <c r="G37">
        <f t="shared" si="6"/>
        <v>-367.74999999966695</v>
      </c>
      <c r="H37">
        <f>Main!O37</f>
        <v>6.2779629999999997</v>
      </c>
    </row>
    <row r="38" spans="1:8" x14ac:dyDescent="0.25">
      <c r="A38">
        <f>Main!$K$2</f>
        <v>0.02</v>
      </c>
      <c r="B38">
        <f>Main!Q38</f>
        <v>18.707293606451795</v>
      </c>
      <c r="C38">
        <f>Main!R38</f>
        <v>299.98105366835625</v>
      </c>
      <c r="D38">
        <f t="shared" si="3"/>
        <v>18.707353000000005</v>
      </c>
      <c r="E38">
        <f t="shared" si="4"/>
        <v>54.705899999999907</v>
      </c>
      <c r="F38">
        <f t="shared" si="5"/>
        <v>11.027500000002632</v>
      </c>
      <c r="G38">
        <f t="shared" si="6"/>
        <v>-367.49999999985403</v>
      </c>
      <c r="H38">
        <f>Main!O38</f>
        <v>6.2767939999999998</v>
      </c>
    </row>
    <row r="39" spans="1:8" x14ac:dyDescent="0.25">
      <c r="A39">
        <f>Main!$K$2</f>
        <v>0.02</v>
      </c>
      <c r="B39">
        <f>Main!Q39</f>
        <v>19.801379421152518</v>
      </c>
      <c r="C39">
        <f>Main!R39</f>
        <v>299.97266152949607</v>
      </c>
      <c r="D39">
        <f t="shared" si="3"/>
        <v>19.801471000000003</v>
      </c>
      <c r="E39">
        <f t="shared" si="4"/>
        <v>54.92644999999996</v>
      </c>
      <c r="F39">
        <f t="shared" si="5"/>
        <v>3.6775000000055513</v>
      </c>
      <c r="G39">
        <f t="shared" si="6"/>
        <v>-183.87500000027757</v>
      </c>
      <c r="H39">
        <f>Main!O39</f>
        <v>6.2755150000000004</v>
      </c>
    </row>
    <row r="40" spans="1:8" x14ac:dyDescent="0.25">
      <c r="A40">
        <f>Main!$K$2</f>
        <v>0.02</v>
      </c>
      <c r="B40">
        <f>Main!Q40</f>
        <v>20.899863322842712</v>
      </c>
      <c r="C40">
        <f>Main!R40</f>
        <v>299.96270755699828</v>
      </c>
      <c r="D40">
        <f t="shared" si="3"/>
        <v>20.900000000000002</v>
      </c>
      <c r="E40">
        <f t="shared" si="4"/>
        <v>55.000000000000071</v>
      </c>
      <c r="F40">
        <f t="shared" si="5"/>
        <v>0</v>
      </c>
      <c r="G40">
        <f t="shared" si="6"/>
        <v>-4.4408920985006262E-10</v>
      </c>
      <c r="H40">
        <f>Main!O40</f>
        <v>6.2741239999999996</v>
      </c>
    </row>
    <row r="41" spans="1:8" x14ac:dyDescent="0.25">
      <c r="A41">
        <f>Main!$K$2</f>
        <v>0.02</v>
      </c>
      <c r="B41">
        <f>Main!Q41</f>
        <v>21.99980199898005</v>
      </c>
      <c r="C41">
        <f>Main!R41</f>
        <v>299.95109253494735</v>
      </c>
      <c r="D41">
        <f t="shared" si="3"/>
        <v>22.000000000000004</v>
      </c>
      <c r="E41">
        <f t="shared" si="4"/>
        <v>55.000000000000071</v>
      </c>
      <c r="F41">
        <f t="shared" si="5"/>
        <v>-8.8817841970012523E-12</v>
      </c>
      <c r="G41">
        <f t="shared" si="6"/>
        <v>8.8817841970012523E-10</v>
      </c>
      <c r="H41">
        <f>Main!O41</f>
        <v>6.2726259999999998</v>
      </c>
    </row>
    <row r="42" spans="1:8" x14ac:dyDescent="0.25">
      <c r="A42">
        <f>Main!$K$2</f>
        <v>0.02</v>
      </c>
      <c r="B42">
        <f>Main!Q42</f>
        <v>23.099720602899584</v>
      </c>
      <c r="C42">
        <f>Main!R42</f>
        <v>299.93771102712088</v>
      </c>
      <c r="D42">
        <f t="shared" si="3"/>
        <v>23.100000000000005</v>
      </c>
      <c r="E42">
        <f t="shared" si="4"/>
        <v>54.999999999999893</v>
      </c>
      <c r="F42">
        <f t="shared" si="5"/>
        <v>8.8817841970012523E-12</v>
      </c>
      <c r="G42">
        <f t="shared" si="6"/>
        <v>-8.8817841970012523E-10</v>
      </c>
      <c r="H42">
        <f>Main!O42</f>
        <v>6.27102</v>
      </c>
    </row>
    <row r="43" spans="1:8" x14ac:dyDescent="0.25">
      <c r="A43">
        <f>Main!$K$2</f>
        <v>0.02</v>
      </c>
      <c r="B43">
        <f>Main!Q43</f>
        <v>24.199614639990788</v>
      </c>
      <c r="C43">
        <f>Main!R43</f>
        <v>299.9224431794924</v>
      </c>
      <c r="D43">
        <f t="shared" si="3"/>
        <v>24.200000000000003</v>
      </c>
      <c r="E43">
        <f t="shared" si="4"/>
        <v>55.000000000000071</v>
      </c>
      <c r="F43">
        <f t="shared" si="5"/>
        <v>-8.8817841970012523E-12</v>
      </c>
      <c r="G43">
        <f t="shared" si="6"/>
        <v>8.8817841970012523E-10</v>
      </c>
      <c r="H43">
        <f>Main!O43</f>
        <v>6.2693050000000001</v>
      </c>
    </row>
    <row r="44" spans="1:8" x14ac:dyDescent="0.25">
      <c r="A44">
        <f>Main!$K$2</f>
        <v>0.02</v>
      </c>
      <c r="B44">
        <f>Main!Q44</f>
        <v>25.299478981608761</v>
      </c>
      <c r="C44">
        <f>Main!R44</f>
        <v>299.90516805178623</v>
      </c>
      <c r="D44">
        <f t="shared" si="3"/>
        <v>25.300000000000004</v>
      </c>
      <c r="E44">
        <f t="shared" si="4"/>
        <v>54.999999999999893</v>
      </c>
      <c r="F44">
        <f t="shared" si="5"/>
        <v>8.8817841970012523E-12</v>
      </c>
      <c r="G44">
        <f t="shared" si="6"/>
        <v>-4.4408920985006262E-10</v>
      </c>
      <c r="H44">
        <f>Main!O44</f>
        <v>6.2674799999999999</v>
      </c>
    </row>
    <row r="45" spans="1:8" x14ac:dyDescent="0.25">
      <c r="A45">
        <f>Main!$K$2</f>
        <v>0.02</v>
      </c>
      <c r="B45">
        <f>Main!Q45</f>
        <v>26.399307817402459</v>
      </c>
      <c r="C45">
        <f>Main!R45</f>
        <v>299.88576362041925</v>
      </c>
      <c r="D45">
        <f t="shared" si="3"/>
        <v>26.400000000000002</v>
      </c>
      <c r="E45">
        <f t="shared" si="4"/>
        <v>55.000000000000071</v>
      </c>
      <c r="F45">
        <f t="shared" si="5"/>
        <v>0</v>
      </c>
      <c r="G45">
        <f t="shared" si="6"/>
        <v>-8.8817841970012523E-10</v>
      </c>
      <c r="H45">
        <f>Main!O45</f>
        <v>6.2655440000000002</v>
      </c>
    </row>
    <row r="46" spans="1:8" x14ac:dyDescent="0.25">
      <c r="A46">
        <f>Main!$K$2</f>
        <v>0.02</v>
      </c>
      <c r="B46">
        <f>Main!Q46</f>
        <v>27.499094584783677</v>
      </c>
      <c r="C46">
        <f>Main!R46</f>
        <v>299.86410568207839</v>
      </c>
      <c r="D46">
        <f t="shared" si="3"/>
        <v>27.500000000000004</v>
      </c>
      <c r="E46">
        <f t="shared" si="4"/>
        <v>55.000000000000071</v>
      </c>
      <c r="F46">
        <f t="shared" si="5"/>
        <v>-1.7763568394002505E-11</v>
      </c>
      <c r="G46">
        <f t="shared" si="6"/>
        <v>1.7763568394002505E-9</v>
      </c>
      <c r="H46">
        <f>Main!O46</f>
        <v>6.2634949999999998</v>
      </c>
    </row>
    <row r="47" spans="1:8" x14ac:dyDescent="0.25">
      <c r="A47">
        <f>Main!$K$2</f>
        <v>0.02</v>
      </c>
      <c r="B47">
        <f>Main!Q47</f>
        <v>28.598831933367656</v>
      </c>
      <c r="C47">
        <f>Main!R47</f>
        <v>299.84006895747865</v>
      </c>
      <c r="D47">
        <f t="shared" si="3"/>
        <v>28.600000000000005</v>
      </c>
      <c r="E47">
        <f t="shared" si="4"/>
        <v>54.999999999999716</v>
      </c>
      <c r="F47">
        <f t="shared" si="5"/>
        <v>1.7763568394002505E-11</v>
      </c>
      <c r="G47">
        <f t="shared" si="6"/>
        <v>-1.3322676295501878E-9</v>
      </c>
      <c r="H47">
        <f>Main!O47</f>
        <v>6.2613320000000003</v>
      </c>
    </row>
    <row r="48" spans="1:8" x14ac:dyDescent="0.25">
      <c r="A48">
        <f>Main!$K$2</f>
        <v>0.02</v>
      </c>
      <c r="B48">
        <f>Main!Q48</f>
        <v>29.698511672916869</v>
      </c>
      <c r="C48">
        <f>Main!R48</f>
        <v>299.81352709573224</v>
      </c>
      <c r="D48">
        <f t="shared" si="3"/>
        <v>29.7</v>
      </c>
      <c r="E48">
        <f t="shared" si="4"/>
        <v>55.000000000000071</v>
      </c>
      <c r="F48">
        <f t="shared" si="5"/>
        <v>-8.8817841970012523E-12</v>
      </c>
      <c r="G48">
        <f t="shared" si="6"/>
        <v>8.8817841970012523E-10</v>
      </c>
      <c r="H48">
        <f>Main!O48</f>
        <v>6.2590539999999999</v>
      </c>
    </row>
    <row r="49" spans="1:8" x14ac:dyDescent="0.25">
      <c r="A49">
        <f>Main!$K$2</f>
        <v>0.02</v>
      </c>
      <c r="B49">
        <f>Main!Q49</f>
        <v>30.798124661698179</v>
      </c>
      <c r="C49">
        <f>Main!R49</f>
        <v>299.78435048003678</v>
      </c>
      <c r="D49">
        <f t="shared" si="3"/>
        <v>30.8</v>
      </c>
      <c r="E49">
        <f t="shared" si="4"/>
        <v>54.999999999999893</v>
      </c>
      <c r="F49">
        <f t="shared" si="5"/>
        <v>8.8817841970012523E-12</v>
      </c>
      <c r="G49">
        <f t="shared" si="6"/>
        <v>-4.4408920985006262E-10</v>
      </c>
      <c r="H49">
        <f>Main!O49</f>
        <v>6.2566579999999998</v>
      </c>
    </row>
    <row r="50" spans="1:8" x14ac:dyDescent="0.25">
      <c r="A50">
        <f>Main!$K$2</f>
        <v>0.02</v>
      </c>
      <c r="B50">
        <f>Main!Q50</f>
        <v>31.897660793720416</v>
      </c>
      <c r="C50">
        <f>Main!R50</f>
        <v>299.75240843286429</v>
      </c>
      <c r="D50">
        <f t="shared" si="3"/>
        <v>31.9</v>
      </c>
      <c r="E50">
        <f t="shared" si="4"/>
        <v>55.000000000000071</v>
      </c>
      <c r="F50">
        <f t="shared" si="5"/>
        <v>0</v>
      </c>
      <c r="G50">
        <f t="shared" si="6"/>
        <v>0</v>
      </c>
      <c r="H50">
        <f>Main!O50</f>
        <v>6.254143</v>
      </c>
    </row>
    <row r="51" spans="1:8" x14ac:dyDescent="0.25">
      <c r="A51">
        <f>Main!$K$2</f>
        <v>0.02</v>
      </c>
      <c r="B51">
        <f>Main!Q51</f>
        <v>32.997108906544824</v>
      </c>
      <c r="C51">
        <f>Main!R51</f>
        <v>299.71756812277886</v>
      </c>
      <c r="D51">
        <f t="shared" si="3"/>
        <v>33</v>
      </c>
      <c r="E51">
        <f t="shared" si="4"/>
        <v>55.000000000000071</v>
      </c>
      <c r="F51">
        <f t="shared" si="5"/>
        <v>0</v>
      </c>
      <c r="G51">
        <f t="shared" si="6"/>
        <v>-8.8817841970012523E-10</v>
      </c>
      <c r="H51">
        <f>Main!O51</f>
        <v>6.2515070000000001</v>
      </c>
    </row>
    <row r="52" spans="1:8" x14ac:dyDescent="0.25">
      <c r="A52">
        <f>Main!$K$2</f>
        <v>0.02</v>
      </c>
      <c r="B52">
        <f>Main!Q52</f>
        <v>34.09645674840727</v>
      </c>
      <c r="C52">
        <f>Main!R52</f>
        <v>299.67969567114989</v>
      </c>
      <c r="D52">
        <f t="shared" si="3"/>
        <v>34.1</v>
      </c>
      <c r="E52">
        <f t="shared" si="4"/>
        <v>55.000000000000071</v>
      </c>
      <c r="F52">
        <f t="shared" si="5"/>
        <v>-1.7763568394002505E-11</v>
      </c>
      <c r="G52">
        <f t="shared" si="6"/>
        <v>1.7763568394002505E-9</v>
      </c>
      <c r="H52">
        <f>Main!O52</f>
        <v>6.2487490000000001</v>
      </c>
    </row>
    <row r="53" spans="1:8" x14ac:dyDescent="0.25">
      <c r="A53">
        <f>Main!$K$2</f>
        <v>0.02</v>
      </c>
      <c r="B53">
        <f>Main!Q53</f>
        <v>35.195690794385143</v>
      </c>
      <c r="C53">
        <f>Main!R53</f>
        <v>299.6386528622412</v>
      </c>
      <c r="D53">
        <f t="shared" si="3"/>
        <v>35.200000000000003</v>
      </c>
      <c r="E53">
        <f t="shared" si="4"/>
        <v>54.999999999999716</v>
      </c>
      <c r="F53">
        <f t="shared" si="5"/>
        <v>1.7763568394002505E-11</v>
      </c>
      <c r="G53">
        <f t="shared" si="6"/>
        <v>-8.8817841970012523E-10</v>
      </c>
      <c r="H53">
        <f>Main!O53</f>
        <v>6.2458650000000002</v>
      </c>
    </row>
    <row r="54" spans="1:8" x14ac:dyDescent="0.25">
      <c r="A54">
        <f>Main!$K$2</f>
        <v>0.02</v>
      </c>
      <c r="B54">
        <f>Main!Q54</f>
        <v>36.294796322113314</v>
      </c>
      <c r="C54">
        <f>Main!R54</f>
        <v>299.59430154977616</v>
      </c>
      <c r="D54">
        <f t="shared" si="3"/>
        <v>36.299999999999997</v>
      </c>
      <c r="E54">
        <f t="shared" si="4"/>
        <v>55.000000000000071</v>
      </c>
      <c r="F54">
        <f t="shared" si="5"/>
        <v>0</v>
      </c>
      <c r="G54">
        <f t="shared" si="6"/>
        <v>-8.8817841970012523E-10</v>
      </c>
      <c r="H54">
        <f>Main!O54</f>
        <v>6.2428549999999996</v>
      </c>
    </row>
    <row r="55" spans="1:8" x14ac:dyDescent="0.25">
      <c r="A55">
        <f>Main!$K$2</f>
        <v>0.02</v>
      </c>
      <c r="B55">
        <f>Main!Q55</f>
        <v>37.393757216384948</v>
      </c>
      <c r="C55">
        <f>Main!R55</f>
        <v>299.54650036922908</v>
      </c>
      <c r="D55">
        <f t="shared" si="3"/>
        <v>37.4</v>
      </c>
      <c r="E55">
        <f t="shared" si="4"/>
        <v>55.000000000000071</v>
      </c>
      <c r="F55">
        <f t="shared" si="5"/>
        <v>-1.7763568394002505E-11</v>
      </c>
      <c r="G55">
        <f t="shared" si="6"/>
        <v>1.7763568394002505E-9</v>
      </c>
      <c r="H55">
        <f>Main!O55</f>
        <v>6.2397159999999996</v>
      </c>
    </row>
    <row r="56" spans="1:8" x14ac:dyDescent="0.25">
      <c r="A56">
        <f>Main!$K$2</f>
        <v>0.02</v>
      </c>
      <c r="B56">
        <f>Main!Q56</f>
        <v>38.492555874145452</v>
      </c>
      <c r="C56">
        <f>Main!R56</f>
        <v>299.49510474972976</v>
      </c>
      <c r="D56">
        <f t="shared" si="3"/>
        <v>38.5</v>
      </c>
      <c r="E56">
        <f t="shared" si="4"/>
        <v>54.999999999999716</v>
      </c>
      <c r="F56">
        <f t="shared" si="5"/>
        <v>1.7763568394002505E-11</v>
      </c>
      <c r="G56">
        <f t="shared" si="6"/>
        <v>-1.7763568394002505E-9</v>
      </c>
      <c r="H56">
        <f>Main!O56</f>
        <v>6.2364449999999998</v>
      </c>
    </row>
    <row r="57" spans="1:8" x14ac:dyDescent="0.25">
      <c r="A57">
        <f>Main!$K$2</f>
        <v>0.02</v>
      </c>
      <c r="B57">
        <f>Main!Q57</f>
        <v>39.591173215552494</v>
      </c>
      <c r="C57">
        <f>Main!R57</f>
        <v>299.43996912458852</v>
      </c>
      <c r="D57">
        <f t="shared" si="3"/>
        <v>39.599999999999994</v>
      </c>
      <c r="E57">
        <f t="shared" si="4"/>
        <v>55.000000000000071</v>
      </c>
      <c r="F57">
        <f t="shared" si="5"/>
        <v>-1.7763568394002505E-11</v>
      </c>
      <c r="G57">
        <f t="shared" si="6"/>
        <v>1.7763568394002505E-9</v>
      </c>
      <c r="H57">
        <f>Main!O57</f>
        <v>6.2330410000000001</v>
      </c>
    </row>
    <row r="58" spans="1:8" x14ac:dyDescent="0.25">
      <c r="A58">
        <f>Main!$K$2</f>
        <v>0.02</v>
      </c>
      <c r="B58">
        <f>Main!Q58</f>
        <v>40.689588434519919</v>
      </c>
      <c r="C58">
        <f>Main!R58</f>
        <v>299.38094364923467</v>
      </c>
      <c r="D58">
        <f t="shared" si="3"/>
        <v>40.699999999999996</v>
      </c>
      <c r="E58">
        <f t="shared" si="4"/>
        <v>54.999999999999716</v>
      </c>
      <c r="F58">
        <f t="shared" si="5"/>
        <v>1.7763568394002505E-11</v>
      </c>
      <c r="G58">
        <f t="shared" si="6"/>
        <v>-8.8817841970012523E-10</v>
      </c>
      <c r="H58">
        <f>Main!O58</f>
        <v>6.2294999999999998</v>
      </c>
    </row>
    <row r="59" spans="1:8" x14ac:dyDescent="0.25">
      <c r="A59">
        <f>Main!$K$2</f>
        <v>0.02</v>
      </c>
      <c r="B59">
        <f>Main!Q59</f>
        <v>41.787779065714247</v>
      </c>
      <c r="C59">
        <f>Main!R59</f>
        <v>299.31787751286186</v>
      </c>
      <c r="D59">
        <f t="shared" si="3"/>
        <v>41.79999999999999</v>
      </c>
      <c r="E59">
        <f t="shared" si="4"/>
        <v>55.000000000000071</v>
      </c>
      <c r="F59">
        <f t="shared" si="5"/>
        <v>0</v>
      </c>
      <c r="G59">
        <f t="shared" si="6"/>
        <v>0</v>
      </c>
      <c r="H59">
        <f>Main!O59</f>
        <v>6.2258209999999998</v>
      </c>
    </row>
    <row r="60" spans="1:8" x14ac:dyDescent="0.25">
      <c r="A60">
        <f>Main!$K$2</f>
        <v>0.02</v>
      </c>
      <c r="B60">
        <f>Main!Q60</f>
        <v>42.885720637721107</v>
      </c>
      <c r="C60">
        <f>Main!R60</f>
        <v>299.25061456273994</v>
      </c>
      <c r="D60">
        <f t="shared" si="3"/>
        <v>42.899999999999991</v>
      </c>
      <c r="E60">
        <f t="shared" si="4"/>
        <v>55.000000000000071</v>
      </c>
      <c r="F60">
        <f t="shared" si="5"/>
        <v>0</v>
      </c>
      <c r="G60">
        <f t="shared" si="6"/>
        <v>0</v>
      </c>
      <c r="H60">
        <f>Main!O60</f>
        <v>6.2219990000000003</v>
      </c>
    </row>
    <row r="61" spans="1:8" x14ac:dyDescent="0.25">
      <c r="A61">
        <f>Main!$K$2</f>
        <v>0.02</v>
      </c>
      <c r="B61">
        <f>Main!Q61</f>
        <v>43.983386882347602</v>
      </c>
      <c r="C61">
        <f>Main!R61</f>
        <v>299.17899881441895</v>
      </c>
      <c r="D61">
        <f t="shared" si="3"/>
        <v>43.999999999999993</v>
      </c>
      <c r="E61">
        <f t="shared" si="4"/>
        <v>55.000000000000071</v>
      </c>
      <c r="F61">
        <f t="shared" si="5"/>
        <v>0</v>
      </c>
      <c r="G61">
        <f t="shared" si="6"/>
        <v>-8.8817841970012523E-10</v>
      </c>
      <c r="H61">
        <f>Main!O61</f>
        <v>6.2180340000000003</v>
      </c>
    </row>
    <row r="62" spans="1:8" x14ac:dyDescent="0.25">
      <c r="A62">
        <f>Main!$K$2</f>
        <v>0.02</v>
      </c>
      <c r="B62">
        <f>Main!Q62</f>
        <v>45.080749211631293</v>
      </c>
      <c r="C62">
        <f>Main!R62</f>
        <v>299.10286788595312</v>
      </c>
      <c r="D62">
        <f t="shared" si="3"/>
        <v>45.099999999999994</v>
      </c>
      <c r="E62">
        <f t="shared" si="4"/>
        <v>55.000000000000071</v>
      </c>
      <c r="F62">
        <f t="shared" si="5"/>
        <v>-1.7763568394002505E-11</v>
      </c>
      <c r="G62">
        <f t="shared" si="6"/>
        <v>1.7763568394002505E-9</v>
      </c>
      <c r="H62">
        <f>Main!O62</f>
        <v>6.2139199999999999</v>
      </c>
    </row>
    <row r="63" spans="1:8" x14ac:dyDescent="0.25">
      <c r="A63">
        <f>Main!$K$2</f>
        <v>0.02</v>
      </c>
      <c r="B63">
        <f>Main!Q63</f>
        <v>46.177776943680684</v>
      </c>
      <c r="C63">
        <f>Main!R63</f>
        <v>299.02205851078804</v>
      </c>
      <c r="D63">
        <f t="shared" si="3"/>
        <v>46.199999999999996</v>
      </c>
      <c r="E63">
        <f t="shared" si="4"/>
        <v>54.999999999999716</v>
      </c>
      <c r="F63">
        <f t="shared" si="5"/>
        <v>1.7763568394002505E-11</v>
      </c>
      <c r="G63">
        <f t="shared" si="6"/>
        <v>0</v>
      </c>
      <c r="H63">
        <f>Main!O63</f>
        <v>6.2096559999999998</v>
      </c>
    </row>
    <row r="64" spans="1:8" x14ac:dyDescent="0.25">
      <c r="A64">
        <f>Main!$K$2</f>
        <v>0.02</v>
      </c>
      <c r="B64">
        <f>Main!Q64</f>
        <v>47.274437040453343</v>
      </c>
      <c r="C64">
        <f>Main!R64</f>
        <v>298.93640436817623</v>
      </c>
      <c r="D64">
        <f t="shared" si="3"/>
        <v>47.29999999999999</v>
      </c>
      <c r="E64">
        <f t="shared" si="4"/>
        <v>55.000000000000071</v>
      </c>
      <c r="F64">
        <f t="shared" si="5"/>
        <v>1.7763568394002505E-11</v>
      </c>
      <c r="G64">
        <f t="shared" si="6"/>
        <v>-8.8817841970012523E-10</v>
      </c>
      <c r="H64">
        <f>Main!O64</f>
        <v>6.2052389999999997</v>
      </c>
    </row>
    <row r="65" spans="1:8" x14ac:dyDescent="0.25">
      <c r="A65">
        <f>Main!$K$2</f>
        <v>0.02</v>
      </c>
      <c r="B65">
        <f>Main!Q65</f>
        <v>48.370693794019964</v>
      </c>
      <c r="C65">
        <f>Main!R65</f>
        <v>298.84573391951972</v>
      </c>
      <c r="D65">
        <f t="shared" si="3"/>
        <v>48.399999999999991</v>
      </c>
      <c r="E65">
        <f t="shared" si="4"/>
        <v>55.000000000000426</v>
      </c>
      <c r="F65">
        <f t="shared" si="5"/>
        <v>0</v>
      </c>
      <c r="G65">
        <f t="shared" si="6"/>
        <v>0</v>
      </c>
      <c r="H65">
        <f>Main!O65</f>
        <v>6.2006639999999997</v>
      </c>
    </row>
    <row r="66" spans="1:8" x14ac:dyDescent="0.25">
      <c r="A66">
        <f>Main!$K$2</f>
        <v>0.02</v>
      </c>
      <c r="B66">
        <f>Main!Q66</f>
        <v>49.466508935477883</v>
      </c>
      <c r="C66">
        <f>Main!R66</f>
        <v>298.74987373095547</v>
      </c>
      <c r="D66">
        <f t="shared" si="3"/>
        <v>49.5</v>
      </c>
      <c r="E66">
        <f t="shared" si="4"/>
        <v>55.000000000000426</v>
      </c>
      <c r="F66">
        <f t="shared" si="5"/>
        <v>0</v>
      </c>
      <c r="G66">
        <f t="shared" si="6"/>
        <v>-1.7763568394002505E-9</v>
      </c>
      <c r="H66">
        <f>Main!O66</f>
        <v>6.1959289999999996</v>
      </c>
    </row>
    <row r="67" spans="1:8" x14ac:dyDescent="0.25">
      <c r="A67">
        <f>Main!$K$2</f>
        <v>0.02</v>
      </c>
      <c r="B67">
        <f>Main!Q67</f>
        <v>50.56184130988499</v>
      </c>
      <c r="C67">
        <f>Main!R67</f>
        <v>298.64864631581656</v>
      </c>
      <c r="D67">
        <f t="shared" si="3"/>
        <v>50.600000000000009</v>
      </c>
      <c r="E67">
        <f t="shared" si="4"/>
        <v>55.000000000000426</v>
      </c>
      <c r="F67">
        <f t="shared" si="5"/>
        <v>-3.5527136788005009E-11</v>
      </c>
      <c r="G67">
        <f t="shared" si="6"/>
        <v>2.6645352591003757E-9</v>
      </c>
      <c r="H67">
        <f>Main!O67</f>
        <v>6.1910299999999996</v>
      </c>
    </row>
    <row r="68" spans="1:8" x14ac:dyDescent="0.25">
      <c r="A68">
        <f>Main!$K$2</f>
        <v>0.02</v>
      </c>
      <c r="B68">
        <f>Main!Q68</f>
        <v>51.656646706154994</v>
      </c>
      <c r="C68">
        <f>Main!R68</f>
        <v>298.54187017476391</v>
      </c>
      <c r="D68">
        <f t="shared" si="3"/>
        <v>51.700000000000017</v>
      </c>
      <c r="E68">
        <f t="shared" si="4"/>
        <v>54.999999999999716</v>
      </c>
      <c r="F68">
        <f t="shared" si="5"/>
        <v>1.7763568394002505E-11</v>
      </c>
      <c r="G68">
        <f t="shared" si="6"/>
        <v>-8.8817841970012523E-10</v>
      </c>
      <c r="H68">
        <f>Main!O68</f>
        <v>6.1859630000000001</v>
      </c>
    </row>
    <row r="69" spans="1:8" x14ac:dyDescent="0.25">
      <c r="A69">
        <f>Main!$K$2</f>
        <v>0.02</v>
      </c>
      <c r="B69">
        <f>Main!Q69</f>
        <v>52.750877680187273</v>
      </c>
      <c r="C69">
        <f>Main!R69</f>
        <v>298.42935983982369</v>
      </c>
      <c r="D69">
        <f t="shared" ref="D69:D132" si="7">D68 + SQRT( (B69-B68)^2  + (C69-C68)^2 )</f>
        <v>52.800000000000011</v>
      </c>
      <c r="E69">
        <f t="shared" ref="E69:E132" si="8" xml:space="preserve"> IF(ISBLANK(D70), 0, (D70-D69)/$A69 )</f>
        <v>55.000000000000071</v>
      </c>
      <c r="F69">
        <f t="shared" ref="F69:F132" si="9" xml:space="preserve"> (E70-E69)/$A69</f>
        <v>0</v>
      </c>
      <c r="G69">
        <f t="shared" ref="G69:G132" si="10" xml:space="preserve"> (F70-F69)/$A69</f>
        <v>0</v>
      </c>
      <c r="H69">
        <f>Main!O69</f>
        <v>6.1807239999999997</v>
      </c>
    </row>
    <row r="70" spans="1:8" x14ac:dyDescent="0.25">
      <c r="A70">
        <f>Main!$K$2</f>
        <v>0.02</v>
      </c>
      <c r="B70">
        <f>Main!Q70</f>
        <v>53.844483489562407</v>
      </c>
      <c r="C70">
        <f>Main!R70</f>
        <v>298.31092701624442</v>
      </c>
      <c r="D70">
        <f t="shared" si="7"/>
        <v>53.900000000000013</v>
      </c>
      <c r="E70">
        <f t="shared" si="8"/>
        <v>55.000000000000071</v>
      </c>
      <c r="F70">
        <f t="shared" si="9"/>
        <v>0</v>
      </c>
      <c r="G70">
        <f t="shared" si="10"/>
        <v>0</v>
      </c>
      <c r="H70">
        <f>Main!O70</f>
        <v>6.1753099999999996</v>
      </c>
    </row>
    <row r="71" spans="1:8" x14ac:dyDescent="0.25">
      <c r="A71">
        <f>Main!$K$2</f>
        <v>0.02</v>
      </c>
      <c r="B71">
        <f>Main!Q71</f>
        <v>54.937409802756775</v>
      </c>
      <c r="C71">
        <f>Main!R71</f>
        <v>298.18637953964463</v>
      </c>
      <c r="D71">
        <f t="shared" si="7"/>
        <v>55.000000000000014</v>
      </c>
      <c r="E71">
        <f t="shared" si="8"/>
        <v>55.000000000000071</v>
      </c>
      <c r="F71">
        <f t="shared" si="9"/>
        <v>0</v>
      </c>
      <c r="G71">
        <f t="shared" si="10"/>
        <v>0</v>
      </c>
      <c r="H71">
        <f>Main!O71</f>
        <v>6.1697170000000003</v>
      </c>
    </row>
    <row r="72" spans="1:8" x14ac:dyDescent="0.25">
      <c r="A72">
        <f>Main!$K$2</f>
        <v>0.02</v>
      </c>
      <c r="B72">
        <f>Main!Q72</f>
        <v>56.029598240858626</v>
      </c>
      <c r="C72">
        <f>Main!R72</f>
        <v>298.05551924896542</v>
      </c>
      <c r="D72">
        <f t="shared" si="7"/>
        <v>56.100000000000016</v>
      </c>
      <c r="E72">
        <f t="shared" si="8"/>
        <v>55.000000000000071</v>
      </c>
      <c r="F72">
        <f t="shared" si="9"/>
        <v>0</v>
      </c>
      <c r="G72">
        <f t="shared" si="10"/>
        <v>8.8817841970012523E-10</v>
      </c>
      <c r="H72">
        <f>Main!O72</f>
        <v>6.1639390000000001</v>
      </c>
    </row>
    <row r="73" spans="1:8" x14ac:dyDescent="0.25">
      <c r="A73">
        <f>Main!$K$2</f>
        <v>0.02</v>
      </c>
      <c r="B73">
        <f>Main!Q73</f>
        <v>57.120986671311911</v>
      </c>
      <c r="C73">
        <f>Main!R73</f>
        <v>297.9181464209654</v>
      </c>
      <c r="D73">
        <f t="shared" si="7"/>
        <v>57.200000000000017</v>
      </c>
      <c r="E73">
        <f t="shared" si="8"/>
        <v>55.000000000000071</v>
      </c>
      <c r="F73">
        <f t="shared" si="9"/>
        <v>1.7763568394002505E-11</v>
      </c>
      <c r="G73">
        <f t="shared" si="10"/>
        <v>-1.7763568394002505E-9</v>
      </c>
      <c r="H73">
        <f>Main!O73</f>
        <v>6.1579740000000003</v>
      </c>
    </row>
    <row r="74" spans="1:8" x14ac:dyDescent="0.25">
      <c r="A74">
        <f>Main!$K$2</f>
        <v>0.02</v>
      </c>
      <c r="B74">
        <f>Main!Q74</f>
        <v>58.211508472051548</v>
      </c>
      <c r="C74">
        <f>Main!R74</f>
        <v>297.7740554701337</v>
      </c>
      <c r="D74">
        <f t="shared" si="7"/>
        <v>58.300000000000018</v>
      </c>
      <c r="E74">
        <f t="shared" si="8"/>
        <v>55.000000000000426</v>
      </c>
      <c r="F74">
        <f t="shared" si="9"/>
        <v>-1.7763568394002505E-11</v>
      </c>
      <c r="G74">
        <f t="shared" si="10"/>
        <v>0</v>
      </c>
      <c r="H74">
        <f>Main!O74</f>
        <v>6.1518160000000002</v>
      </c>
    </row>
    <row r="75" spans="1:8" x14ac:dyDescent="0.25">
      <c r="A75">
        <f>Main!$K$2</f>
        <v>0.02</v>
      </c>
      <c r="B75">
        <f>Main!Q75</f>
        <v>59.301092560115968</v>
      </c>
      <c r="C75">
        <f>Main!R75</f>
        <v>297.62303720952644</v>
      </c>
      <c r="D75">
        <f t="shared" si="7"/>
        <v>59.400000000000027</v>
      </c>
      <c r="E75">
        <f t="shared" si="8"/>
        <v>55.000000000000071</v>
      </c>
      <c r="F75">
        <f t="shared" si="9"/>
        <v>-1.7763568394002505E-11</v>
      </c>
      <c r="G75">
        <f t="shared" si="10"/>
        <v>1.7763568394002505E-9</v>
      </c>
      <c r="H75">
        <f>Main!O75</f>
        <v>6.1454610000000001</v>
      </c>
    </row>
    <row r="76" spans="1:8" x14ac:dyDescent="0.25">
      <c r="A76">
        <f>Main!$K$2</f>
        <v>0.02</v>
      </c>
      <c r="B76">
        <f>Main!Q76</f>
        <v>60.38966300570037</v>
      </c>
      <c r="C76">
        <f>Main!R76</f>
        <v>297.46487784369509</v>
      </c>
      <c r="D76">
        <f t="shared" si="7"/>
        <v>60.500000000000028</v>
      </c>
      <c r="E76">
        <f t="shared" si="8"/>
        <v>54.999999999999716</v>
      </c>
      <c r="F76">
        <f t="shared" si="9"/>
        <v>1.7763568394002505E-11</v>
      </c>
      <c r="G76">
        <f t="shared" si="10"/>
        <v>-1.7763568394002505E-9</v>
      </c>
      <c r="H76">
        <f>Main!O76</f>
        <v>6.1389040000000001</v>
      </c>
    </row>
    <row r="77" spans="1:8" x14ac:dyDescent="0.25">
      <c r="A77">
        <f>Main!$K$2</f>
        <v>0.02</v>
      </c>
      <c r="B77">
        <f>Main!Q77</f>
        <v>61.477138767614612</v>
      </c>
      <c r="C77">
        <f>Main!R77</f>
        <v>297.29935906153116</v>
      </c>
      <c r="D77">
        <f t="shared" si="7"/>
        <v>61.600000000000023</v>
      </c>
      <c r="E77">
        <f t="shared" si="8"/>
        <v>55.000000000000071</v>
      </c>
      <c r="F77">
        <f t="shared" si="9"/>
        <v>-1.7763568394002505E-11</v>
      </c>
      <c r="G77">
        <f t="shared" si="10"/>
        <v>1.7763568394002505E-9</v>
      </c>
      <c r="H77">
        <f>Main!O77</f>
        <v>6.1321399999999997</v>
      </c>
    </row>
    <row r="78" spans="1:8" x14ac:dyDescent="0.25">
      <c r="A78">
        <f>Main!$K$2</f>
        <v>0.02</v>
      </c>
      <c r="B78">
        <f>Main!Q78</f>
        <v>62.56343359230388</v>
      </c>
      <c r="C78">
        <f>Main!R78</f>
        <v>297.12625922371114</v>
      </c>
      <c r="D78">
        <f t="shared" si="7"/>
        <v>62.700000000000024</v>
      </c>
      <c r="E78">
        <f t="shared" si="8"/>
        <v>54.999999999999716</v>
      </c>
      <c r="F78">
        <f t="shared" si="9"/>
        <v>1.7763568394002505E-11</v>
      </c>
      <c r="G78">
        <f t="shared" si="10"/>
        <v>-1.7763568394002505E-9</v>
      </c>
      <c r="H78">
        <f>Main!O78</f>
        <v>6.125165</v>
      </c>
    </row>
    <row r="79" spans="1:8" x14ac:dyDescent="0.25">
      <c r="A79">
        <f>Main!$K$2</f>
        <v>0.02</v>
      </c>
      <c r="B79">
        <f>Main!Q79</f>
        <v>63.6484555804943</v>
      </c>
      <c r="C79">
        <f>Main!R79</f>
        <v>296.94535238264842</v>
      </c>
      <c r="D79">
        <f t="shared" si="7"/>
        <v>63.800000000000018</v>
      </c>
      <c r="E79">
        <f t="shared" si="8"/>
        <v>55.000000000000071</v>
      </c>
      <c r="F79">
        <f t="shared" si="9"/>
        <v>-1.7763568394002505E-11</v>
      </c>
      <c r="G79">
        <f t="shared" si="10"/>
        <v>8.8817841970012523E-10</v>
      </c>
      <c r="H79">
        <f>Main!O79</f>
        <v>6.1179740000000002</v>
      </c>
    </row>
    <row r="80" spans="1:8" x14ac:dyDescent="0.25">
      <c r="A80">
        <f>Main!$K$2</f>
        <v>0.02</v>
      </c>
      <c r="B80">
        <f>Main!Q80</f>
        <v>64.732106706318049</v>
      </c>
      <c r="C80">
        <f>Main!R80</f>
        <v>296.75640731787848</v>
      </c>
      <c r="D80">
        <f t="shared" si="7"/>
        <v>64.90000000000002</v>
      </c>
      <c r="E80">
        <f t="shared" si="8"/>
        <v>54.999999999999716</v>
      </c>
      <c r="F80">
        <f t="shared" si="9"/>
        <v>0</v>
      </c>
      <c r="G80">
        <f t="shared" si="10"/>
        <v>1.7763568394002505E-9</v>
      </c>
      <c r="H80">
        <f>Main!O80</f>
        <v>6.1105609999999997</v>
      </c>
    </row>
    <row r="81" spans="1:8" x14ac:dyDescent="0.25">
      <c r="A81">
        <f>Main!$K$2</f>
        <v>0.02</v>
      </c>
      <c r="B81">
        <f>Main!Q81</f>
        <v>65.81428248268341</v>
      </c>
      <c r="C81">
        <f>Main!R81</f>
        <v>296.55918767116947</v>
      </c>
      <c r="D81">
        <f t="shared" si="7"/>
        <v>66.000000000000014</v>
      </c>
      <c r="E81">
        <f t="shared" si="8"/>
        <v>54.999999999999716</v>
      </c>
      <c r="F81">
        <f t="shared" si="9"/>
        <v>3.5527136788005009E-11</v>
      </c>
      <c r="G81">
        <f t="shared" si="10"/>
        <v>-3.5527136788005009E-9</v>
      </c>
      <c r="H81">
        <f>Main!O81</f>
        <v>6.1029200000000001</v>
      </c>
    </row>
    <row r="82" spans="1:8" x14ac:dyDescent="0.25">
      <c r="A82">
        <f>Main!$K$2</f>
        <v>0.02</v>
      </c>
      <c r="B82">
        <f>Main!Q82</f>
        <v>66.894872231855388</v>
      </c>
      <c r="C82">
        <f>Main!R82</f>
        <v>296.35345533539208</v>
      </c>
      <c r="D82">
        <f t="shared" si="7"/>
        <v>67.100000000000009</v>
      </c>
      <c r="E82">
        <f t="shared" si="8"/>
        <v>55.000000000000426</v>
      </c>
      <c r="F82">
        <f t="shared" si="9"/>
        <v>-3.5527136788005009E-11</v>
      </c>
      <c r="G82">
        <f t="shared" si="10"/>
        <v>3.5527136788005009E-9</v>
      </c>
      <c r="H82">
        <f>Main!O82</f>
        <v>6.0950480000000002</v>
      </c>
    </row>
    <row r="83" spans="1:8" x14ac:dyDescent="0.25">
      <c r="A83">
        <f>Main!$K$2</f>
        <v>0.02</v>
      </c>
      <c r="B83">
        <f>Main!Q83</f>
        <v>67.973758188428945</v>
      </c>
      <c r="C83">
        <f>Main!R83</f>
        <v>296.1389673573878</v>
      </c>
      <c r="D83">
        <f t="shared" si="7"/>
        <v>68.200000000000017</v>
      </c>
      <c r="E83">
        <f t="shared" si="8"/>
        <v>54.999999999999716</v>
      </c>
      <c r="F83">
        <f t="shared" si="9"/>
        <v>3.5527136788005009E-11</v>
      </c>
      <c r="G83">
        <f t="shared" si="10"/>
        <v>-3.5527136788005009E-9</v>
      </c>
      <c r="H83">
        <f>Main!O83</f>
        <v>6.0869390000000001</v>
      </c>
    </row>
    <row r="84" spans="1:8" x14ac:dyDescent="0.25">
      <c r="A84">
        <f>Main!$K$2</f>
        <v>0.02</v>
      </c>
      <c r="B84">
        <f>Main!Q84</f>
        <v>69.050814909631299</v>
      </c>
      <c r="C84">
        <f>Main!R84</f>
        <v>295.91547503243498</v>
      </c>
      <c r="D84">
        <f t="shared" si="7"/>
        <v>69.300000000000011</v>
      </c>
      <c r="E84">
        <f t="shared" si="8"/>
        <v>55.000000000000426</v>
      </c>
      <c r="F84">
        <f t="shared" si="9"/>
        <v>-3.5527136788005009E-11</v>
      </c>
      <c r="G84">
        <f t="shared" si="10"/>
        <v>0</v>
      </c>
      <c r="H84">
        <f>Main!O84</f>
        <v>6.0785859999999996</v>
      </c>
    </row>
    <row r="85" spans="1:8" x14ac:dyDescent="0.25">
      <c r="A85">
        <f>Main!$K$2</f>
        <v>0.02</v>
      </c>
      <c r="B85">
        <f>Main!Q85</f>
        <v>70.125909791219186</v>
      </c>
      <c r="C85">
        <f>Main!R85</f>
        <v>295.68272839855268</v>
      </c>
      <c r="D85">
        <f t="shared" si="7"/>
        <v>70.40000000000002</v>
      </c>
      <c r="E85">
        <f t="shared" si="8"/>
        <v>54.999999999999716</v>
      </c>
      <c r="F85">
        <f t="shared" si="9"/>
        <v>-3.5527136788005009E-11</v>
      </c>
      <c r="G85">
        <f t="shared" si="10"/>
        <v>5.3290705182007514E-9</v>
      </c>
      <c r="H85">
        <f>Main!O85</f>
        <v>6.0699860000000001</v>
      </c>
    </row>
    <row r="86" spans="1:8" x14ac:dyDescent="0.25">
      <c r="A86">
        <f>Main!$K$2</f>
        <v>0.02</v>
      </c>
      <c r="B86">
        <f>Main!Q86</f>
        <v>71.198901578927348</v>
      </c>
      <c r="C86">
        <f>Main!R86</f>
        <v>295.44047104879661</v>
      </c>
      <c r="D86">
        <f t="shared" si="7"/>
        <v>71.500000000000014</v>
      </c>
      <c r="E86">
        <f t="shared" si="8"/>
        <v>54.999999999999005</v>
      </c>
      <c r="F86">
        <f t="shared" si="9"/>
        <v>7.1054273576010019E-11</v>
      </c>
      <c r="G86">
        <f t="shared" si="10"/>
        <v>-7.1054273576010019E-9</v>
      </c>
      <c r="H86">
        <f>Main!O86</f>
        <v>6.0611309999999996</v>
      </c>
    </row>
    <row r="87" spans="1:8" x14ac:dyDescent="0.25">
      <c r="A87">
        <f>Main!$K$2</f>
        <v>0.02</v>
      </c>
      <c r="B87">
        <f>Main!Q87</f>
        <v>72.269640899995892</v>
      </c>
      <c r="C87">
        <f>Main!R87</f>
        <v>295.18844464875559</v>
      </c>
      <c r="D87">
        <f t="shared" si="7"/>
        <v>72.599999999999994</v>
      </c>
      <c r="E87">
        <f t="shared" si="8"/>
        <v>55.000000000000426</v>
      </c>
      <c r="F87">
        <f t="shared" si="9"/>
        <v>-7.1054273576010019E-11</v>
      </c>
      <c r="G87">
        <f t="shared" si="10"/>
        <v>7.1054273576010019E-9</v>
      </c>
      <c r="H87">
        <f>Main!O87</f>
        <v>6.0520170000000002</v>
      </c>
    </row>
    <row r="88" spans="1:8" x14ac:dyDescent="0.25">
      <c r="A88">
        <f>Main!$K$2</f>
        <v>0.02</v>
      </c>
      <c r="B88">
        <f>Main!Q88</f>
        <v>73.337969668380154</v>
      </c>
      <c r="C88">
        <f>Main!R88</f>
        <v>294.92638808493285</v>
      </c>
      <c r="D88">
        <f t="shared" si="7"/>
        <v>73.7</v>
      </c>
      <c r="E88">
        <f t="shared" si="8"/>
        <v>54.999999999999005</v>
      </c>
      <c r="F88">
        <f t="shared" si="9"/>
        <v>7.1054273576010019E-11</v>
      </c>
      <c r="G88">
        <f t="shared" si="10"/>
        <v>-3.5527136788005009E-9</v>
      </c>
      <c r="H88">
        <f>Main!O88</f>
        <v>6.0426390000000003</v>
      </c>
    </row>
    <row r="89" spans="1:8" x14ac:dyDescent="0.25">
      <c r="A89">
        <f>Main!$K$2</f>
        <v>0.02</v>
      </c>
      <c r="B89">
        <f>Main!Q89</f>
        <v>74.403720160188257</v>
      </c>
      <c r="C89">
        <f>Main!R89</f>
        <v>294.6540355758371</v>
      </c>
      <c r="D89">
        <f t="shared" si="7"/>
        <v>74.799999999999983</v>
      </c>
      <c r="E89">
        <f t="shared" si="8"/>
        <v>55.000000000000426</v>
      </c>
      <c r="F89">
        <f t="shared" si="9"/>
        <v>0</v>
      </c>
      <c r="G89">
        <f t="shared" si="10"/>
        <v>0</v>
      </c>
      <c r="H89">
        <f>Main!O89</f>
        <v>6.0329899999999999</v>
      </c>
    </row>
    <row r="90" spans="1:8" x14ac:dyDescent="0.25">
      <c r="A90">
        <f>Main!$K$2</f>
        <v>0.02</v>
      </c>
      <c r="B90">
        <f>Main!Q90</f>
        <v>75.466715672774399</v>
      </c>
      <c r="C90">
        <f>Main!R90</f>
        <v>294.37112120677511</v>
      </c>
      <c r="D90">
        <f t="shared" si="7"/>
        <v>75.899999999999991</v>
      </c>
      <c r="E90">
        <f t="shared" si="8"/>
        <v>55.000000000000426</v>
      </c>
      <c r="F90">
        <f t="shared" si="9"/>
        <v>0</v>
      </c>
      <c r="G90">
        <f t="shared" si="10"/>
        <v>0</v>
      </c>
      <c r="H90">
        <f>Main!O90</f>
        <v>6.0230670000000002</v>
      </c>
    </row>
    <row r="91" spans="1:8" x14ac:dyDescent="0.25">
      <c r="A91">
        <f>Main!$K$2</f>
        <v>0.02</v>
      </c>
      <c r="B91">
        <f>Main!Q91</f>
        <v>76.526768743563849</v>
      </c>
      <c r="C91">
        <f>Main!R91</f>
        <v>294.07737388830247</v>
      </c>
      <c r="D91">
        <f t="shared" si="7"/>
        <v>77</v>
      </c>
      <c r="E91">
        <f t="shared" si="8"/>
        <v>55.000000000000426</v>
      </c>
      <c r="F91">
        <f t="shared" si="9"/>
        <v>0</v>
      </c>
      <c r="G91">
        <f t="shared" si="10"/>
        <v>-1.7763568394002505E-9</v>
      </c>
      <c r="H91">
        <f>Main!O91</f>
        <v>6.0128620000000002</v>
      </c>
    </row>
    <row r="92" spans="1:8" x14ac:dyDescent="0.25">
      <c r="A92">
        <f>Main!$K$2</f>
        <v>0.02</v>
      </c>
      <c r="B92">
        <f>Main!Q92</f>
        <v>77.583682137857181</v>
      </c>
      <c r="C92">
        <f>Main!R92</f>
        <v>293.77252297890027</v>
      </c>
      <c r="D92">
        <f t="shared" si="7"/>
        <v>78.100000000000009</v>
      </c>
      <c r="E92">
        <f t="shared" si="8"/>
        <v>55.000000000000426</v>
      </c>
      <c r="F92">
        <f t="shared" si="9"/>
        <v>-3.5527136788005009E-11</v>
      </c>
      <c r="G92">
        <f t="shared" si="10"/>
        <v>5.3290705182007514E-9</v>
      </c>
      <c r="H92">
        <f>Main!O92</f>
        <v>6.0023720000000003</v>
      </c>
    </row>
    <row r="93" spans="1:8" x14ac:dyDescent="0.25">
      <c r="A93">
        <f>Main!$K$2</f>
        <v>0.02</v>
      </c>
      <c r="B93">
        <f>Main!Q93</f>
        <v>78.637247892483401</v>
      </c>
      <c r="C93">
        <f>Main!R93</f>
        <v>293.45629647672359</v>
      </c>
      <c r="D93">
        <f t="shared" si="7"/>
        <v>79.200000000000017</v>
      </c>
      <c r="E93">
        <f t="shared" si="8"/>
        <v>54.999999999999716</v>
      </c>
      <c r="F93">
        <f t="shared" si="9"/>
        <v>7.1054273576010019E-11</v>
      </c>
      <c r="G93">
        <f t="shared" si="10"/>
        <v>-8.8817841970012523E-9</v>
      </c>
      <c r="H93">
        <f>Main!O93</f>
        <v>5.9915919999999998</v>
      </c>
    </row>
    <row r="94" spans="1:8" x14ac:dyDescent="0.25">
      <c r="A94">
        <f>Main!$K$2</f>
        <v>0.02</v>
      </c>
      <c r="B94">
        <f>Main!Q94</f>
        <v>79.687246897969189</v>
      </c>
      <c r="C94">
        <f>Main!R94</f>
        <v>293.12842136562358</v>
      </c>
      <c r="D94">
        <f t="shared" si="7"/>
        <v>80.300000000000011</v>
      </c>
      <c r="E94">
        <f t="shared" si="8"/>
        <v>55.000000000001137</v>
      </c>
      <c r="F94">
        <f t="shared" si="9"/>
        <v>-1.0658141036401503E-10</v>
      </c>
      <c r="G94">
        <f t="shared" si="10"/>
        <v>7.1054273576010019E-9</v>
      </c>
      <c r="H94">
        <f>Main!O94</f>
        <v>5.9805169999999999</v>
      </c>
    </row>
    <row r="95" spans="1:8" x14ac:dyDescent="0.25">
      <c r="A95">
        <f>Main!$K$2</f>
        <v>0.02</v>
      </c>
      <c r="B95">
        <f>Main!Q95</f>
        <v>80.733448475213152</v>
      </c>
      <c r="C95">
        <f>Main!R95</f>
        <v>292.78862398515651</v>
      </c>
      <c r="D95">
        <f t="shared" si="7"/>
        <v>81.400000000000034</v>
      </c>
      <c r="E95">
        <f t="shared" si="8"/>
        <v>54.999999999999005</v>
      </c>
      <c r="F95">
        <f t="shared" si="9"/>
        <v>3.5527136788005009E-11</v>
      </c>
      <c r="G95">
        <f t="shared" si="10"/>
        <v>0</v>
      </c>
      <c r="H95">
        <f>Main!O95</f>
        <v>5.9691419999999997</v>
      </c>
    </row>
    <row r="96" spans="1:8" x14ac:dyDescent="0.25">
      <c r="A96">
        <f>Main!$K$2</f>
        <v>0.02</v>
      </c>
      <c r="B96">
        <f>Main!Q96</f>
        <v>81.775610651423548</v>
      </c>
      <c r="C96">
        <f>Main!R96</f>
        <v>292.43663251015124</v>
      </c>
      <c r="D96">
        <f t="shared" si="7"/>
        <v>82.500000000000014</v>
      </c>
      <c r="E96">
        <f t="shared" si="8"/>
        <v>54.999999999999716</v>
      </c>
      <c r="F96">
        <f t="shared" si="9"/>
        <v>3.5527136788005009E-11</v>
      </c>
      <c r="G96">
        <f t="shared" si="10"/>
        <v>-3.5527136788005009E-9</v>
      </c>
      <c r="H96">
        <f>Main!O96</f>
        <v>5.9574639999999999</v>
      </c>
    </row>
    <row r="97" spans="1:8" x14ac:dyDescent="0.25">
      <c r="A97">
        <f>Main!$K$2</f>
        <v>0.02</v>
      </c>
      <c r="B97">
        <f>Main!Q97</f>
        <v>82.813479463490339</v>
      </c>
      <c r="C97">
        <f>Main!R97</f>
        <v>292.07217630024525</v>
      </c>
      <c r="D97">
        <f t="shared" si="7"/>
        <v>83.600000000000009</v>
      </c>
      <c r="E97">
        <f t="shared" si="8"/>
        <v>55.000000000000426</v>
      </c>
      <c r="F97">
        <f t="shared" si="9"/>
        <v>-3.5527136788005009E-11</v>
      </c>
      <c r="G97">
        <f t="shared" si="10"/>
        <v>3.5527136788005009E-9</v>
      </c>
      <c r="H97">
        <f>Main!O97</f>
        <v>5.9454789999999997</v>
      </c>
    </row>
    <row r="98" spans="1:8" x14ac:dyDescent="0.25">
      <c r="A98">
        <f>Main!$K$2</f>
        <v>0.02</v>
      </c>
      <c r="B98">
        <f>Main!Q98</f>
        <v>83.846788954569661</v>
      </c>
      <c r="C98">
        <f>Main!R98</f>
        <v>291.69498736132283</v>
      </c>
      <c r="D98">
        <f t="shared" si="7"/>
        <v>84.700000000000017</v>
      </c>
      <c r="E98">
        <f t="shared" si="8"/>
        <v>54.999999999999716</v>
      </c>
      <c r="F98">
        <f t="shared" si="9"/>
        <v>3.5527136788005009E-11</v>
      </c>
      <c r="G98">
        <f t="shared" si="10"/>
        <v>-1.7763568394002505E-9</v>
      </c>
      <c r="H98">
        <f>Main!O98</f>
        <v>5.9331839999999998</v>
      </c>
    </row>
    <row r="99" spans="1:8" x14ac:dyDescent="0.25">
      <c r="A99">
        <f>Main!$K$2</f>
        <v>0.02</v>
      </c>
      <c r="B99">
        <f>Main!Q99</f>
        <v>84.875260846288867</v>
      </c>
      <c r="C99">
        <f>Main!R99</f>
        <v>291.30480078038556</v>
      </c>
      <c r="D99">
        <f t="shared" si="7"/>
        <v>85.800000000000011</v>
      </c>
      <c r="E99">
        <f t="shared" si="8"/>
        <v>55.000000000000426</v>
      </c>
      <c r="F99">
        <f t="shared" si="9"/>
        <v>0</v>
      </c>
      <c r="G99">
        <f t="shared" si="10"/>
        <v>-1.7763568394002505E-9</v>
      </c>
      <c r="H99">
        <f>Main!O99</f>
        <v>5.9205759999999996</v>
      </c>
    </row>
    <row r="100" spans="1:8" x14ac:dyDescent="0.25">
      <c r="A100">
        <f>Main!$K$2</f>
        <v>0.02</v>
      </c>
      <c r="B100">
        <f>Main!Q100</f>
        <v>85.898604618942827</v>
      </c>
      <c r="C100">
        <f>Main!R100</f>
        <v>290.90135620802107</v>
      </c>
      <c r="D100">
        <f t="shared" si="7"/>
        <v>86.90000000000002</v>
      </c>
      <c r="E100">
        <f t="shared" si="8"/>
        <v>55.000000000000426</v>
      </c>
      <c r="F100">
        <f t="shared" si="9"/>
        <v>-3.5527136788005009E-11</v>
      </c>
      <c r="G100">
        <f t="shared" si="10"/>
        <v>3.5527136788005009E-9</v>
      </c>
      <c r="H100">
        <f>Main!O100</f>
        <v>5.9076529999999998</v>
      </c>
    </row>
    <row r="101" spans="1:8" x14ac:dyDescent="0.25">
      <c r="A101">
        <f>Main!$K$2</f>
        <v>0.02</v>
      </c>
      <c r="B101">
        <f>Main!Q101</f>
        <v>86.916517247975705</v>
      </c>
      <c r="C101">
        <f>Main!R101</f>
        <v>290.48439832087251</v>
      </c>
      <c r="D101">
        <f t="shared" si="7"/>
        <v>88.000000000000028</v>
      </c>
      <c r="E101">
        <f t="shared" si="8"/>
        <v>54.999999999999716</v>
      </c>
      <c r="F101">
        <f t="shared" si="9"/>
        <v>3.5527136788005009E-11</v>
      </c>
      <c r="G101">
        <f t="shared" si="10"/>
        <v>-3.5527136788005009E-9</v>
      </c>
      <c r="H101">
        <f>Main!O101</f>
        <v>5.8944130000000001</v>
      </c>
    </row>
    <row r="102" spans="1:8" x14ac:dyDescent="0.25">
      <c r="A102">
        <f>Main!$K$2</f>
        <v>0.02</v>
      </c>
      <c r="B102">
        <f>Main!Q102</f>
        <v>87.928684242010078</v>
      </c>
      <c r="C102">
        <f>Main!R102</f>
        <v>290.05368034331946</v>
      </c>
      <c r="D102">
        <f t="shared" si="7"/>
        <v>89.100000000000023</v>
      </c>
      <c r="E102">
        <f t="shared" si="8"/>
        <v>55.000000000000426</v>
      </c>
      <c r="F102">
        <f t="shared" si="9"/>
        <v>-3.5527136788005009E-11</v>
      </c>
      <c r="G102">
        <f t="shared" si="10"/>
        <v>5.3290705182007514E-9</v>
      </c>
      <c r="H102">
        <f>Main!O102</f>
        <v>5.8808569999999998</v>
      </c>
    </row>
    <row r="103" spans="1:8" x14ac:dyDescent="0.25">
      <c r="A103">
        <f>Main!$K$2</f>
        <v>0.02</v>
      </c>
      <c r="B103">
        <f>Main!Q103</f>
        <v>88.934778233158127</v>
      </c>
      <c r="C103">
        <f>Main!R103</f>
        <v>289.60896146472783</v>
      </c>
      <c r="D103">
        <f t="shared" si="7"/>
        <v>90.200000000000031</v>
      </c>
      <c r="E103">
        <f t="shared" si="8"/>
        <v>54.999999999999716</v>
      </c>
      <c r="F103">
        <f t="shared" si="9"/>
        <v>7.1054273576010019E-11</v>
      </c>
      <c r="G103">
        <f t="shared" si="10"/>
        <v>-8.8817841970012523E-9</v>
      </c>
      <c r="H103">
        <f>Main!O103</f>
        <v>5.8669830000000003</v>
      </c>
    </row>
    <row r="104" spans="1:8" x14ac:dyDescent="0.25">
      <c r="A104">
        <f>Main!$K$2</f>
        <v>0.02</v>
      </c>
      <c r="B104">
        <f>Main!Q104</f>
        <v>89.934460585313616</v>
      </c>
      <c r="C104">
        <f>Main!R104</f>
        <v>289.15001136418437</v>
      </c>
      <c r="D104">
        <f t="shared" si="7"/>
        <v>91.300000000000026</v>
      </c>
      <c r="E104">
        <f t="shared" si="8"/>
        <v>55.000000000001137</v>
      </c>
      <c r="F104">
        <f t="shared" si="9"/>
        <v>-1.0658141036401503E-10</v>
      </c>
      <c r="G104">
        <f t="shared" si="10"/>
        <v>7.1054273576010019E-9</v>
      </c>
      <c r="H104">
        <f>Main!O104</f>
        <v>5.8527930000000001</v>
      </c>
    </row>
    <row r="105" spans="1:8" x14ac:dyDescent="0.25">
      <c r="A105">
        <f>Main!$K$2</f>
        <v>0.02</v>
      </c>
      <c r="B105">
        <f>Main!Q105</f>
        <v>90.927380937441143</v>
      </c>
      <c r="C105">
        <f>Main!R105</f>
        <v>288.67660965914837</v>
      </c>
      <c r="D105">
        <f t="shared" si="7"/>
        <v>92.400000000000048</v>
      </c>
      <c r="E105">
        <f t="shared" si="8"/>
        <v>54.999999999999005</v>
      </c>
      <c r="F105">
        <f t="shared" si="9"/>
        <v>3.5527136788005009E-11</v>
      </c>
      <c r="G105">
        <f t="shared" si="10"/>
        <v>-1.7763568394002505E-9</v>
      </c>
      <c r="H105">
        <f>Main!O105</f>
        <v>5.8382880000000004</v>
      </c>
    </row>
    <row r="106" spans="1:8" x14ac:dyDescent="0.25">
      <c r="A106">
        <f>Main!$K$2</f>
        <v>0.02</v>
      </c>
      <c r="B106">
        <f>Main!Q106</f>
        <v>91.913178160557905</v>
      </c>
      <c r="C106">
        <f>Main!R106</f>
        <v>288.18854835675364</v>
      </c>
      <c r="D106">
        <f t="shared" si="7"/>
        <v>93.500000000000028</v>
      </c>
      <c r="E106">
        <f t="shared" si="8"/>
        <v>54.999999999999716</v>
      </c>
      <c r="F106">
        <f t="shared" si="9"/>
        <v>0</v>
      </c>
      <c r="G106">
        <f t="shared" si="10"/>
        <v>0</v>
      </c>
      <c r="H106">
        <f>Main!O106</f>
        <v>5.8234709999999996</v>
      </c>
    </row>
    <row r="107" spans="1:8" x14ac:dyDescent="0.25">
      <c r="A107">
        <f>Main!$K$2</f>
        <v>0.02</v>
      </c>
      <c r="B107">
        <f>Main!Q107</f>
        <v>92.891481484733177</v>
      </c>
      <c r="C107">
        <f>Main!R107</f>
        <v>287.68563424290556</v>
      </c>
      <c r="D107">
        <f t="shared" si="7"/>
        <v>94.600000000000023</v>
      </c>
      <c r="E107">
        <f t="shared" si="8"/>
        <v>54.999999999999716</v>
      </c>
      <c r="F107">
        <f t="shared" si="9"/>
        <v>0</v>
      </c>
      <c r="G107">
        <f t="shared" si="10"/>
        <v>1.7763568394002505E-9</v>
      </c>
      <c r="H107">
        <f>Main!O107</f>
        <v>5.8083470000000004</v>
      </c>
    </row>
    <row r="108" spans="1:8" x14ac:dyDescent="0.25">
      <c r="A108">
        <f>Main!$K$2</f>
        <v>0.02</v>
      </c>
      <c r="B108">
        <f>Main!Q108</f>
        <v>93.861909730631695</v>
      </c>
      <c r="C108">
        <f>Main!R108</f>
        <v>287.16768731554492</v>
      </c>
      <c r="D108">
        <f t="shared" si="7"/>
        <v>95.700000000000017</v>
      </c>
      <c r="E108">
        <f t="shared" si="8"/>
        <v>54.999999999999716</v>
      </c>
      <c r="F108">
        <f t="shared" si="9"/>
        <v>3.5527136788005009E-11</v>
      </c>
      <c r="G108">
        <f t="shared" si="10"/>
        <v>-1.7763568394002505E-9</v>
      </c>
      <c r="H108">
        <f>Main!O108</f>
        <v>5.7929190000000004</v>
      </c>
    </row>
    <row r="109" spans="1:8" x14ac:dyDescent="0.25">
      <c r="A109">
        <f>Main!$K$2</f>
        <v>0.02</v>
      </c>
      <c r="B109">
        <f>Main!Q109</f>
        <v>94.824074150746853</v>
      </c>
      <c r="C109">
        <f>Main!R109</f>
        <v>286.63454603158311</v>
      </c>
      <c r="D109">
        <f t="shared" si="7"/>
        <v>96.800000000000011</v>
      </c>
      <c r="E109">
        <f t="shared" si="8"/>
        <v>55.000000000000426</v>
      </c>
      <c r="F109">
        <f t="shared" si="9"/>
        <v>0</v>
      </c>
      <c r="G109">
        <f t="shared" si="10"/>
        <v>-1.7763568394002505E-9</v>
      </c>
      <c r="H109">
        <f>Main!O109</f>
        <v>5.7771949999999999</v>
      </c>
    </row>
    <row r="110" spans="1:8" x14ac:dyDescent="0.25">
      <c r="A110">
        <f>Main!$K$2</f>
        <v>0.02</v>
      </c>
      <c r="B110">
        <f>Main!Q110</f>
        <v>95.777577841221628</v>
      </c>
      <c r="C110">
        <f>Main!R110</f>
        <v>286.08606566525174</v>
      </c>
      <c r="D110">
        <f t="shared" si="7"/>
        <v>97.90000000000002</v>
      </c>
      <c r="E110">
        <f t="shared" si="8"/>
        <v>55.000000000000426</v>
      </c>
      <c r="F110">
        <f t="shared" si="9"/>
        <v>-3.5527136788005009E-11</v>
      </c>
      <c r="G110">
        <f t="shared" si="10"/>
        <v>3.5527136788005009E-9</v>
      </c>
      <c r="H110">
        <f>Main!O110</f>
        <v>5.7611809999999997</v>
      </c>
    </row>
    <row r="111" spans="1:8" x14ac:dyDescent="0.25">
      <c r="A111">
        <f>Main!$K$2</f>
        <v>0.02</v>
      </c>
      <c r="B111">
        <f>Main!Q111</f>
        <v>96.722017851947797</v>
      </c>
      <c r="C111">
        <f>Main!R111</f>
        <v>285.52212146044104</v>
      </c>
      <c r="D111">
        <f t="shared" si="7"/>
        <v>99.000000000000028</v>
      </c>
      <c r="E111">
        <f t="shared" si="8"/>
        <v>54.999999999999716</v>
      </c>
      <c r="F111">
        <f t="shared" si="9"/>
        <v>3.5527136788005009E-11</v>
      </c>
      <c r="G111">
        <f t="shared" si="10"/>
        <v>-5.3290705182007514E-9</v>
      </c>
      <c r="H111">
        <f>Main!O111</f>
        <v>5.7448860000000002</v>
      </c>
    </row>
    <row r="112" spans="1:8" x14ac:dyDescent="0.25">
      <c r="A112">
        <f>Main!$K$2</f>
        <v>0.02</v>
      </c>
      <c r="B112">
        <f>Main!Q112</f>
        <v>97.656986400791141</v>
      </c>
      <c r="C112">
        <f>Main!R112</f>
        <v>284.94260975851108</v>
      </c>
      <c r="D112">
        <f t="shared" si="7"/>
        <v>100.10000000000002</v>
      </c>
      <c r="E112">
        <f t="shared" si="8"/>
        <v>55.000000000000426</v>
      </c>
      <c r="F112">
        <f t="shared" si="9"/>
        <v>-7.1054273576010019E-11</v>
      </c>
      <c r="G112">
        <f t="shared" si="10"/>
        <v>5.3290705182007514E-9</v>
      </c>
      <c r="H112">
        <f>Main!O112</f>
        <v>5.7283200000000001</v>
      </c>
    </row>
    <row r="113" spans="1:8" x14ac:dyDescent="0.25">
      <c r="A113">
        <f>Main!$K$2</f>
        <v>0.02</v>
      </c>
      <c r="B113">
        <f>Main!Q113</f>
        <v>98.582072792643643</v>
      </c>
      <c r="C113">
        <f>Main!R113</f>
        <v>284.34744997525172</v>
      </c>
      <c r="D113">
        <f t="shared" si="7"/>
        <v>101.20000000000003</v>
      </c>
      <c r="E113">
        <f t="shared" si="8"/>
        <v>54.999999999999005</v>
      </c>
      <c r="F113">
        <f t="shared" si="9"/>
        <v>3.5527136788005009E-11</v>
      </c>
      <c r="G113">
        <f t="shared" si="10"/>
        <v>-3.5527136788005009E-9</v>
      </c>
      <c r="H113">
        <f>Main!O113</f>
        <v>5.7114950000000002</v>
      </c>
    </row>
    <row r="114" spans="1:8" x14ac:dyDescent="0.25">
      <c r="A114">
        <f>Main!$K$2</f>
        <v>0.02</v>
      </c>
      <c r="B114">
        <f>Main!Q114</f>
        <v>99.496864303811108</v>
      </c>
      <c r="C114">
        <f>Main!R114</f>
        <v>283.73658461275693</v>
      </c>
      <c r="D114">
        <f t="shared" si="7"/>
        <v>102.30000000000001</v>
      </c>
      <c r="E114">
        <f t="shared" si="8"/>
        <v>54.999999999999716</v>
      </c>
      <c r="F114">
        <f t="shared" si="9"/>
        <v>-3.5527136788005009E-11</v>
      </c>
      <c r="G114">
        <f t="shared" si="10"/>
        <v>1.7763568394002505E-9</v>
      </c>
      <c r="H114">
        <f>Main!O114</f>
        <v>5.6944229999999996</v>
      </c>
    </row>
    <row r="115" spans="1:8" x14ac:dyDescent="0.25">
      <c r="A115">
        <f>Main!$K$2</f>
        <v>0.02</v>
      </c>
      <c r="B115">
        <f>Main!Q115</f>
        <v>100.40094772117546</v>
      </c>
      <c r="C115">
        <f>Main!R115</f>
        <v>283.10998013268454</v>
      </c>
      <c r="D115">
        <f t="shared" si="7"/>
        <v>103.4</v>
      </c>
      <c r="E115">
        <f t="shared" si="8"/>
        <v>54.999999999999005</v>
      </c>
      <c r="F115">
        <f t="shared" si="9"/>
        <v>0</v>
      </c>
      <c r="G115">
        <f t="shared" si="10"/>
        <v>3.5527136788005009E-9</v>
      </c>
      <c r="H115">
        <f>Main!O115</f>
        <v>5.677117</v>
      </c>
    </row>
    <row r="116" spans="1:8" x14ac:dyDescent="0.25">
      <c r="A116">
        <f>Main!$K$2</f>
        <v>0.02</v>
      </c>
      <c r="B116">
        <f>Main!Q116</f>
        <v>101.29391291178361</v>
      </c>
      <c r="C116">
        <f>Main!R116</f>
        <v>282.46763040834264</v>
      </c>
      <c r="D116">
        <f t="shared" si="7"/>
        <v>104.49999999999999</v>
      </c>
      <c r="E116">
        <f t="shared" si="8"/>
        <v>54.999999999999005</v>
      </c>
      <c r="F116">
        <f t="shared" si="9"/>
        <v>7.1054273576010019E-11</v>
      </c>
      <c r="G116">
        <f t="shared" si="10"/>
        <v>-7.1054273576010019E-9</v>
      </c>
      <c r="H116">
        <f>Main!O116</f>
        <v>5.6595940000000002</v>
      </c>
    </row>
    <row r="117" spans="1:8" x14ac:dyDescent="0.25">
      <c r="A117">
        <f>Main!$K$2</f>
        <v>0.02</v>
      </c>
      <c r="B117">
        <f>Main!Q117</f>
        <v>102.17535343750011</v>
      </c>
      <c r="C117">
        <f>Main!R117</f>
        <v>281.8095554888809</v>
      </c>
      <c r="D117">
        <f t="shared" si="7"/>
        <v>105.59999999999997</v>
      </c>
      <c r="E117">
        <f t="shared" si="8"/>
        <v>55.000000000000426</v>
      </c>
      <c r="F117">
        <f t="shared" si="9"/>
        <v>-7.1054273576010019E-11</v>
      </c>
      <c r="G117">
        <f t="shared" si="10"/>
        <v>8.8817841970012523E-9</v>
      </c>
      <c r="H117">
        <f>Main!O117</f>
        <v>5.6418699999999999</v>
      </c>
    </row>
    <row r="118" spans="1:8" x14ac:dyDescent="0.25">
      <c r="A118">
        <f>Main!$K$2</f>
        <v>0.02</v>
      </c>
      <c r="B118">
        <f>Main!Q118</f>
        <v>103.04486778003313</v>
      </c>
      <c r="C118">
        <f>Main!R118</f>
        <v>281.13580122497649</v>
      </c>
      <c r="D118">
        <f t="shared" si="7"/>
        <v>106.69999999999997</v>
      </c>
      <c r="E118">
        <f t="shared" si="8"/>
        <v>54.999999999999005</v>
      </c>
      <c r="F118">
        <f t="shared" si="9"/>
        <v>1.0658141036401503E-10</v>
      </c>
      <c r="G118">
        <f t="shared" si="10"/>
        <v>-8.8817841970012523E-9</v>
      </c>
      <c r="H118">
        <f>Main!O118</f>
        <v>5.6239610000000004</v>
      </c>
    </row>
    <row r="119" spans="1:8" x14ac:dyDescent="0.25">
      <c r="A119">
        <f>Main!$K$2</f>
        <v>0.02</v>
      </c>
      <c r="B119">
        <f>Main!Q119</f>
        <v>103.90206402231622</v>
      </c>
      <c r="C119">
        <f>Main!R119</f>
        <v>280.44644311614212</v>
      </c>
      <c r="D119">
        <f t="shared" si="7"/>
        <v>107.79999999999995</v>
      </c>
      <c r="E119">
        <f t="shared" si="8"/>
        <v>55.000000000001137</v>
      </c>
      <c r="F119">
        <f t="shared" si="9"/>
        <v>-7.1054273576010019E-11</v>
      </c>
      <c r="G119">
        <f t="shared" si="10"/>
        <v>1.7763568394002505E-9</v>
      </c>
      <c r="H119">
        <f>Main!O119</f>
        <v>5.6058880000000002</v>
      </c>
    </row>
    <row r="120" spans="1:8" x14ac:dyDescent="0.25">
      <c r="A120">
        <f>Main!$K$2</f>
        <v>0.02</v>
      </c>
      <c r="B120">
        <f>Main!Q120</f>
        <v>104.74655998739485</v>
      </c>
      <c r="C120">
        <f>Main!R120</f>
        <v>279.74158386425847</v>
      </c>
      <c r="D120">
        <f t="shared" si="7"/>
        <v>108.89999999999998</v>
      </c>
      <c r="E120">
        <f t="shared" si="8"/>
        <v>54.999999999999716</v>
      </c>
      <c r="F120">
        <f t="shared" si="9"/>
        <v>-3.5527136788005009E-11</v>
      </c>
      <c r="G120">
        <f t="shared" si="10"/>
        <v>3.5527136788005009E-9</v>
      </c>
      <c r="H120">
        <f>Main!O120</f>
        <v>5.5876700000000001</v>
      </c>
    </row>
    <row r="121" spans="1:8" x14ac:dyDescent="0.25">
      <c r="A121">
        <f>Main!$K$2</f>
        <v>0.02</v>
      </c>
      <c r="B121">
        <f>Main!Q121</f>
        <v>105.57798537628643</v>
      </c>
      <c r="C121">
        <f>Main!R121</f>
        <v>279.02135346868602</v>
      </c>
      <c r="D121">
        <f t="shared" si="7"/>
        <v>109.99999999999997</v>
      </c>
      <c r="E121">
        <f t="shared" si="8"/>
        <v>54.999999999999005</v>
      </c>
      <c r="F121">
        <f t="shared" si="9"/>
        <v>3.5527136788005009E-11</v>
      </c>
      <c r="G121">
        <f t="shared" si="10"/>
        <v>0</v>
      </c>
      <c r="H121">
        <f>Main!O121</f>
        <v>5.5693270000000004</v>
      </c>
    </row>
    <row r="122" spans="1:8" x14ac:dyDescent="0.25">
      <c r="A122">
        <f>Main!$K$2</f>
        <v>0.02</v>
      </c>
      <c r="B122">
        <f>Main!Q122</f>
        <v>106.39598543985633</v>
      </c>
      <c r="C122">
        <f>Main!R122</f>
        <v>278.28591081558545</v>
      </c>
      <c r="D122">
        <f t="shared" si="7"/>
        <v>111.09999999999995</v>
      </c>
      <c r="E122">
        <f t="shared" si="8"/>
        <v>54.999999999999716</v>
      </c>
      <c r="F122">
        <f t="shared" si="9"/>
        <v>3.5527136788005009E-11</v>
      </c>
      <c r="G122">
        <f t="shared" si="10"/>
        <v>-1.7763568394002505E-9</v>
      </c>
      <c r="H122">
        <f>Main!O122</f>
        <v>5.5508819999999996</v>
      </c>
    </row>
    <row r="123" spans="1:8" x14ac:dyDescent="0.25">
      <c r="A123">
        <f>Main!$K$2</f>
        <v>0.02</v>
      </c>
      <c r="B123">
        <f>Main!Q123</f>
        <v>107.20022110220889</v>
      </c>
      <c r="C123">
        <f>Main!R123</f>
        <v>277.53544096315943</v>
      </c>
      <c r="D123">
        <f t="shared" si="7"/>
        <v>112.19999999999995</v>
      </c>
      <c r="E123">
        <f t="shared" si="8"/>
        <v>55.000000000000426</v>
      </c>
      <c r="F123">
        <f t="shared" si="9"/>
        <v>0</v>
      </c>
      <c r="G123">
        <f t="shared" si="10"/>
        <v>-1.7763568394002505E-9</v>
      </c>
      <c r="H123">
        <f>Main!O123</f>
        <v>5.5323560000000001</v>
      </c>
    </row>
    <row r="124" spans="1:8" x14ac:dyDescent="0.25">
      <c r="A124">
        <f>Main!$K$2</f>
        <v>0.02</v>
      </c>
      <c r="B124">
        <f>Main!Q124</f>
        <v>107.99037196214533</v>
      </c>
      <c r="C124">
        <f>Main!R124</f>
        <v>276.77015564477045</v>
      </c>
      <c r="D124">
        <f t="shared" si="7"/>
        <v>113.29999999999995</v>
      </c>
      <c r="E124">
        <f t="shared" si="8"/>
        <v>55.000000000000426</v>
      </c>
      <c r="F124">
        <f t="shared" si="9"/>
        <v>-3.5527136788005009E-11</v>
      </c>
      <c r="G124">
        <f t="shared" si="10"/>
        <v>3.5527136788005009E-9</v>
      </c>
      <c r="H124">
        <f>Main!O124</f>
        <v>5.5137720000000003</v>
      </c>
    </row>
    <row r="125" spans="1:8" x14ac:dyDescent="0.25">
      <c r="A125">
        <f>Main!$K$2</f>
        <v>0.02</v>
      </c>
      <c r="B125">
        <f>Main!Q125</f>
        <v>108.7661370624072</v>
      </c>
      <c r="C125">
        <f>Main!R125</f>
        <v>275.9902912275698</v>
      </c>
      <c r="D125">
        <f t="shared" si="7"/>
        <v>114.39999999999996</v>
      </c>
      <c r="E125">
        <f t="shared" si="8"/>
        <v>54.999999999999716</v>
      </c>
      <c r="F125">
        <f t="shared" si="9"/>
        <v>3.5527136788005009E-11</v>
      </c>
      <c r="G125">
        <f t="shared" si="10"/>
        <v>-3.5527136788005009E-9</v>
      </c>
      <c r="H125">
        <f>Main!O125</f>
        <v>5.495152</v>
      </c>
    </row>
    <row r="126" spans="1:8" x14ac:dyDescent="0.25">
      <c r="A126">
        <f>Main!$K$2</f>
        <v>0.02</v>
      </c>
      <c r="B126">
        <f>Main!Q126</f>
        <v>109.52723791945908</v>
      </c>
      <c r="C126">
        <f>Main!R126</f>
        <v>275.19610895290305</v>
      </c>
      <c r="D126">
        <f t="shared" si="7"/>
        <v>115.49999999999996</v>
      </c>
      <c r="E126">
        <f t="shared" si="8"/>
        <v>55.000000000000426</v>
      </c>
      <c r="F126">
        <f t="shared" si="9"/>
        <v>-3.5527136788005009E-11</v>
      </c>
      <c r="G126">
        <f t="shared" si="10"/>
        <v>1.7763568394002505E-9</v>
      </c>
      <c r="H126">
        <f>Main!O126</f>
        <v>5.4765199999999998</v>
      </c>
    </row>
    <row r="127" spans="1:8" x14ac:dyDescent="0.25">
      <c r="A127">
        <f>Main!$K$2</f>
        <v>0.02</v>
      </c>
      <c r="B127">
        <f>Main!Q127</f>
        <v>110.27342002233775</v>
      </c>
      <c r="C127">
        <f>Main!R127</f>
        <v>274.38789346842901</v>
      </c>
      <c r="D127">
        <f t="shared" si="7"/>
        <v>116.59999999999997</v>
      </c>
      <c r="E127">
        <f t="shared" si="8"/>
        <v>54.999999999999716</v>
      </c>
      <c r="F127">
        <f t="shared" si="9"/>
        <v>0</v>
      </c>
      <c r="G127">
        <f t="shared" si="10"/>
        <v>1.7763568394002505E-9</v>
      </c>
      <c r="H127">
        <f>Main!O127</f>
        <v>5.4579000000000004</v>
      </c>
    </row>
    <row r="128" spans="1:8" x14ac:dyDescent="0.25">
      <c r="A128">
        <f>Main!$K$2</f>
        <v>0.02</v>
      </c>
      <c r="B128">
        <f>Main!Q128</f>
        <v>111.00445179846147</v>
      </c>
      <c r="C128">
        <f>Main!R128</f>
        <v>273.56594910151762</v>
      </c>
      <c r="D128">
        <f t="shared" si="7"/>
        <v>117.69999999999996</v>
      </c>
      <c r="E128">
        <f t="shared" si="8"/>
        <v>54.999999999999716</v>
      </c>
      <c r="F128">
        <f t="shared" si="9"/>
        <v>3.5527136788005009E-11</v>
      </c>
      <c r="G128">
        <f t="shared" si="10"/>
        <v>-3.5527136788005009E-9</v>
      </c>
      <c r="H128">
        <f>Main!O128</f>
        <v>5.4393130000000003</v>
      </c>
    </row>
    <row r="129" spans="1:8" x14ac:dyDescent="0.25">
      <c r="A129">
        <f>Main!$K$2</f>
        <v>0.02</v>
      </c>
      <c r="B129">
        <f>Main!Q129</f>
        <v>111.72012748142969</v>
      </c>
      <c r="C129">
        <f>Main!R129</f>
        <v>272.73059988304192</v>
      </c>
      <c r="D129">
        <f t="shared" si="7"/>
        <v>118.79999999999995</v>
      </c>
      <c r="E129">
        <f t="shared" si="8"/>
        <v>55.000000000000426</v>
      </c>
      <c r="F129">
        <f t="shared" si="9"/>
        <v>-3.5527136788005009E-11</v>
      </c>
      <c r="G129">
        <f t="shared" si="10"/>
        <v>3.5527136788005009E-9</v>
      </c>
      <c r="H129">
        <f>Main!O129</f>
        <v>5.420782</v>
      </c>
    </row>
    <row r="130" spans="1:8" x14ac:dyDescent="0.25">
      <c r="A130">
        <f>Main!$K$2</f>
        <v>0.02</v>
      </c>
      <c r="B130">
        <f>Main!Q130</f>
        <v>112.42026834343069</v>
      </c>
      <c r="C130">
        <f>Main!R130</f>
        <v>271.88218797049205</v>
      </c>
      <c r="D130">
        <f t="shared" si="7"/>
        <v>119.89999999999996</v>
      </c>
      <c r="E130">
        <f t="shared" si="8"/>
        <v>54.999999999999716</v>
      </c>
      <c r="F130">
        <f t="shared" si="9"/>
        <v>3.5527136788005009E-11</v>
      </c>
      <c r="G130">
        <f t="shared" si="10"/>
        <v>-1.7763568394002505E-9</v>
      </c>
      <c r="H130">
        <f>Main!O130</f>
        <v>5.4023300000000001</v>
      </c>
    </row>
    <row r="131" spans="1:8" x14ac:dyDescent="0.25">
      <c r="A131">
        <f>Main!$K$2</f>
        <v>0.02</v>
      </c>
      <c r="B131">
        <f>Main!Q131</f>
        <v>113.10472126389047</v>
      </c>
      <c r="C131">
        <f>Main!R131</f>
        <v>271.02106997644358</v>
      </c>
      <c r="D131">
        <f t="shared" si="7"/>
        <v>120.99999999999996</v>
      </c>
      <c r="E131">
        <f t="shared" si="8"/>
        <v>55.000000000000426</v>
      </c>
      <c r="F131">
        <f t="shared" si="9"/>
        <v>0</v>
      </c>
      <c r="G131">
        <f t="shared" si="10"/>
        <v>-1.7763568394002505E-9</v>
      </c>
      <c r="H131">
        <f>Main!O131</f>
        <v>5.3839769999999998</v>
      </c>
    </row>
    <row r="132" spans="1:8" x14ac:dyDescent="0.25">
      <c r="A132">
        <f>Main!$K$2</f>
        <v>0.02</v>
      </c>
      <c r="B132">
        <f>Main!Q132</f>
        <v>113.77336139594078</v>
      </c>
      <c r="C132">
        <f>Main!R132</f>
        <v>270.14761684443721</v>
      </c>
      <c r="D132">
        <f t="shared" si="7"/>
        <v>122.09999999999997</v>
      </c>
      <c r="E132">
        <f t="shared" si="8"/>
        <v>55.000000000000426</v>
      </c>
      <c r="F132">
        <f t="shared" si="9"/>
        <v>-3.5527136788005009E-11</v>
      </c>
      <c r="G132">
        <f t="shared" si="10"/>
        <v>5.3290705182007514E-9</v>
      </c>
      <c r="H132">
        <f>Main!O132</f>
        <v>5.3657450000000004</v>
      </c>
    </row>
    <row r="133" spans="1:8" x14ac:dyDescent="0.25">
      <c r="A133">
        <f>Main!$K$2</f>
        <v>0.02</v>
      </c>
      <c r="B133">
        <f>Main!Q133</f>
        <v>114.4260904491795</v>
      </c>
      <c r="C133">
        <f>Main!R133</f>
        <v>269.26221028072871</v>
      </c>
      <c r="D133">
        <f t="shared" ref="D133:D196" si="11">D132 + SQRT( (B133-B132)^2  + (C133-C132)^2 )</f>
        <v>123.19999999999997</v>
      </c>
      <c r="E133">
        <f t="shared" ref="E133:E196" si="12" xml:space="preserve"> IF(ISBLANK(D134), 0, (D134-D133)/$A133 )</f>
        <v>54.999999999999716</v>
      </c>
      <c r="F133">
        <f t="shared" ref="F133:F196" si="13" xml:space="preserve"> (E134-E133)/$A133</f>
        <v>7.1054273576010019E-11</v>
      </c>
      <c r="G133">
        <f t="shared" ref="G133:G196" si="14" xml:space="preserve"> (F134-F133)/$A133</f>
        <v>-7.1054273576010019E-9</v>
      </c>
      <c r="H133">
        <f>Main!O133</f>
        <v>5.3476530000000002</v>
      </c>
    </row>
    <row r="134" spans="1:8" x14ac:dyDescent="0.25">
      <c r="A134">
        <f>Main!$K$2</f>
        <v>0.02</v>
      </c>
      <c r="B134">
        <f>Main!Q134</f>
        <v>115.06283650700125</v>
      </c>
      <c r="C134">
        <f>Main!R134</f>
        <v>268.36524068378105</v>
      </c>
      <c r="D134">
        <f t="shared" si="11"/>
        <v>124.29999999999997</v>
      </c>
      <c r="E134">
        <f t="shared" si="12"/>
        <v>55.000000000001137</v>
      </c>
      <c r="F134">
        <f t="shared" si="13"/>
        <v>-7.1054273576010019E-11</v>
      </c>
      <c r="G134">
        <f t="shared" si="14"/>
        <v>5.3290705182007514E-9</v>
      </c>
      <c r="H134">
        <f>Main!O134</f>
        <v>5.3297189999999999</v>
      </c>
    </row>
    <row r="135" spans="1:8" x14ac:dyDescent="0.25">
      <c r="A135">
        <f>Main!$K$2</f>
        <v>0.02</v>
      </c>
      <c r="B135">
        <f>Main!Q135</f>
        <v>115.68355462066511</v>
      </c>
      <c r="C135">
        <f>Main!R135</f>
        <v>267.45710576904116</v>
      </c>
      <c r="D135">
        <f t="shared" si="11"/>
        <v>125.39999999999999</v>
      </c>
      <c r="E135">
        <f t="shared" si="12"/>
        <v>54.999999999999716</v>
      </c>
      <c r="F135">
        <f t="shared" si="13"/>
        <v>3.5527136788005009E-11</v>
      </c>
      <c r="G135">
        <f t="shared" si="14"/>
        <v>-3.5527136788005009E-9</v>
      </c>
      <c r="H135">
        <f>Main!O135</f>
        <v>5.3119610000000002</v>
      </c>
    </row>
    <row r="136" spans="1:8" x14ac:dyDescent="0.25">
      <c r="A136">
        <f>Main!$K$2</f>
        <v>0.02</v>
      </c>
      <c r="B136">
        <f>Main!Q136</f>
        <v>116.28822549350902</v>
      </c>
      <c r="C136">
        <f>Main!R136</f>
        <v>266.53820798607825</v>
      </c>
      <c r="D136">
        <f t="shared" si="11"/>
        <v>126.49999999999999</v>
      </c>
      <c r="E136">
        <f t="shared" si="12"/>
        <v>55.000000000000426</v>
      </c>
      <c r="F136">
        <f t="shared" si="13"/>
        <v>-3.5527136788005009E-11</v>
      </c>
      <c r="G136">
        <f t="shared" si="14"/>
        <v>1.7763568394002505E-9</v>
      </c>
      <c r="H136">
        <f>Main!O136</f>
        <v>5.2943949999999997</v>
      </c>
    </row>
    <row r="137" spans="1:8" x14ac:dyDescent="0.25">
      <c r="A137">
        <f>Main!$K$2</f>
        <v>0.02</v>
      </c>
      <c r="B137">
        <f>Main!Q137</f>
        <v>116.87685491890751</v>
      </c>
      <c r="C137">
        <f>Main!R137</f>
        <v>265.60895269308548</v>
      </c>
      <c r="D137">
        <f t="shared" si="11"/>
        <v>127.6</v>
      </c>
      <c r="E137">
        <f t="shared" si="12"/>
        <v>54.999999999999716</v>
      </c>
      <c r="F137">
        <f t="shared" si="13"/>
        <v>0</v>
      </c>
      <c r="G137">
        <f t="shared" si="14"/>
        <v>0</v>
      </c>
      <c r="H137">
        <f>Main!O137</f>
        <v>5.2770359999999998</v>
      </c>
    </row>
    <row r="138" spans="1:8" x14ac:dyDescent="0.25">
      <c r="A138">
        <f>Main!$K$2</f>
        <v>0.02</v>
      </c>
      <c r="B138">
        <f>Main!Q138</f>
        <v>117.44947404450978</v>
      </c>
      <c r="C138">
        <f>Main!R138</f>
        <v>264.6697469983655</v>
      </c>
      <c r="D138">
        <f t="shared" si="11"/>
        <v>128.69999999999999</v>
      </c>
      <c r="E138">
        <f t="shared" si="12"/>
        <v>54.999999999999716</v>
      </c>
      <c r="F138">
        <f t="shared" si="13"/>
        <v>0</v>
      </c>
      <c r="G138">
        <f t="shared" si="14"/>
        <v>3.5527136788005009E-9</v>
      </c>
      <c r="H138">
        <f>Main!O138</f>
        <v>5.2598989999999999</v>
      </c>
    </row>
    <row r="139" spans="1:8" x14ac:dyDescent="0.25">
      <c r="A139">
        <f>Main!$K$2</f>
        <v>0.02</v>
      </c>
      <c r="B139">
        <f>Main!Q139</f>
        <v>118.00613483474477</v>
      </c>
      <c r="C139">
        <f>Main!R139</f>
        <v>263.72099583783131</v>
      </c>
      <c r="D139">
        <f t="shared" si="11"/>
        <v>129.79999999999998</v>
      </c>
      <c r="E139">
        <f t="shared" si="12"/>
        <v>54.999999999999716</v>
      </c>
      <c r="F139">
        <f t="shared" si="13"/>
        <v>7.1054273576010019E-11</v>
      </c>
      <c r="G139">
        <f t="shared" si="14"/>
        <v>-7.1054273576010019E-9</v>
      </c>
      <c r="H139">
        <f>Main!O139</f>
        <v>5.2429940000000004</v>
      </c>
    </row>
    <row r="140" spans="1:8" x14ac:dyDescent="0.25">
      <c r="A140">
        <f>Main!$K$2</f>
        <v>0.02</v>
      </c>
      <c r="B140">
        <f>Main!Q140</f>
        <v>118.54691291144503</v>
      </c>
      <c r="C140">
        <f>Main!R140</f>
        <v>262.7631028000863</v>
      </c>
      <c r="D140">
        <f t="shared" si="11"/>
        <v>130.89999999999998</v>
      </c>
      <c r="E140">
        <f t="shared" si="12"/>
        <v>55.000000000001137</v>
      </c>
      <c r="F140">
        <f t="shared" si="13"/>
        <v>-7.1054273576010019E-11</v>
      </c>
      <c r="G140">
        <f t="shared" si="14"/>
        <v>0</v>
      </c>
      <c r="H140">
        <f>Main!O140</f>
        <v>5.2263339999999996</v>
      </c>
    </row>
    <row r="141" spans="1:8" x14ac:dyDescent="0.25">
      <c r="A141">
        <f>Main!$K$2</f>
        <v>0.02</v>
      </c>
      <c r="B141">
        <f>Main!Q141</f>
        <v>119.07190469114362</v>
      </c>
      <c r="C141">
        <f>Main!R141</f>
        <v>261.79646758903255</v>
      </c>
      <c r="D141">
        <f t="shared" si="11"/>
        <v>132</v>
      </c>
      <c r="E141">
        <f t="shared" si="12"/>
        <v>54.999999999999716</v>
      </c>
      <c r="F141">
        <f t="shared" si="13"/>
        <v>-7.1054273576010019E-11</v>
      </c>
      <c r="G141">
        <f t="shared" si="14"/>
        <v>7.1054273576010019E-9</v>
      </c>
      <c r="H141">
        <f>Main!O141</f>
        <v>5.2099289999999998</v>
      </c>
    </row>
    <row r="142" spans="1:8" x14ac:dyDescent="0.25">
      <c r="A142">
        <f>Main!$K$2</f>
        <v>0.02</v>
      </c>
      <c r="B142">
        <f>Main!Q142</f>
        <v>119.58122337736751</v>
      </c>
      <c r="C142">
        <f>Main!R142</f>
        <v>260.82148324256173</v>
      </c>
      <c r="D142">
        <f t="shared" si="11"/>
        <v>133.1</v>
      </c>
      <c r="E142">
        <f t="shared" si="12"/>
        <v>54.999999999998295</v>
      </c>
      <c r="F142">
        <f t="shared" si="13"/>
        <v>7.1054273576010019E-11</v>
      </c>
      <c r="G142">
        <f t="shared" si="14"/>
        <v>0</v>
      </c>
      <c r="H142">
        <f>Main!O142</f>
        <v>5.1937850000000001</v>
      </c>
    </row>
    <row r="143" spans="1:8" x14ac:dyDescent="0.25">
      <c r="A143">
        <f>Main!$K$2</f>
        <v>0.02</v>
      </c>
      <c r="B143">
        <f>Main!Q143</f>
        <v>120.07500262630059</v>
      </c>
      <c r="C143">
        <f>Main!R143</f>
        <v>259.83853764217326</v>
      </c>
      <c r="D143">
        <f t="shared" si="11"/>
        <v>134.19999999999996</v>
      </c>
      <c r="E143">
        <f t="shared" si="12"/>
        <v>54.999999999999716</v>
      </c>
      <c r="F143">
        <f t="shared" si="13"/>
        <v>7.1054273576010019E-11</v>
      </c>
      <c r="G143">
        <f t="shared" si="14"/>
        <v>-7.1054273576010019E-9</v>
      </c>
      <c r="H143">
        <f>Main!O143</f>
        <v>5.1779120000000001</v>
      </c>
    </row>
    <row r="144" spans="1:8" x14ac:dyDescent="0.25">
      <c r="A144">
        <f>Main!$K$2</f>
        <v>0.02</v>
      </c>
      <c r="B144">
        <f>Main!Q144</f>
        <v>120.55339044502091</v>
      </c>
      <c r="C144">
        <f>Main!R144</f>
        <v>258.84800995709827</v>
      </c>
      <c r="D144">
        <f t="shared" si="11"/>
        <v>135.29999999999995</v>
      </c>
      <c r="E144">
        <f t="shared" si="12"/>
        <v>55.000000000001137</v>
      </c>
      <c r="F144">
        <f t="shared" si="13"/>
        <v>-7.1054273576010019E-11</v>
      </c>
      <c r="G144">
        <f t="shared" si="14"/>
        <v>3.5527136788005009E-9</v>
      </c>
      <c r="H144">
        <f>Main!O144</f>
        <v>5.1623140000000003</v>
      </c>
    </row>
    <row r="145" spans="1:8" x14ac:dyDescent="0.25">
      <c r="A145">
        <f>Main!$K$2</f>
        <v>0.02</v>
      </c>
      <c r="B145">
        <f>Main!Q145</f>
        <v>121.0165518258658</v>
      </c>
      <c r="C145">
        <f>Main!R145</f>
        <v>257.85027174729879</v>
      </c>
      <c r="D145">
        <f t="shared" si="11"/>
        <v>136.39999999999998</v>
      </c>
      <c r="E145">
        <f t="shared" si="12"/>
        <v>54.999999999999716</v>
      </c>
      <c r="F145">
        <f t="shared" si="13"/>
        <v>0</v>
      </c>
      <c r="G145">
        <f t="shared" si="14"/>
        <v>0</v>
      </c>
      <c r="H145">
        <f>Main!O145</f>
        <v>5.146998</v>
      </c>
    </row>
    <row r="146" spans="1:8" x14ac:dyDescent="0.25">
      <c r="A146">
        <f>Main!$K$2</f>
        <v>0.02</v>
      </c>
      <c r="B146">
        <f>Main!Q146</f>
        <v>121.46466243894959</v>
      </c>
      <c r="C146">
        <f>Main!R146</f>
        <v>256.84568383255879</v>
      </c>
      <c r="D146">
        <f t="shared" si="11"/>
        <v>137.49999999999997</v>
      </c>
      <c r="E146">
        <f t="shared" si="12"/>
        <v>54.999999999999716</v>
      </c>
      <c r="F146">
        <f t="shared" si="13"/>
        <v>0</v>
      </c>
      <c r="G146">
        <f t="shared" si="14"/>
        <v>3.5527136788005009E-9</v>
      </c>
      <c r="H146">
        <f>Main!O146</f>
        <v>5.1319650000000001</v>
      </c>
    </row>
    <row r="147" spans="1:8" x14ac:dyDescent="0.25">
      <c r="A147">
        <f>Main!$K$2</f>
        <v>0.02</v>
      </c>
      <c r="B147">
        <f>Main!Q147</f>
        <v>121.89791222786593</v>
      </c>
      <c r="C147">
        <f>Main!R147</f>
        <v>255.83459797052532</v>
      </c>
      <c r="D147">
        <f t="shared" si="11"/>
        <v>138.59999999999997</v>
      </c>
      <c r="E147">
        <f t="shared" si="12"/>
        <v>54.999999999999716</v>
      </c>
      <c r="F147">
        <f t="shared" si="13"/>
        <v>7.1054273576010019E-11</v>
      </c>
      <c r="G147">
        <f t="shared" si="14"/>
        <v>-7.1054273576010019E-9</v>
      </c>
      <c r="H147">
        <f>Main!O147</f>
        <v>5.1172199999999997</v>
      </c>
    </row>
    <row r="148" spans="1:8" x14ac:dyDescent="0.25">
      <c r="A148">
        <f>Main!$K$2</f>
        <v>0.02</v>
      </c>
      <c r="B148">
        <f>Main!Q148</f>
        <v>122.316501000028</v>
      </c>
      <c r="C148">
        <f>Main!R148</f>
        <v>254.81735491214653</v>
      </c>
      <c r="D148">
        <f t="shared" si="11"/>
        <v>139.69999999999996</v>
      </c>
      <c r="E148">
        <f t="shared" si="12"/>
        <v>55.000000000001137</v>
      </c>
      <c r="F148">
        <f t="shared" si="13"/>
        <v>-7.1054273576010019E-11</v>
      </c>
      <c r="G148">
        <f t="shared" si="14"/>
        <v>3.5527136788005009E-9</v>
      </c>
      <c r="H148">
        <f>Main!O148</f>
        <v>5.1027639999999996</v>
      </c>
    </row>
    <row r="149" spans="1:8" x14ac:dyDescent="0.25">
      <c r="A149">
        <f>Main!$K$2</f>
        <v>0.02</v>
      </c>
      <c r="B149">
        <f>Main!Q149</f>
        <v>122.72063696634925</v>
      </c>
      <c r="C149">
        <f>Main!R149</f>
        <v>253.79428398560935</v>
      </c>
      <c r="D149">
        <f t="shared" si="11"/>
        <v>140.79999999999998</v>
      </c>
      <c r="E149">
        <f t="shared" si="12"/>
        <v>54.999999999999716</v>
      </c>
      <c r="F149">
        <f t="shared" si="13"/>
        <v>0</v>
      </c>
      <c r="G149">
        <f t="shared" si="14"/>
        <v>0</v>
      </c>
      <c r="H149">
        <f>Main!O149</f>
        <v>5.088597</v>
      </c>
    </row>
    <row r="150" spans="1:8" x14ac:dyDescent="0.25">
      <c r="A150">
        <f>Main!$K$2</f>
        <v>0.02</v>
      </c>
      <c r="B150">
        <f>Main!Q150</f>
        <v>123.11053732124371</v>
      </c>
      <c r="C150">
        <f>Main!R150</f>
        <v>252.76570354964281</v>
      </c>
      <c r="D150">
        <f t="shared" si="11"/>
        <v>141.89999999999998</v>
      </c>
      <c r="E150">
        <f t="shared" si="12"/>
        <v>54.999999999999716</v>
      </c>
      <c r="F150">
        <f t="shared" si="13"/>
        <v>0</v>
      </c>
      <c r="G150">
        <f t="shared" si="14"/>
        <v>0</v>
      </c>
      <c r="H150">
        <f>Main!O150</f>
        <v>5.0747200000000001</v>
      </c>
    </row>
    <row r="151" spans="1:8" x14ac:dyDescent="0.25">
      <c r="A151">
        <f>Main!$K$2</f>
        <v>0.02</v>
      </c>
      <c r="B151">
        <f>Main!Q151</f>
        <v>123.48642576142728</v>
      </c>
      <c r="C151">
        <f>Main!R151</f>
        <v>251.73192026455044</v>
      </c>
      <c r="D151">
        <f t="shared" si="11"/>
        <v>142.99999999999997</v>
      </c>
      <c r="E151">
        <f t="shared" si="12"/>
        <v>54.999999999999716</v>
      </c>
      <c r="F151">
        <f t="shared" si="13"/>
        <v>0</v>
      </c>
      <c r="G151">
        <f t="shared" si="14"/>
        <v>3.5527136788005009E-9</v>
      </c>
      <c r="H151">
        <f>Main!O151</f>
        <v>5.0611319999999997</v>
      </c>
    </row>
    <row r="152" spans="1:8" x14ac:dyDescent="0.25">
      <c r="A152">
        <f>Main!$K$2</f>
        <v>0.02</v>
      </c>
      <c r="B152">
        <f>Main!Q152</f>
        <v>123.84853100561411</v>
      </c>
      <c r="C152">
        <f>Main!R152</f>
        <v>250.69322888009961</v>
      </c>
      <c r="D152">
        <f t="shared" si="11"/>
        <v>144.09999999999997</v>
      </c>
      <c r="E152">
        <f t="shared" si="12"/>
        <v>54.999999999999716</v>
      </c>
      <c r="F152">
        <f t="shared" si="13"/>
        <v>7.1054273576010019E-11</v>
      </c>
      <c r="G152">
        <f t="shared" si="14"/>
        <v>-7.1054273576010019E-9</v>
      </c>
      <c r="H152">
        <f>Main!O152</f>
        <v>5.0478310000000004</v>
      </c>
    </row>
    <row r="153" spans="1:8" x14ac:dyDescent="0.25">
      <c r="A153">
        <f>Main!$K$2</f>
        <v>0.02</v>
      </c>
      <c r="B153">
        <f>Main!Q153</f>
        <v>124.19708739496981</v>
      </c>
      <c r="C153">
        <f>Main!R153</f>
        <v>249.64991279978679</v>
      </c>
      <c r="D153">
        <f t="shared" si="11"/>
        <v>145.19999999999996</v>
      </c>
      <c r="E153">
        <f t="shared" si="12"/>
        <v>55.000000000001137</v>
      </c>
      <c r="F153">
        <f t="shared" si="13"/>
        <v>-7.1054273576010019E-11</v>
      </c>
      <c r="G153">
        <f t="shared" si="14"/>
        <v>3.5527136788005009E-9</v>
      </c>
      <c r="H153">
        <f>Main!O153</f>
        <v>5.0348160000000002</v>
      </c>
    </row>
    <row r="154" spans="1:8" x14ac:dyDescent="0.25">
      <c r="A154">
        <f>Main!$K$2</f>
        <v>0.02</v>
      </c>
      <c r="B154">
        <f>Main!Q154</f>
        <v>124.53233134442289</v>
      </c>
      <c r="C154">
        <f>Main!R154</f>
        <v>248.60224324579795</v>
      </c>
      <c r="D154">
        <f t="shared" si="11"/>
        <v>146.29999999999998</v>
      </c>
      <c r="E154">
        <f t="shared" si="12"/>
        <v>54.999999999999716</v>
      </c>
      <c r="F154">
        <f t="shared" si="13"/>
        <v>0</v>
      </c>
      <c r="G154">
        <f t="shared" si="14"/>
        <v>0</v>
      </c>
      <c r="H154">
        <f>Main!O154</f>
        <v>5.0220830000000003</v>
      </c>
    </row>
    <row r="155" spans="1:8" x14ac:dyDescent="0.25">
      <c r="A155">
        <f>Main!$K$2</f>
        <v>0.02</v>
      </c>
      <c r="B155">
        <f>Main!Q155</f>
        <v>124.85450300811124</v>
      </c>
      <c r="C155">
        <f>Main!R155</f>
        <v>247.55048024059371</v>
      </c>
      <c r="D155">
        <f t="shared" si="11"/>
        <v>147.39999999999998</v>
      </c>
      <c r="E155">
        <f t="shared" si="12"/>
        <v>54.999999999999716</v>
      </c>
      <c r="F155">
        <f t="shared" si="13"/>
        <v>0</v>
      </c>
      <c r="G155">
        <f t="shared" si="14"/>
        <v>0</v>
      </c>
      <c r="H155">
        <f>Main!O155</f>
        <v>5.0096299999999996</v>
      </c>
    </row>
    <row r="156" spans="1:8" x14ac:dyDescent="0.25">
      <c r="A156">
        <f>Main!$K$2</f>
        <v>0.02</v>
      </c>
      <c r="B156">
        <f>Main!Q156</f>
        <v>125.16384378478905</v>
      </c>
      <c r="C156">
        <f>Main!R156</f>
        <v>246.49487222438486</v>
      </c>
      <c r="D156">
        <f t="shared" si="11"/>
        <v>148.49999999999997</v>
      </c>
      <c r="E156">
        <f t="shared" si="12"/>
        <v>54.999999999999716</v>
      </c>
      <c r="F156">
        <f t="shared" si="13"/>
        <v>0</v>
      </c>
      <c r="G156">
        <f t="shared" si="14"/>
        <v>3.5527136788005009E-9</v>
      </c>
      <c r="H156">
        <f>Main!O156</f>
        <v>4.9974530000000001</v>
      </c>
    </row>
    <row r="157" spans="1:8" x14ac:dyDescent="0.25">
      <c r="A157">
        <f>Main!$K$2</f>
        <v>0.02</v>
      </c>
      <c r="B157">
        <f>Main!Q157</f>
        <v>125.46059486464314</v>
      </c>
      <c r="C157">
        <f>Main!R157</f>
        <v>245.43565610073236</v>
      </c>
      <c r="D157">
        <f t="shared" si="11"/>
        <v>149.59999999999997</v>
      </c>
      <c r="E157">
        <f t="shared" si="12"/>
        <v>54.999999999999716</v>
      </c>
      <c r="F157">
        <f t="shared" si="13"/>
        <v>7.1054273576010019E-11</v>
      </c>
      <c r="G157">
        <f t="shared" si="14"/>
        <v>-7.1054273576010019E-9</v>
      </c>
      <c r="H157">
        <f>Main!O157</f>
        <v>4.9855470000000004</v>
      </c>
    </row>
    <row r="158" spans="1:8" x14ac:dyDescent="0.25">
      <c r="A158">
        <f>Main!$K$2</f>
        <v>0.02</v>
      </c>
      <c r="B158">
        <f>Main!Q158</f>
        <v>125.74500003190937</v>
      </c>
      <c r="C158">
        <f>Main!R158</f>
        <v>244.3730584812958</v>
      </c>
      <c r="D158">
        <f t="shared" si="11"/>
        <v>150.69999999999996</v>
      </c>
      <c r="E158">
        <f t="shared" si="12"/>
        <v>55.000000000001137</v>
      </c>
      <c r="F158">
        <f t="shared" si="13"/>
        <v>-7.1054273576010019E-11</v>
      </c>
      <c r="G158">
        <f t="shared" si="14"/>
        <v>3.5527136788005009E-9</v>
      </c>
      <c r="H158">
        <f>Main!O158</f>
        <v>4.9739100000000001</v>
      </c>
    </row>
    <row r="159" spans="1:8" x14ac:dyDescent="0.25">
      <c r="A159">
        <f>Main!$K$2</f>
        <v>0.02</v>
      </c>
      <c r="B159">
        <f>Main!Q159</f>
        <v>126.01730107819228</v>
      </c>
      <c r="C159">
        <f>Main!R159</f>
        <v>243.30729483949088</v>
      </c>
      <c r="D159">
        <f t="shared" si="11"/>
        <v>151.79999999999998</v>
      </c>
      <c r="E159">
        <f t="shared" si="12"/>
        <v>54.999999999999716</v>
      </c>
      <c r="F159">
        <f t="shared" si="13"/>
        <v>0</v>
      </c>
      <c r="G159">
        <f t="shared" si="14"/>
        <v>0</v>
      </c>
      <c r="H159">
        <f>Main!O159</f>
        <v>4.9625360000000001</v>
      </c>
    </row>
    <row r="160" spans="1:8" x14ac:dyDescent="0.25">
      <c r="A160">
        <f>Main!$K$2</f>
        <v>0.02</v>
      </c>
      <c r="B160">
        <f>Main!Q160</f>
        <v>126.27773851648371</v>
      </c>
      <c r="C160">
        <f>Main!R160</f>
        <v>242.23857020669897</v>
      </c>
      <c r="D160">
        <f t="shared" si="11"/>
        <v>152.89999999999998</v>
      </c>
      <c r="E160">
        <f t="shared" si="12"/>
        <v>54.999999999999716</v>
      </c>
      <c r="F160">
        <f t="shared" si="13"/>
        <v>0</v>
      </c>
      <c r="G160">
        <f t="shared" si="14"/>
        <v>0</v>
      </c>
      <c r="H160">
        <f>Main!O160</f>
        <v>4.9514199999999997</v>
      </c>
    </row>
    <row r="161" spans="1:8" x14ac:dyDescent="0.25">
      <c r="A161">
        <f>Main!$K$2</f>
        <v>0.02</v>
      </c>
      <c r="B161">
        <f>Main!Q161</f>
        <v>126.5265512611395</v>
      </c>
      <c r="C161">
        <f>Main!R161</f>
        <v>241.16707955433804</v>
      </c>
      <c r="D161">
        <f t="shared" si="11"/>
        <v>153.99999999999997</v>
      </c>
      <c r="E161">
        <f t="shared" si="12"/>
        <v>54.999999999999716</v>
      </c>
      <c r="F161">
        <f t="shared" si="13"/>
        <v>0</v>
      </c>
      <c r="G161">
        <f t="shared" si="14"/>
        <v>3.5527136788005009E-9</v>
      </c>
      <c r="H161">
        <f>Main!O161</f>
        <v>4.9405570000000001</v>
      </c>
    </row>
    <row r="162" spans="1:8" x14ac:dyDescent="0.25">
      <c r="A162">
        <f>Main!$K$2</f>
        <v>0.02</v>
      </c>
      <c r="B162">
        <f>Main!Q162</f>
        <v>126.76397740243092</v>
      </c>
      <c r="C162">
        <f>Main!R162</f>
        <v>240.09300840798346</v>
      </c>
      <c r="D162">
        <f t="shared" si="11"/>
        <v>155.09999999999997</v>
      </c>
      <c r="E162">
        <f t="shared" si="12"/>
        <v>54.999999999999716</v>
      </c>
      <c r="F162">
        <f t="shared" si="13"/>
        <v>7.1054273576010019E-11</v>
      </c>
      <c r="G162">
        <f t="shared" si="14"/>
        <v>-7.1054273576010019E-9</v>
      </c>
      <c r="H162">
        <f>Main!O162</f>
        <v>4.9299429999999997</v>
      </c>
    </row>
    <row r="163" spans="1:8" x14ac:dyDescent="0.25">
      <c r="A163">
        <f>Main!$K$2</f>
        <v>0.02</v>
      </c>
      <c r="B163">
        <f>Main!Q163</f>
        <v>126.99025178316325</v>
      </c>
      <c r="C163">
        <f>Main!R163</f>
        <v>239.01653272101967</v>
      </c>
      <c r="D163">
        <f t="shared" si="11"/>
        <v>156.19999999999996</v>
      </c>
      <c r="E163">
        <f t="shared" si="12"/>
        <v>55.000000000001137</v>
      </c>
      <c r="F163">
        <f t="shared" si="13"/>
        <v>-7.1054273576010019E-11</v>
      </c>
      <c r="G163">
        <f t="shared" si="14"/>
        <v>3.5527136788005009E-9</v>
      </c>
      <c r="H163">
        <f>Main!O163</f>
        <v>4.9195719999999996</v>
      </c>
    </row>
    <row r="164" spans="1:8" x14ac:dyDescent="0.25">
      <c r="A164">
        <f>Main!$K$2</f>
        <v>0.02</v>
      </c>
      <c r="B164">
        <f>Main!Q164</f>
        <v>127.20560680585957</v>
      </c>
      <c r="C164">
        <f>Main!R164</f>
        <v>237.93781949953794</v>
      </c>
      <c r="D164">
        <f t="shared" si="11"/>
        <v>157.29999999999998</v>
      </c>
      <c r="E164">
        <f t="shared" si="12"/>
        <v>54.999999999999716</v>
      </c>
      <c r="F164">
        <f t="shared" si="13"/>
        <v>0</v>
      </c>
      <c r="G164">
        <f t="shared" si="14"/>
        <v>0</v>
      </c>
      <c r="H164">
        <f>Main!O164</f>
        <v>4.9094389999999999</v>
      </c>
    </row>
    <row r="165" spans="1:8" x14ac:dyDescent="0.25">
      <c r="A165">
        <f>Main!$K$2</f>
        <v>0.02</v>
      </c>
      <c r="B165">
        <f>Main!Q165</f>
        <v>127.41027110792896</v>
      </c>
      <c r="C165">
        <f>Main!R165</f>
        <v>236.85702695540263</v>
      </c>
      <c r="D165">
        <f t="shared" si="11"/>
        <v>158.39999999999998</v>
      </c>
      <c r="E165">
        <f t="shared" si="12"/>
        <v>54.999999999999716</v>
      </c>
      <c r="F165">
        <f t="shared" si="13"/>
        <v>0</v>
      </c>
      <c r="G165">
        <f t="shared" si="14"/>
        <v>0</v>
      </c>
      <c r="H165">
        <f>Main!O165</f>
        <v>4.8995379999999997</v>
      </c>
    </row>
    <row r="166" spans="1:8" x14ac:dyDescent="0.25">
      <c r="A166">
        <f>Main!$K$2</f>
        <v>0.02</v>
      </c>
      <c r="B166">
        <f>Main!Q166</f>
        <v>127.60447040919863</v>
      </c>
      <c r="C166">
        <f>Main!R166</f>
        <v>235.77430509297147</v>
      </c>
      <c r="D166">
        <f t="shared" si="11"/>
        <v>159.49999999999997</v>
      </c>
      <c r="E166">
        <f t="shared" si="12"/>
        <v>54.999999999999716</v>
      </c>
      <c r="F166">
        <f t="shared" si="13"/>
        <v>0</v>
      </c>
      <c r="G166">
        <f t="shared" si="14"/>
        <v>3.5527136788005009E-9</v>
      </c>
      <c r="H166">
        <f>Main!O166</f>
        <v>4.8898640000000002</v>
      </c>
    </row>
    <row r="167" spans="1:8" x14ac:dyDescent="0.25">
      <c r="A167">
        <f>Main!$K$2</f>
        <v>0.02</v>
      </c>
      <c r="B167">
        <f>Main!Q167</f>
        <v>127.78842621645015</v>
      </c>
      <c r="C167">
        <f>Main!R167</f>
        <v>234.68979586711009</v>
      </c>
      <c r="D167">
        <f t="shared" si="11"/>
        <v>160.59999999999997</v>
      </c>
      <c r="E167">
        <f t="shared" si="12"/>
        <v>54.999999999999716</v>
      </c>
      <c r="F167">
        <f t="shared" si="13"/>
        <v>7.1054273576010019E-11</v>
      </c>
      <c r="G167">
        <f t="shared" si="14"/>
        <v>-7.1054273576010019E-9</v>
      </c>
      <c r="H167">
        <f>Main!O167</f>
        <v>4.8804109999999996</v>
      </c>
    </row>
    <row r="168" spans="1:8" x14ac:dyDescent="0.25">
      <c r="A168">
        <f>Main!$K$2</f>
        <v>0.02</v>
      </c>
      <c r="B168">
        <f>Main!Q168</f>
        <v>127.96235779289945</v>
      </c>
      <c r="C168">
        <f>Main!R168</f>
        <v>233.60363390556208</v>
      </c>
      <c r="D168">
        <f t="shared" si="11"/>
        <v>161.69999999999996</v>
      </c>
      <c r="E168">
        <f t="shared" si="12"/>
        <v>55.000000000001137</v>
      </c>
      <c r="F168">
        <f t="shared" si="13"/>
        <v>-7.1054273576010019E-11</v>
      </c>
      <c r="G168">
        <f t="shared" si="14"/>
        <v>3.5527136788005009E-9</v>
      </c>
      <c r="H168">
        <f>Main!O168</f>
        <v>4.871175</v>
      </c>
    </row>
    <row r="169" spans="1:8" x14ac:dyDescent="0.25">
      <c r="A169">
        <f>Main!$K$2</f>
        <v>0.02</v>
      </c>
      <c r="B169">
        <f>Main!Q169</f>
        <v>128.12647871965947</v>
      </c>
      <c r="C169">
        <f>Main!R169</f>
        <v>232.51594630270935</v>
      </c>
      <c r="D169">
        <f t="shared" si="11"/>
        <v>162.79999999999998</v>
      </c>
      <c r="E169">
        <f t="shared" si="12"/>
        <v>54.999999999999716</v>
      </c>
      <c r="F169">
        <f t="shared" si="13"/>
        <v>0</v>
      </c>
      <c r="G169">
        <f t="shared" si="14"/>
        <v>-177.62499999918191</v>
      </c>
      <c r="H169">
        <f>Main!O169</f>
        <v>4.8621489999999996</v>
      </c>
    </row>
    <row r="170" spans="1:8" x14ac:dyDescent="0.25">
      <c r="A170">
        <f>Main!$K$2</f>
        <v>0.02</v>
      </c>
      <c r="B170">
        <f>Main!Q170</f>
        <v>128.28099998250516</v>
      </c>
      <c r="C170">
        <f>Main!R170</f>
        <v>231.42685347869087</v>
      </c>
      <c r="D170">
        <f t="shared" si="11"/>
        <v>163.89999999999998</v>
      </c>
      <c r="E170">
        <f t="shared" si="12"/>
        <v>54.999999999999716</v>
      </c>
      <c r="F170">
        <f t="shared" si="13"/>
        <v>-3.5524999999836382</v>
      </c>
      <c r="G170">
        <f t="shared" si="14"/>
        <v>-361.62500000003206</v>
      </c>
      <c r="H170">
        <f>Main!O170</f>
        <v>4.8533289999999996</v>
      </c>
    </row>
    <row r="171" spans="1:8" x14ac:dyDescent="0.25">
      <c r="A171">
        <f>Main!$K$2</f>
        <v>0.02</v>
      </c>
      <c r="B171">
        <f>Main!Q171</f>
        <v>128.42612764069943</v>
      </c>
      <c r="C171">
        <f>Main!R171</f>
        <v>230.33646915982573</v>
      </c>
      <c r="D171">
        <f t="shared" si="11"/>
        <v>164.99999999999997</v>
      </c>
      <c r="E171">
        <f t="shared" si="12"/>
        <v>54.928950000000043</v>
      </c>
      <c r="F171">
        <f t="shared" si="13"/>
        <v>-10.784999999984279</v>
      </c>
      <c r="G171">
        <f t="shared" si="14"/>
        <v>-367.62500000264708</v>
      </c>
      <c r="H171">
        <f>Main!O171</f>
        <v>4.8447089999999999</v>
      </c>
    </row>
    <row r="172" spans="1:8" x14ac:dyDescent="0.25">
      <c r="A172">
        <f>Main!$K$2</f>
        <v>0.02</v>
      </c>
      <c r="B172">
        <f>Main!Q172</f>
        <v>128.56190015605827</v>
      </c>
      <c r="C172">
        <f>Main!R172</f>
        <v>229.2463124539737</v>
      </c>
      <c r="D172">
        <f t="shared" si="11"/>
        <v>166.09857899999997</v>
      </c>
      <c r="E172">
        <f t="shared" si="12"/>
        <v>54.713250000000357</v>
      </c>
      <c r="F172">
        <f t="shared" si="13"/>
        <v>-18.137500000037221</v>
      </c>
      <c r="G172">
        <f t="shared" si="14"/>
        <v>-367.49999999585725</v>
      </c>
      <c r="H172">
        <f>Main!O172</f>
        <v>4.8362949999999998</v>
      </c>
    </row>
    <row r="173" spans="1:8" x14ac:dyDescent="0.25">
      <c r="A173">
        <f>Main!$K$2</f>
        <v>0.02</v>
      </c>
      <c r="B173">
        <f>Main!Q173</f>
        <v>128.6882384878557</v>
      </c>
      <c r="C173">
        <f>Main!R173</f>
        <v>228.15936511571684</v>
      </c>
      <c r="D173">
        <f t="shared" si="11"/>
        <v>167.19284399999998</v>
      </c>
      <c r="E173">
        <f t="shared" si="12"/>
        <v>54.350499999999613</v>
      </c>
      <c r="F173">
        <f t="shared" si="13"/>
        <v>-25.487499999954366</v>
      </c>
      <c r="G173">
        <f t="shared" si="14"/>
        <v>-367.7500000058842</v>
      </c>
      <c r="H173">
        <f>Main!O173</f>
        <v>4.8281020000000003</v>
      </c>
    </row>
    <row r="174" spans="1:8" x14ac:dyDescent="0.25">
      <c r="A174">
        <f>Main!$K$2</f>
        <v>0.02</v>
      </c>
      <c r="B174">
        <f>Main!Q174</f>
        <v>128.80514273288185</v>
      </c>
      <c r="C174">
        <f>Main!R174</f>
        <v>227.07865972681807</v>
      </c>
      <c r="D174">
        <f t="shared" si="11"/>
        <v>168.27985399999997</v>
      </c>
      <c r="E174">
        <f t="shared" si="12"/>
        <v>53.840750000000526</v>
      </c>
      <c r="F174">
        <f t="shared" si="13"/>
        <v>-32.84250000007205</v>
      </c>
      <c r="G174">
        <f t="shared" si="14"/>
        <v>-367.62499999198894</v>
      </c>
      <c r="H174">
        <f>Main!O174</f>
        <v>4.820144</v>
      </c>
    </row>
    <row r="175" spans="1:8" x14ac:dyDescent="0.25">
      <c r="A175">
        <f>Main!$K$2</f>
        <v>0.02</v>
      </c>
      <c r="B175">
        <f>Main!Q175</f>
        <v>128.91269308892944</v>
      </c>
      <c r="C175">
        <f>Main!R175</f>
        <v>226.0072291573741</v>
      </c>
      <c r="D175">
        <f t="shared" si="11"/>
        <v>169.35666899999998</v>
      </c>
      <c r="E175">
        <f t="shared" si="12"/>
        <v>53.183899999999085</v>
      </c>
      <c r="F175">
        <f t="shared" si="13"/>
        <v>-40.194999999911829</v>
      </c>
      <c r="G175">
        <f t="shared" si="14"/>
        <v>-367.75000000943692</v>
      </c>
      <c r="H175">
        <f>Main!O175</f>
        <v>4.8124339999999997</v>
      </c>
    </row>
    <row r="176" spans="1:8" x14ac:dyDescent="0.25">
      <c r="A176">
        <f>Main!$K$2</f>
        <v>0.02</v>
      </c>
      <c r="B176">
        <f>Main!Q176</f>
        <v>129.0110415749015</v>
      </c>
      <c r="C176">
        <f>Main!R176</f>
        <v>224.94810760486422</v>
      </c>
      <c r="D176">
        <f t="shared" si="11"/>
        <v>170.42034699999996</v>
      </c>
      <c r="E176">
        <f t="shared" si="12"/>
        <v>52.380000000000848</v>
      </c>
      <c r="F176">
        <f t="shared" si="13"/>
        <v>-47.550000000100567</v>
      </c>
      <c r="G176">
        <f t="shared" si="14"/>
        <v>-367.49999998875182</v>
      </c>
      <c r="H176">
        <f>Main!O176</f>
        <v>4.8049819999999999</v>
      </c>
    </row>
    <row r="177" spans="1:8" x14ac:dyDescent="0.25">
      <c r="A177">
        <f>Main!$K$2</f>
        <v>0.02</v>
      </c>
      <c r="B177">
        <f>Main!Q177</f>
        <v>129.10040836569954</v>
      </c>
      <c r="C177">
        <f>Main!R177</f>
        <v>223.90432633625355</v>
      </c>
      <c r="D177">
        <f t="shared" si="11"/>
        <v>171.46794699999998</v>
      </c>
      <c r="E177">
        <f t="shared" si="12"/>
        <v>51.428999999998837</v>
      </c>
      <c r="F177">
        <f t="shared" si="13"/>
        <v>-54.899999999875604</v>
      </c>
      <c r="G177">
        <f t="shared" si="14"/>
        <v>-367.75000000943692</v>
      </c>
      <c r="H177">
        <f>Main!O177</f>
        <v>4.7977990000000004</v>
      </c>
    </row>
    <row r="178" spans="1:8" x14ac:dyDescent="0.25">
      <c r="A178">
        <f>Main!$K$2</f>
        <v>0.02</v>
      </c>
      <c r="B178">
        <f>Main!Q178</f>
        <v>129.1810731160399</v>
      </c>
      <c r="C178">
        <f>Main!R178</f>
        <v>222.87891421693152</v>
      </c>
      <c r="D178">
        <f t="shared" si="11"/>
        <v>172.49652699999996</v>
      </c>
      <c r="E178">
        <f t="shared" si="12"/>
        <v>50.331000000001325</v>
      </c>
      <c r="F178">
        <f t="shared" si="13"/>
        <v>-62.255000000064342</v>
      </c>
      <c r="G178">
        <f t="shared" si="14"/>
        <v>-367.62499999909437</v>
      </c>
      <c r="H178">
        <f>Main!O178</f>
        <v>4.7908929999999996</v>
      </c>
    </row>
    <row r="179" spans="1:8" x14ac:dyDescent="0.25">
      <c r="A179">
        <f>Main!$K$2</f>
        <v>0.02</v>
      </c>
      <c r="B179">
        <f>Main!Q179</f>
        <v>129.25336970225055</v>
      </c>
      <c r="C179">
        <f>Main!R179</f>
        <v>221.87489378485739</v>
      </c>
      <c r="D179">
        <f t="shared" si="11"/>
        <v>173.50314699999998</v>
      </c>
      <c r="E179">
        <f t="shared" si="12"/>
        <v>49.085900000000038</v>
      </c>
      <c r="F179">
        <f t="shared" si="13"/>
        <v>-69.60750000004623</v>
      </c>
      <c r="G179">
        <f t="shared" si="14"/>
        <v>-367.49999999585725</v>
      </c>
      <c r="H179">
        <f>Main!O179</f>
        <v>4.7842719999999996</v>
      </c>
    </row>
    <row r="180" spans="1:8" x14ac:dyDescent="0.25">
      <c r="A180">
        <f>Main!$K$2</f>
        <v>0.02</v>
      </c>
      <c r="B180">
        <f>Main!Q180</f>
        <v>129.3176772211215</v>
      </c>
      <c r="C180">
        <f>Main!R180</f>
        <v>220.89528428381084</v>
      </c>
      <c r="D180">
        <f t="shared" si="11"/>
        <v>174.48486499999999</v>
      </c>
      <c r="E180">
        <f t="shared" si="12"/>
        <v>47.693749999999113</v>
      </c>
      <c r="F180">
        <f t="shared" si="13"/>
        <v>-76.957499999963375</v>
      </c>
      <c r="G180">
        <f t="shared" si="14"/>
        <v>-367.8750000020159</v>
      </c>
      <c r="H180">
        <f>Main!O180</f>
        <v>4.7779410000000002</v>
      </c>
    </row>
    <row r="181" spans="1:8" x14ac:dyDescent="0.25">
      <c r="A181">
        <f>Main!$K$2</f>
        <v>0.02</v>
      </c>
      <c r="B181">
        <f>Main!Q181</f>
        <v>129.37441741162269</v>
      </c>
      <c r="C181">
        <f>Main!R181</f>
        <v>219.94309834272221</v>
      </c>
      <c r="D181">
        <f t="shared" si="11"/>
        <v>175.43873999999997</v>
      </c>
      <c r="E181">
        <f t="shared" si="12"/>
        <v>46.154599999999846</v>
      </c>
      <c r="F181">
        <f t="shared" si="13"/>
        <v>-84.315000000003693</v>
      </c>
      <c r="G181">
        <f t="shared" si="14"/>
        <v>-367.49999999940997</v>
      </c>
      <c r="H181">
        <f>Main!O181</f>
        <v>4.7719079999999998</v>
      </c>
    </row>
    <row r="182" spans="1:8" x14ac:dyDescent="0.25">
      <c r="A182">
        <f>Main!$K$2</f>
        <v>0.02</v>
      </c>
      <c r="B182">
        <f>Main!Q182</f>
        <v>129.42404384248417</v>
      </c>
      <c r="C182">
        <f>Main!R182</f>
        <v>219.02134129348204</v>
      </c>
      <c r="D182">
        <f t="shared" si="11"/>
        <v>176.36183199999996</v>
      </c>
      <c r="E182">
        <f t="shared" si="12"/>
        <v>44.468299999999772</v>
      </c>
      <c r="F182">
        <f t="shared" si="13"/>
        <v>-91.664999999991892</v>
      </c>
      <c r="G182">
        <f t="shared" si="14"/>
        <v>-367.74999999877878</v>
      </c>
      <c r="H182">
        <f>Main!O182</f>
        <v>4.7661759999999997</v>
      </c>
    </row>
    <row r="183" spans="1:8" x14ac:dyDescent="0.25">
      <c r="A183">
        <f>Main!$K$2</f>
        <v>0.02</v>
      </c>
      <c r="B183">
        <f>Main!Q183</f>
        <v>129.46703950220248</v>
      </c>
      <c r="C183">
        <f>Main!R183</f>
        <v>218.13301519614987</v>
      </c>
      <c r="D183">
        <f t="shared" si="11"/>
        <v>177.25119799999996</v>
      </c>
      <c r="E183">
        <f t="shared" si="12"/>
        <v>42.634999999999934</v>
      </c>
      <c r="F183">
        <f t="shared" si="13"/>
        <v>-99.019999999967467</v>
      </c>
      <c r="G183">
        <f t="shared" si="14"/>
        <v>-367.50000000296268</v>
      </c>
      <c r="H183">
        <f>Main!O183</f>
        <v>4.7607520000000001</v>
      </c>
    </row>
    <row r="184" spans="1:8" x14ac:dyDescent="0.25">
      <c r="A184">
        <f>Main!$K$2</f>
        <v>0.02</v>
      </c>
      <c r="B184">
        <f>Main!Q184</f>
        <v>129.50390729748997</v>
      </c>
      <c r="C184">
        <f>Main!R184</f>
        <v>217.28111258688597</v>
      </c>
      <c r="D184">
        <f t="shared" si="11"/>
        <v>178.10389799999996</v>
      </c>
      <c r="E184">
        <f t="shared" si="12"/>
        <v>40.654600000000585</v>
      </c>
      <c r="F184">
        <f t="shared" si="13"/>
        <v>-106.37000000002672</v>
      </c>
      <c r="G184">
        <f t="shared" si="14"/>
        <v>-367.87499999846318</v>
      </c>
      <c r="H184">
        <f>Main!O184</f>
        <v>4.7556390000000004</v>
      </c>
    </row>
    <row r="185" spans="1:8" x14ac:dyDescent="0.25">
      <c r="A185">
        <f>Main!$K$2</f>
        <v>0.02</v>
      </c>
      <c r="B185">
        <f>Main!Q185</f>
        <v>129.53516543555793</v>
      </c>
      <c r="C185">
        <f>Main!R185</f>
        <v>216.46862164584815</v>
      </c>
      <c r="D185">
        <f t="shared" si="11"/>
        <v>178.91698999999997</v>
      </c>
      <c r="E185">
        <f t="shared" si="12"/>
        <v>38.52720000000005</v>
      </c>
      <c r="F185">
        <f t="shared" si="13"/>
        <v>-113.72749999999598</v>
      </c>
      <c r="G185">
        <f t="shared" si="14"/>
        <v>-367.37499999972556</v>
      </c>
      <c r="H185">
        <f>Main!O185</f>
        <v>4.7508419999999996</v>
      </c>
    </row>
    <row r="186" spans="1:8" x14ac:dyDescent="0.25">
      <c r="A186">
        <f>Main!$K$2</f>
        <v>0.02</v>
      </c>
      <c r="B186">
        <f>Main!Q186</f>
        <v>129.56134041700292</v>
      </c>
      <c r="C186">
        <f>Main!R186</f>
        <v>215.69852234946984</v>
      </c>
      <c r="D186">
        <f t="shared" si="11"/>
        <v>179.68753399999997</v>
      </c>
      <c r="E186">
        <f t="shared" si="12"/>
        <v>36.252650000000131</v>
      </c>
      <c r="F186">
        <f t="shared" si="13"/>
        <v>-121.0749999999905</v>
      </c>
      <c r="G186">
        <f t="shared" si="14"/>
        <v>-190.12500000314958</v>
      </c>
      <c r="H186">
        <f>Main!O186</f>
        <v>4.7463649999999999</v>
      </c>
    </row>
    <row r="187" spans="1:8" x14ac:dyDescent="0.25">
      <c r="A187">
        <f>Main!$K$2</f>
        <v>0.02</v>
      </c>
      <c r="B187">
        <f>Main!Q187</f>
        <v>129.58296120638278</v>
      </c>
      <c r="C187">
        <f>Main!R187</f>
        <v>214.97379178279309</v>
      </c>
      <c r="D187">
        <f t="shared" si="11"/>
        <v>180.41258699999997</v>
      </c>
      <c r="E187">
        <f t="shared" si="12"/>
        <v>33.831150000000321</v>
      </c>
      <c r="F187">
        <f t="shared" si="13"/>
        <v>-124.87750000005349</v>
      </c>
      <c r="G187">
        <f t="shared" si="14"/>
        <v>-6.249999994878408</v>
      </c>
      <c r="H187">
        <f>Main!O187</f>
        <v>4.7422129999999996</v>
      </c>
    </row>
    <row r="188" spans="1:8" x14ac:dyDescent="0.25">
      <c r="A188">
        <f>Main!$K$2</f>
        <v>0.02</v>
      </c>
      <c r="B188">
        <f>Main!Q188</f>
        <v>129.60055278845175</v>
      </c>
      <c r="C188">
        <f>Main!R188</f>
        <v>214.29739750401086</v>
      </c>
      <c r="D188">
        <f t="shared" si="11"/>
        <v>181.08920999999998</v>
      </c>
      <c r="E188">
        <f t="shared" si="12"/>
        <v>31.333599999999251</v>
      </c>
      <c r="F188">
        <f t="shared" si="13"/>
        <v>-125.00249999995106</v>
      </c>
      <c r="G188">
        <f t="shared" si="14"/>
        <v>0.249999995816097</v>
      </c>
      <c r="H188">
        <f>Main!O188</f>
        <v>4.738391</v>
      </c>
    </row>
    <row r="189" spans="1:8" x14ac:dyDescent="0.25">
      <c r="A189">
        <f>Main!$K$2</f>
        <v>0.02</v>
      </c>
      <c r="B189">
        <f>Main!Q189</f>
        <v>129.61465486364023</v>
      </c>
      <c r="C189">
        <f>Main!R189</f>
        <v>213.67088419444804</v>
      </c>
      <c r="D189">
        <f t="shared" si="11"/>
        <v>181.71588199999997</v>
      </c>
      <c r="E189">
        <f t="shared" si="12"/>
        <v>28.83355000000023</v>
      </c>
      <c r="F189">
        <f t="shared" si="13"/>
        <v>-124.99750000003473</v>
      </c>
      <c r="G189">
        <f t="shared" si="14"/>
        <v>-0.12499999613169166</v>
      </c>
      <c r="H189">
        <f>Main!O189</f>
        <v>4.7348939999999997</v>
      </c>
    </row>
    <row r="190" spans="1:8" x14ac:dyDescent="0.25">
      <c r="A190">
        <f>Main!$K$2</f>
        <v>0.02</v>
      </c>
      <c r="B190">
        <f>Main!Q190</f>
        <v>129.62579777183234</v>
      </c>
      <c r="C190">
        <f>Main!R190</f>
        <v>213.09432086068665</v>
      </c>
      <c r="D190">
        <f t="shared" si="11"/>
        <v>182.29255299999997</v>
      </c>
      <c r="E190">
        <f t="shared" si="12"/>
        <v>26.333599999999535</v>
      </c>
      <c r="F190">
        <f t="shared" si="13"/>
        <v>-124.99999999995737</v>
      </c>
      <c r="G190">
        <f t="shared" si="14"/>
        <v>-3.5527136788005009E-9</v>
      </c>
      <c r="H190">
        <f>Main!O190</f>
        <v>4.7317130000000001</v>
      </c>
    </row>
    <row r="191" spans="1:8" x14ac:dyDescent="0.25">
      <c r="A191">
        <f>Main!$K$2</f>
        <v>0.02</v>
      </c>
      <c r="B191">
        <f>Main!Q191</f>
        <v>129.63446009262663</v>
      </c>
      <c r="C191">
        <f>Main!R191</f>
        <v>212.56772010130393</v>
      </c>
      <c r="D191">
        <f t="shared" si="11"/>
        <v>182.81922499999996</v>
      </c>
      <c r="E191">
        <f t="shared" si="12"/>
        <v>23.833600000000388</v>
      </c>
      <c r="F191">
        <f t="shared" si="13"/>
        <v>-125.00000000002842</v>
      </c>
      <c r="G191">
        <f t="shared" si="14"/>
        <v>177.62500000273462</v>
      </c>
      <c r="H191">
        <f>Main!O191</f>
        <v>4.7288370000000004</v>
      </c>
    </row>
    <row r="192" spans="1:8" x14ac:dyDescent="0.25">
      <c r="A192">
        <f>Main!$K$2</f>
        <v>0.02</v>
      </c>
      <c r="B192">
        <f>Main!Q192</f>
        <v>129.64107180726256</v>
      </c>
      <c r="C192">
        <f>Main!R192</f>
        <v>212.09109395765088</v>
      </c>
      <c r="D192">
        <f t="shared" si="11"/>
        <v>183.29589699999997</v>
      </c>
      <c r="E192">
        <f t="shared" si="12"/>
        <v>21.333599999999819</v>
      </c>
      <c r="F192">
        <f t="shared" si="13"/>
        <v>-121.44749999997373</v>
      </c>
      <c r="G192">
        <f t="shared" si="14"/>
        <v>361.49999999679494</v>
      </c>
      <c r="H192">
        <f>Main!O192</f>
        <v>4.7262599999999999</v>
      </c>
    </row>
    <row r="193" spans="1:8" x14ac:dyDescent="0.25">
      <c r="A193">
        <f>Main!$K$2</f>
        <v>0.02</v>
      </c>
      <c r="B193">
        <f>Main!Q193</f>
        <v>129.64601384689689</v>
      </c>
      <c r="C193">
        <f>Main!R193</f>
        <v>211.66445057984191</v>
      </c>
      <c r="D193">
        <f t="shared" si="11"/>
        <v>183.72256899999996</v>
      </c>
      <c r="E193">
        <f t="shared" si="12"/>
        <v>18.904650000000345</v>
      </c>
      <c r="F193">
        <f t="shared" si="13"/>
        <v>-114.21750000003783</v>
      </c>
      <c r="G193">
        <f t="shared" si="14"/>
        <v>367.87500000556861</v>
      </c>
      <c r="H193">
        <f>Main!O193</f>
        <v>4.7239719999999998</v>
      </c>
    </row>
    <row r="194" spans="1:8" x14ac:dyDescent="0.25">
      <c r="A194">
        <f>Main!$K$2</f>
        <v>0.02</v>
      </c>
      <c r="B194">
        <f>Main!Q194</f>
        <v>129.64963252716785</v>
      </c>
      <c r="C194">
        <f>Main!R194</f>
        <v>211.28637489720404</v>
      </c>
      <c r="D194">
        <f t="shared" si="11"/>
        <v>184.10066199999997</v>
      </c>
      <c r="E194">
        <f t="shared" si="12"/>
        <v>16.620299999999588</v>
      </c>
      <c r="F194">
        <f t="shared" si="13"/>
        <v>-106.85999999992646</v>
      </c>
      <c r="G194">
        <f t="shared" si="14"/>
        <v>367.37499999262013</v>
      </c>
      <c r="H194">
        <f>Main!O194</f>
        <v>4.7219600000000002</v>
      </c>
    </row>
    <row r="195" spans="1:8" x14ac:dyDescent="0.25">
      <c r="A195">
        <f>Main!$K$2</f>
        <v>0.02</v>
      </c>
      <c r="B195">
        <f>Main!Q195</f>
        <v>129.65222992773951</v>
      </c>
      <c r="C195">
        <f>Main!R195</f>
        <v>210.95397904532518</v>
      </c>
      <c r="D195">
        <f t="shared" si="11"/>
        <v>184.43306799999996</v>
      </c>
      <c r="E195">
        <f t="shared" si="12"/>
        <v>14.483100000001059</v>
      </c>
      <c r="F195">
        <f t="shared" si="13"/>
        <v>-99.512500000074056</v>
      </c>
      <c r="G195">
        <f t="shared" si="14"/>
        <v>367.62500000264708</v>
      </c>
      <c r="H195">
        <f>Main!O195</f>
        <v>4.7202029999999997</v>
      </c>
    </row>
    <row r="196" spans="1:8" x14ac:dyDescent="0.25">
      <c r="A196">
        <f>Main!$K$2</f>
        <v>0.02</v>
      </c>
      <c r="B196">
        <f>Main!Q196</f>
        <v>129.65405247469965</v>
      </c>
      <c r="C196">
        <f>Main!R196</f>
        <v>210.6643227790947</v>
      </c>
      <c r="D196">
        <f t="shared" si="11"/>
        <v>184.72272999999998</v>
      </c>
      <c r="E196">
        <f t="shared" si="12"/>
        <v>12.492849999999578</v>
      </c>
      <c r="F196">
        <f t="shared" si="13"/>
        <v>-92.160000000021114</v>
      </c>
      <c r="G196">
        <f t="shared" si="14"/>
        <v>368.00000000525301</v>
      </c>
      <c r="H196">
        <f>Main!O196</f>
        <v>4.7186810000000001</v>
      </c>
    </row>
    <row r="197" spans="1:8" x14ac:dyDescent="0.25">
      <c r="A197">
        <f>Main!$K$2</f>
        <v>0.02</v>
      </c>
      <c r="B197">
        <f>Main!Q197</f>
        <v>129.65529801158698</v>
      </c>
      <c r="C197">
        <f>Main!R197</f>
        <v>210.41446888361403</v>
      </c>
      <c r="D197">
        <f t="shared" ref="D197:D211" si="15">D196 + SQRT( (B197-B196)^2  + (C197-C196)^2 )</f>
        <v>184.97258699999998</v>
      </c>
      <c r="E197">
        <f t="shared" ref="E197:E211" si="16" xml:space="preserve"> IF(ISBLANK(D198), 0, (D198-D197)/$A197 )</f>
        <v>10.649649999999156</v>
      </c>
      <c r="F197">
        <f t="shared" ref="F197:F211" si="17" xml:space="preserve"> (E198-E197)/$A197</f>
        <v>-84.799999999916054</v>
      </c>
      <c r="G197">
        <f t="shared" ref="G197:G211" si="18" xml:space="preserve"> (F198-F197)/$A197</f>
        <v>367.24999999293573</v>
      </c>
      <c r="H197">
        <f>Main!O197</f>
        <v>4.7173740000000004</v>
      </c>
    </row>
    <row r="198" spans="1:8" x14ac:dyDescent="0.25">
      <c r="A198">
        <f>Main!$K$2</f>
        <v>0.02</v>
      </c>
      <c r="B198">
        <f>Main!Q198</f>
        <v>129.65612357456575</v>
      </c>
      <c r="C198">
        <f>Main!R198</f>
        <v>210.20147748356521</v>
      </c>
      <c r="D198">
        <f t="shared" si="15"/>
        <v>185.18557999999996</v>
      </c>
      <c r="E198">
        <f t="shared" si="16"/>
        <v>8.9536500000008346</v>
      </c>
      <c r="F198">
        <f t="shared" si="17"/>
        <v>-77.455000000057339</v>
      </c>
      <c r="G198">
        <f t="shared" si="18"/>
        <v>367.87500000556861</v>
      </c>
      <c r="H198">
        <f>Main!O198</f>
        <v>4.7162649999999999</v>
      </c>
    </row>
    <row r="199" spans="1:8" x14ac:dyDescent="0.25">
      <c r="A199">
        <f>Main!$K$2</f>
        <v>0.02</v>
      </c>
      <c r="B199">
        <f>Main!Q199</f>
        <v>129.65665130544545</v>
      </c>
      <c r="C199">
        <f>Main!R199</f>
        <v>210.0224052611824</v>
      </c>
      <c r="D199">
        <f t="shared" si="15"/>
        <v>185.36465299999998</v>
      </c>
      <c r="E199">
        <f t="shared" si="16"/>
        <v>7.4045499999996878</v>
      </c>
      <c r="F199">
        <f t="shared" si="17"/>
        <v>-70.097499999945967</v>
      </c>
      <c r="G199">
        <f t="shared" si="18"/>
        <v>367.49999999230454</v>
      </c>
      <c r="H199">
        <f>Main!O199</f>
        <v>4.7153359999999997</v>
      </c>
    </row>
    <row r="200" spans="1:8" x14ac:dyDescent="0.25">
      <c r="A200">
        <f>Main!$K$2</f>
        <v>0.02</v>
      </c>
      <c r="B200">
        <f>Main!Q200</f>
        <v>129.65697444265589</v>
      </c>
      <c r="C200">
        <f>Main!R200</f>
        <v>209.87431461372842</v>
      </c>
      <c r="D200">
        <f t="shared" si="15"/>
        <v>185.51274399999997</v>
      </c>
      <c r="E200">
        <f t="shared" si="16"/>
        <v>6.0026000000007684</v>
      </c>
      <c r="F200">
        <f t="shared" si="17"/>
        <v>-62.747500000099876</v>
      </c>
      <c r="G200">
        <f t="shared" si="18"/>
        <v>367.87500000912132</v>
      </c>
      <c r="H200">
        <f>Main!O200</f>
        <v>4.7145710000000003</v>
      </c>
    </row>
    <row r="201" spans="1:8" x14ac:dyDescent="0.25">
      <c r="A201">
        <f>Main!$K$2</f>
        <v>0.02</v>
      </c>
      <c r="B201">
        <f>Main!Q201</f>
        <v>129.6571619661585</v>
      </c>
      <c r="C201">
        <f>Main!R201</f>
        <v>209.75426276018612</v>
      </c>
      <c r="D201">
        <f t="shared" si="15"/>
        <v>185.63279599999998</v>
      </c>
      <c r="E201">
        <f t="shared" si="16"/>
        <v>4.7476499999987709</v>
      </c>
      <c r="F201">
        <f t="shared" si="17"/>
        <v>-55.38999999991745</v>
      </c>
      <c r="G201">
        <f t="shared" si="18"/>
        <v>367.37499999617285</v>
      </c>
      <c r="H201">
        <f>Main!O201</f>
        <v>4.7139509999999998</v>
      </c>
    </row>
    <row r="202" spans="1:8" x14ac:dyDescent="0.25">
      <c r="A202">
        <f>Main!$K$2</f>
        <v>0.02</v>
      </c>
      <c r="B202">
        <f>Main!Q202</f>
        <v>129.65726385257048</v>
      </c>
      <c r="C202">
        <f>Main!R202</f>
        <v>209.65930981484922</v>
      </c>
      <c r="D202">
        <f t="shared" si="15"/>
        <v>185.72774899999996</v>
      </c>
      <c r="E202">
        <f t="shared" si="16"/>
        <v>3.6398500000004219</v>
      </c>
      <c r="F202">
        <f t="shared" si="17"/>
        <v>-48.042499999993993</v>
      </c>
      <c r="G202">
        <f t="shared" si="18"/>
        <v>367.87499999846318</v>
      </c>
      <c r="H202">
        <f>Main!O202</f>
        <v>4.7134619999999998</v>
      </c>
    </row>
    <row r="203" spans="1:8" x14ac:dyDescent="0.25">
      <c r="A203">
        <f>Main!$K$2</f>
        <v>0.02</v>
      </c>
      <c r="B203">
        <f>Main!Q203</f>
        <v>129.65731473909727</v>
      </c>
      <c r="C203">
        <f>Main!R203</f>
        <v>209.58651283263455</v>
      </c>
      <c r="D203">
        <f t="shared" si="15"/>
        <v>185.80054599999997</v>
      </c>
      <c r="E203">
        <f t="shared" si="16"/>
        <v>2.6790000000005421</v>
      </c>
      <c r="F203">
        <f t="shared" si="17"/>
        <v>-40.685000000024729</v>
      </c>
      <c r="G203">
        <f t="shared" si="18"/>
        <v>367.49999999940997</v>
      </c>
      <c r="H203">
        <f>Main!O203</f>
        <v>4.7130879999999999</v>
      </c>
    </row>
    <row r="204" spans="1:8" x14ac:dyDescent="0.25">
      <c r="A204">
        <f>Main!$K$2</f>
        <v>0.02</v>
      </c>
      <c r="B204">
        <f>Main!Q204</f>
        <v>129.65733745806759</v>
      </c>
      <c r="C204">
        <f>Main!R204</f>
        <v>209.5329328374512</v>
      </c>
      <c r="D204">
        <f t="shared" si="15"/>
        <v>185.85412599999998</v>
      </c>
      <c r="E204">
        <f t="shared" si="16"/>
        <v>1.8653000000000475</v>
      </c>
      <c r="F204">
        <f t="shared" si="17"/>
        <v>-33.33500000003653</v>
      </c>
      <c r="G204">
        <f t="shared" si="18"/>
        <v>367.62500000264708</v>
      </c>
      <c r="H204">
        <f>Main!O204</f>
        <v>4.7128129999999997</v>
      </c>
    </row>
    <row r="205" spans="1:8" x14ac:dyDescent="0.25">
      <c r="A205">
        <f>Main!$K$2</f>
        <v>0.02</v>
      </c>
      <c r="B205">
        <f>Main!Q205</f>
        <v>129.65734615109727</v>
      </c>
      <c r="C205">
        <f>Main!R205</f>
        <v>209.49562683846403</v>
      </c>
      <c r="D205">
        <f t="shared" si="15"/>
        <v>185.89143199999998</v>
      </c>
      <c r="E205">
        <f t="shared" si="16"/>
        <v>1.1985999999993169</v>
      </c>
      <c r="F205">
        <f t="shared" si="17"/>
        <v>-25.982499999983588</v>
      </c>
      <c r="G205">
        <f t="shared" si="18"/>
        <v>367.75000000233149</v>
      </c>
      <c r="H205">
        <f>Main!O205</f>
        <v>4.7126219999999996</v>
      </c>
    </row>
    <row r="206" spans="1:8" x14ac:dyDescent="0.25">
      <c r="A206">
        <f>Main!$K$2</f>
        <v>0.02</v>
      </c>
      <c r="B206">
        <f>Main!Q206</f>
        <v>129.6573487884875</v>
      </c>
      <c r="C206">
        <f>Main!R206</f>
        <v>209.47165483860914</v>
      </c>
      <c r="D206">
        <f t="shared" si="15"/>
        <v>185.91540399999997</v>
      </c>
      <c r="E206">
        <f t="shared" si="16"/>
        <v>0.67894999999964512</v>
      </c>
      <c r="F206">
        <f t="shared" si="17"/>
        <v>-18.627499999936958</v>
      </c>
      <c r="G206">
        <f t="shared" si="18"/>
        <v>367.62499999554166</v>
      </c>
      <c r="H206">
        <f>Main!O206</f>
        <v>4.7124990000000002</v>
      </c>
    </row>
    <row r="207" spans="1:8" x14ac:dyDescent="0.25">
      <c r="A207">
        <f>Main!$K$2</f>
        <v>0.02</v>
      </c>
      <c r="B207">
        <f>Main!Q207</f>
        <v>129.65734933191385</v>
      </c>
      <c r="C207">
        <f>Main!R207</f>
        <v>209.45807583862003</v>
      </c>
      <c r="D207">
        <f t="shared" si="15"/>
        <v>185.92898299999996</v>
      </c>
      <c r="E207">
        <f t="shared" si="16"/>
        <v>0.30640000000090595</v>
      </c>
      <c r="F207">
        <f t="shared" si="17"/>
        <v>-11.275000000026125</v>
      </c>
      <c r="G207">
        <f t="shared" si="18"/>
        <v>367.62499999909437</v>
      </c>
      <c r="H207">
        <f>Main!O207</f>
        <v>4.7124290000000002</v>
      </c>
    </row>
    <row r="208" spans="1:8" x14ac:dyDescent="0.25">
      <c r="A208">
        <f>Main!$K$2</f>
        <v>0.02</v>
      </c>
      <c r="B208">
        <f>Main!Q208</f>
        <v>129.65734938718606</v>
      </c>
      <c r="C208">
        <f>Main!R208</f>
        <v>209.45194783862027</v>
      </c>
      <c r="D208">
        <f t="shared" si="15"/>
        <v>185.93511099999998</v>
      </c>
      <c r="E208">
        <f t="shared" si="16"/>
        <v>8.0900000000383443E-2</v>
      </c>
      <c r="F208">
        <f t="shared" si="17"/>
        <v>-3.9225000000442378</v>
      </c>
      <c r="G208">
        <f t="shared" si="18"/>
        <v>190.00000000346517</v>
      </c>
      <c r="H208">
        <f>Main!O208</f>
        <v>4.7123980000000003</v>
      </c>
    </row>
    <row r="209" spans="1:8" x14ac:dyDescent="0.25">
      <c r="A209">
        <f>Main!$K$2</f>
        <v>0.02</v>
      </c>
      <c r="B209">
        <f>Main!Q209</f>
        <v>129.65734938721781</v>
      </c>
      <c r="C209">
        <f>Main!R209</f>
        <v>209.45032983862026</v>
      </c>
      <c r="D209">
        <f t="shared" si="15"/>
        <v>185.93672899999999</v>
      </c>
      <c r="E209">
        <f t="shared" si="16"/>
        <v>2.4499999994986865E-3</v>
      </c>
      <c r="F209">
        <f t="shared" si="17"/>
        <v>-0.12249999997493433</v>
      </c>
      <c r="G209">
        <f t="shared" si="18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Main!Q210</f>
        <v>129.65734938721877</v>
      </c>
      <c r="C210">
        <f>Main!R210</f>
        <v>209.45028083862027</v>
      </c>
      <c r="D210">
        <f t="shared" si="15"/>
        <v>185.93677799999998</v>
      </c>
      <c r="E210">
        <f t="shared" si="16"/>
        <v>0</v>
      </c>
      <c r="F210">
        <f t="shared" si="17"/>
        <v>0</v>
      </c>
      <c r="G210">
        <f t="shared" si="18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Main!Q211</f>
        <v>129.65734938721877</v>
      </c>
      <c r="C211">
        <f>Main!R211</f>
        <v>209.45028083862027</v>
      </c>
      <c r="D211">
        <f t="shared" si="15"/>
        <v>185.93677799999998</v>
      </c>
      <c r="E211">
        <f t="shared" si="16"/>
        <v>0</v>
      </c>
      <c r="F211">
        <f t="shared" si="17"/>
        <v>0</v>
      </c>
      <c r="G211">
        <f t="shared" si="18"/>
        <v>0</v>
      </c>
      <c r="H211">
        <f>Main!O211</f>
        <v>4.7123889999999999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Main!T2</f>
        <v>-1.0773201283364657E-3</v>
      </c>
      <c r="C2">
        <f>Main!U2</f>
        <v>286.75000004379694</v>
      </c>
      <c r="D2">
        <v>0</v>
      </c>
      <c r="E2">
        <f t="shared" ref="E2:E4" si="0" xml:space="preserve"> IF(ISBLANK(D3), 0, (D3-D2)/$A2 )</f>
        <v>7.3550000000000046E-2</v>
      </c>
      <c r="F2">
        <f xml:space="preserve"> (E3-E2)/$A2</f>
        <v>11.093750000009218</v>
      </c>
      <c r="G2">
        <f xml:space="preserve"> (F3-F2)/$A2</f>
        <v>371.06249999893663</v>
      </c>
      <c r="H2">
        <f>Main!O2</f>
        <v>6.2831039999999998</v>
      </c>
    </row>
    <row r="3" spans="1:8" x14ac:dyDescent="0.25">
      <c r="A3">
        <f>Main!$K$2</f>
        <v>0.02</v>
      </c>
      <c r="B3">
        <f>Main!T3</f>
        <v>3.9367986680124869E-4</v>
      </c>
      <c r="C3">
        <f>Main!U3</f>
        <v>286.74999992419407</v>
      </c>
      <c r="D3">
        <f>D2 + SQRT( (B3-B2)^2  + (C3-C2)^2 )</f>
        <v>1.471000000000001E-3</v>
      </c>
      <c r="E3">
        <f t="shared" si="0"/>
        <v>0.2954250000001844</v>
      </c>
      <c r="F3">
        <f t="shared" ref="F3:G3" si="1" xml:space="preserve"> (E4-E3)/$A3</f>
        <v>18.51499999998795</v>
      </c>
      <c r="G3">
        <f t="shared" si="1"/>
        <v>367.74999999984084</v>
      </c>
      <c r="H3">
        <f>Main!O3</f>
        <v>6.2831039999999998</v>
      </c>
    </row>
    <row r="4" spans="1:8" x14ac:dyDescent="0.25">
      <c r="A4">
        <f>Main!$K$2</f>
        <v>0.02</v>
      </c>
      <c r="B4">
        <f>Main!T4</f>
        <v>6.3021798482216975E-3</v>
      </c>
      <c r="C4">
        <f>Main!U4</f>
        <v>286.74999945558108</v>
      </c>
      <c r="D4">
        <f t="shared" ref="D4" si="2">D3 + SQRT( (B4-B3)^2  + (C4-C3)^2 )</f>
        <v>7.3795000000036887E-3</v>
      </c>
      <c r="E4">
        <f t="shared" si="0"/>
        <v>0.66572499999994339</v>
      </c>
      <c r="F4">
        <f t="shared" ref="F4:G4" si="3" xml:space="preserve"> (E5-E4)/$A4</f>
        <v>25.869999999984767</v>
      </c>
      <c r="G4">
        <f t="shared" si="3"/>
        <v>370.68750000130188</v>
      </c>
      <c r="H4">
        <f>Main!O4</f>
        <v>6.2831060000000001</v>
      </c>
    </row>
    <row r="5" spans="1:8" x14ac:dyDescent="0.25">
      <c r="A5">
        <f>Main!$K$2</f>
        <v>0.02</v>
      </c>
      <c r="B5">
        <f>Main!T5</f>
        <v>1.9616679812427401E-2</v>
      </c>
      <c r="C5">
        <f>Main!U5</f>
        <v>286.74999847929416</v>
      </c>
      <c r="D5">
        <f t="shared" ref="D5:D68" si="4">D4 + SQRT( (B5-B4)^2  + (C5-C4)^2 )</f>
        <v>2.0694000000002558E-2</v>
      </c>
      <c r="E5">
        <f t="shared" ref="E5:E68" si="5" xml:space="preserve"> IF(ISBLANK(D6), 0, (D6-D5)/$A5 )</f>
        <v>1.1831249999996387</v>
      </c>
      <c r="F5">
        <f t="shared" ref="F5:F68" si="6" xml:space="preserve"> (E6-E5)/$A5</f>
        <v>33.283750000010805</v>
      </c>
      <c r="G5">
        <f t="shared" ref="G5:G68" si="7" xml:space="preserve"> (F6-F5)/$A5</f>
        <v>369.65624999592029</v>
      </c>
      <c r="H5">
        <f>Main!O5</f>
        <v>6.283112</v>
      </c>
    </row>
    <row r="6" spans="1:8" x14ac:dyDescent="0.25">
      <c r="A6">
        <f>Main!$K$2</f>
        <v>0.02</v>
      </c>
      <c r="B6">
        <f>Main!T6</f>
        <v>4.3279179764960957E-2</v>
      </c>
      <c r="C6">
        <f>Main!U6</f>
        <v>286.7499969806255</v>
      </c>
      <c r="D6">
        <f t="shared" si="4"/>
        <v>4.435649999999533E-2</v>
      </c>
      <c r="E6">
        <f t="shared" si="5"/>
        <v>1.8487999999998548</v>
      </c>
      <c r="F6">
        <f t="shared" si="6"/>
        <v>40.676874999929211</v>
      </c>
      <c r="G6">
        <f t="shared" si="7"/>
        <v>367.75876619026417</v>
      </c>
      <c r="H6">
        <f>Main!O6</f>
        <v>6.2831219999999997</v>
      </c>
    </row>
    <row r="7" spans="1:8" x14ac:dyDescent="0.25">
      <c r="A7">
        <f>Main!$K$2</f>
        <v>0.02</v>
      </c>
      <c r="B7">
        <f>Main!T7</f>
        <v>8.0255179723502199E-2</v>
      </c>
      <c r="C7">
        <f>Main!U7</f>
        <v>286.74999522969921</v>
      </c>
      <c r="D7">
        <f t="shared" si="4"/>
        <v>8.1332499999992425E-2</v>
      </c>
      <c r="E7">
        <f t="shared" si="5"/>
        <v>2.662337499998439</v>
      </c>
      <c r="F7">
        <f t="shared" si="6"/>
        <v>48.032050323734495</v>
      </c>
      <c r="G7">
        <f t="shared" si="7"/>
        <v>370.29496761414896</v>
      </c>
      <c r="H7">
        <f>Main!O7</f>
        <v>6.2831380000000001</v>
      </c>
    </row>
    <row r="8" spans="1:8" x14ac:dyDescent="0.25">
      <c r="A8">
        <f>Main!$K$2</f>
        <v>0.02</v>
      </c>
      <c r="B8">
        <f>Main!T8</f>
        <v>0.13350192970765556</v>
      </c>
      <c r="C8">
        <f>Main!U8</f>
        <v>286.74999393191626</v>
      </c>
      <c r="D8">
        <f t="shared" si="4"/>
        <v>0.13457924999996121</v>
      </c>
      <c r="E8">
        <f t="shared" si="5"/>
        <v>3.622978506473129</v>
      </c>
      <c r="F8">
        <f t="shared" si="6"/>
        <v>55.437949676017475</v>
      </c>
      <c r="G8">
        <f t="shared" si="7"/>
        <v>368.00876618501945</v>
      </c>
      <c r="H8">
        <f>Main!O8</f>
        <v>6.2831609999999998</v>
      </c>
    </row>
    <row r="9" spans="1:8" x14ac:dyDescent="0.25">
      <c r="A9">
        <f>Main!$K$2</f>
        <v>0.02</v>
      </c>
      <c r="B9">
        <f>Main!T9</f>
        <v>0.20596149983585013</v>
      </c>
      <c r="C9">
        <f>Main!U9</f>
        <v>286.74999436058846</v>
      </c>
      <c r="D9">
        <f t="shared" si="4"/>
        <v>0.20703882012942379</v>
      </c>
      <c r="E9">
        <f t="shared" si="5"/>
        <v>4.7317374999934785</v>
      </c>
      <c r="F9">
        <f t="shared" si="6"/>
        <v>62.798124999717864</v>
      </c>
      <c r="G9">
        <f t="shared" si="7"/>
        <v>369.15624999088942</v>
      </c>
      <c r="H9">
        <f>Main!O9</f>
        <v>6.0000000000000002E-6</v>
      </c>
    </row>
    <row r="10" spans="1:8" x14ac:dyDescent="0.25">
      <c r="A10">
        <f>Main!$K$2</f>
        <v>0.02</v>
      </c>
      <c r="B10">
        <f>Main!T10</f>
        <v>0.30059624974035493</v>
      </c>
      <c r="C10">
        <f>Main!U10</f>
        <v>286.74999860907553</v>
      </c>
      <c r="D10">
        <f t="shared" si="4"/>
        <v>0.30167357012929336</v>
      </c>
      <c r="E10">
        <f t="shared" si="5"/>
        <v>5.9876999999878358</v>
      </c>
      <c r="F10">
        <f t="shared" si="6"/>
        <v>70.181249999535652</v>
      </c>
      <c r="G10">
        <f t="shared" si="7"/>
        <v>367.99999999036714</v>
      </c>
      <c r="H10">
        <f>Main!O10</f>
        <v>4.5000000000000003E-5</v>
      </c>
    </row>
    <row r="11" spans="1:8" x14ac:dyDescent="0.25">
      <c r="A11">
        <f>Main!$K$2</f>
        <v>0.02</v>
      </c>
      <c r="B11">
        <f>Main!T11</f>
        <v>0.42035024922365405</v>
      </c>
      <c r="C11">
        <f>Main!U11</f>
        <v>286.75000973093353</v>
      </c>
      <c r="D11">
        <f t="shared" si="4"/>
        <v>0.42142757012905008</v>
      </c>
      <c r="E11">
        <f t="shared" si="5"/>
        <v>7.3913249999785489</v>
      </c>
      <c r="F11">
        <f t="shared" si="6"/>
        <v>77.541249999342995</v>
      </c>
      <c r="G11">
        <f t="shared" si="7"/>
        <v>367.24999998881884</v>
      </c>
      <c r="H11">
        <f>Main!O11</f>
        <v>9.2999999999999997E-5</v>
      </c>
    </row>
    <row r="12" spans="1:8" x14ac:dyDescent="0.25">
      <c r="A12">
        <f>Main!$K$2</f>
        <v>0.02</v>
      </c>
      <c r="B12">
        <f>Main!T12</f>
        <v>0.56817674754129255</v>
      </c>
      <c r="C12">
        <f>Main!U12</f>
        <v>286.75003203044844</v>
      </c>
      <c r="D12">
        <f t="shared" si="4"/>
        <v>0.56925407012862106</v>
      </c>
      <c r="E12">
        <f t="shared" si="5"/>
        <v>8.9421499999654088</v>
      </c>
      <c r="F12">
        <f t="shared" si="6"/>
        <v>84.886249999119372</v>
      </c>
      <c r="G12">
        <f t="shared" si="7"/>
        <v>364.68749999956526</v>
      </c>
      <c r="H12">
        <f>Main!O12</f>
        <v>1.5100000000000001E-4</v>
      </c>
    </row>
    <row r="13" spans="1:8" x14ac:dyDescent="0.25">
      <c r="A13">
        <f>Main!$K$2</f>
        <v>0.02</v>
      </c>
      <c r="B13">
        <f>Main!T13</f>
        <v>0.74701974325856235</v>
      </c>
      <c r="C13">
        <f>Main!U13</f>
        <v>286.75007116643116</v>
      </c>
      <c r="D13">
        <f t="shared" si="4"/>
        <v>0.74809707012792925</v>
      </c>
      <c r="E13">
        <f t="shared" si="5"/>
        <v>10.639874999947796</v>
      </c>
      <c r="F13">
        <f t="shared" si="6"/>
        <v>92.179999999110677</v>
      </c>
      <c r="G13">
        <f t="shared" si="7"/>
        <v>367.37499999093257</v>
      </c>
      <c r="H13">
        <f>Main!O13</f>
        <v>2.1900000000000001E-4</v>
      </c>
    </row>
    <row r="14" spans="1:8" x14ac:dyDescent="0.25">
      <c r="A14">
        <f>Main!$K$2</f>
        <v>0.02</v>
      </c>
      <c r="B14">
        <f>Main!T14</f>
        <v>0.95981723388415818</v>
      </c>
      <c r="C14">
        <f>Main!U14</f>
        <v>286.7501343269812</v>
      </c>
      <c r="D14">
        <f t="shared" si="4"/>
        <v>0.96089457012688517</v>
      </c>
      <c r="E14">
        <f t="shared" si="5"/>
        <v>12.48347499993001</v>
      </c>
      <c r="F14">
        <f t="shared" si="6"/>
        <v>99.527499998929329</v>
      </c>
      <c r="G14">
        <f t="shared" si="7"/>
        <v>362.78125001495664</v>
      </c>
      <c r="H14">
        <f>Main!O14</f>
        <v>2.9700000000000001E-4</v>
      </c>
    </row>
    <row r="15" spans="1:8" x14ac:dyDescent="0.25">
      <c r="A15">
        <f>Main!$K$2</f>
        <v>0.02</v>
      </c>
      <c r="B15">
        <f>Main!T15</f>
        <v>1.2094867155896356</v>
      </c>
      <c r="C15">
        <f>Main!U15</f>
        <v>286.75022990139882</v>
      </c>
      <c r="D15">
        <f t="shared" si="4"/>
        <v>1.2105640701254854</v>
      </c>
      <c r="E15">
        <f t="shared" si="5"/>
        <v>14.474024999908597</v>
      </c>
      <c r="F15">
        <f t="shared" si="6"/>
        <v>106.78312499922846</v>
      </c>
      <c r="G15">
        <f t="shared" si="7"/>
        <v>364.43750001358097</v>
      </c>
      <c r="H15">
        <f>Main!O15</f>
        <v>3.8299999999999999E-4</v>
      </c>
    </row>
    <row r="16" spans="1:8" x14ac:dyDescent="0.25">
      <c r="A16">
        <f>Main!$K$2</f>
        <v>0.02</v>
      </c>
      <c r="B16">
        <f>Main!T16</f>
        <v>1.4989671826831208</v>
      </c>
      <c r="C16">
        <f>Main!U16</f>
        <v>286.75036792505358</v>
      </c>
      <c r="D16">
        <f t="shared" si="4"/>
        <v>1.5000445701236573</v>
      </c>
      <c r="E16">
        <f t="shared" si="5"/>
        <v>16.609687499893166</v>
      </c>
      <c r="F16">
        <f t="shared" si="6"/>
        <v>114.07187499950008</v>
      </c>
      <c r="G16">
        <f t="shared" si="7"/>
        <v>360.87500003332309</v>
      </c>
      <c r="H16">
        <f>Main!O16</f>
        <v>4.7699999999999999E-4</v>
      </c>
    </row>
    <row r="17" spans="1:8" x14ac:dyDescent="0.25">
      <c r="A17">
        <f>Main!$K$2</f>
        <v>0.02</v>
      </c>
      <c r="B17">
        <f>Main!T17</f>
        <v>1.8311608776114232</v>
      </c>
      <c r="C17">
        <f>Main!U17</f>
        <v>286.75055920371136</v>
      </c>
      <c r="D17">
        <f t="shared" si="4"/>
        <v>1.8322383201215207</v>
      </c>
      <c r="E17">
        <f t="shared" si="5"/>
        <v>18.891124999883168</v>
      </c>
      <c r="F17">
        <f t="shared" si="6"/>
        <v>121.28937500016654</v>
      </c>
      <c r="G17">
        <f t="shared" si="7"/>
        <v>175.59375003921573</v>
      </c>
      <c r="H17">
        <f>Main!O17</f>
        <v>5.7600000000000001E-4</v>
      </c>
    </row>
    <row r="18" spans="1:8" x14ac:dyDescent="0.25">
      <c r="A18">
        <f>Main!$K$2</f>
        <v>0.02</v>
      </c>
      <c r="B18">
        <f>Main!T18</f>
        <v>2.2089832908163367</v>
      </c>
      <c r="C18">
        <f>Main!U18</f>
        <v>286.75081529842026</v>
      </c>
      <c r="D18">
        <f t="shared" si="4"/>
        <v>2.210060820119184</v>
      </c>
      <c r="E18">
        <f t="shared" si="5"/>
        <v>21.316912499886499</v>
      </c>
      <c r="F18">
        <f t="shared" si="6"/>
        <v>124.80125000095086</v>
      </c>
      <c r="G18">
        <f t="shared" si="7"/>
        <v>-9.937499968959429</v>
      </c>
      <c r="H18">
        <f>Main!O18</f>
        <v>6.78E-4</v>
      </c>
    </row>
    <row r="19" spans="1:8" x14ac:dyDescent="0.25">
      <c r="A19">
        <f>Main!$K$2</f>
        <v>0.02</v>
      </c>
      <c r="B19">
        <f>Main!T19</f>
        <v>2.6353214115069488</v>
      </c>
      <c r="C19">
        <f>Main!U19</f>
        <v>286.7511473483018</v>
      </c>
      <c r="D19">
        <f t="shared" si="4"/>
        <v>2.636399070116914</v>
      </c>
      <c r="E19">
        <f t="shared" si="5"/>
        <v>23.812937499905516</v>
      </c>
      <c r="F19">
        <f t="shared" si="6"/>
        <v>124.60250000157167</v>
      </c>
      <c r="G19">
        <f t="shared" si="7"/>
        <v>-9.9374999965640143</v>
      </c>
      <c r="H19">
        <f>Main!O19</f>
        <v>7.7899999999999996E-4</v>
      </c>
    </row>
    <row r="20" spans="1:8" x14ac:dyDescent="0.25">
      <c r="A20">
        <f>Main!$K$2</f>
        <v>0.02</v>
      </c>
      <c r="B20">
        <f>Main!T20</f>
        <v>3.1115799796560095</v>
      </c>
      <c r="C20">
        <f>Main!U20</f>
        <v>286.75156353860575</v>
      </c>
      <c r="D20">
        <f t="shared" si="4"/>
        <v>3.1126578201150243</v>
      </c>
      <c r="E20">
        <f t="shared" si="5"/>
        <v>26.304987499936949</v>
      </c>
      <c r="F20">
        <f t="shared" si="6"/>
        <v>124.40375000164039</v>
      </c>
      <c r="G20">
        <f t="shared" si="7"/>
        <v>-9.9375000255363943</v>
      </c>
      <c r="H20">
        <f>Main!O20</f>
        <v>8.7399999999999999E-4</v>
      </c>
    </row>
    <row r="21" spans="1:8" x14ac:dyDescent="0.25">
      <c r="A21">
        <f>Main!$K$2</f>
        <v>0.02</v>
      </c>
      <c r="B21">
        <f>Main!T21</f>
        <v>3.6376794887844772</v>
      </c>
      <c r="C21">
        <f>Main!U21</f>
        <v>286.75206697035003</v>
      </c>
      <c r="D21">
        <f t="shared" si="4"/>
        <v>3.6387575701137633</v>
      </c>
      <c r="E21">
        <f t="shared" si="5"/>
        <v>28.793062499969757</v>
      </c>
      <c r="F21">
        <f t="shared" si="6"/>
        <v>124.20500000112966</v>
      </c>
      <c r="G21">
        <f t="shared" si="7"/>
        <v>-16.562500037462513</v>
      </c>
      <c r="H21">
        <f>Main!O21</f>
        <v>9.5699999999999995E-4</v>
      </c>
    </row>
    <row r="22" spans="1:8" x14ac:dyDescent="0.25">
      <c r="A22">
        <f>Main!$K$2</f>
        <v>0.02</v>
      </c>
      <c r="B22">
        <f>Main!T22</f>
        <v>4.213540438073573</v>
      </c>
      <c r="C22">
        <f>Main!U22</f>
        <v>286.75265547245448</v>
      </c>
      <c r="D22">
        <f t="shared" si="4"/>
        <v>4.2146188201131585</v>
      </c>
      <c r="E22">
        <f t="shared" si="5"/>
        <v>31.27716249999235</v>
      </c>
      <c r="F22">
        <f t="shared" si="6"/>
        <v>123.87375000038041</v>
      </c>
      <c r="G22">
        <f t="shared" si="7"/>
        <v>-195.46875000818531</v>
      </c>
      <c r="H22">
        <f>Main!O22</f>
        <v>1.0219999999999999E-3</v>
      </c>
    </row>
    <row r="23" spans="1:8" x14ac:dyDescent="0.25">
      <c r="A23">
        <f>Main!$K$2</f>
        <v>0.02</v>
      </c>
      <c r="B23">
        <f>Main!T23</f>
        <v>4.8390833346630515</v>
      </c>
      <c r="C23">
        <f>Main!U23</f>
        <v>286.75332041366732</v>
      </c>
      <c r="D23">
        <f t="shared" si="4"/>
        <v>4.8401620701130055</v>
      </c>
      <c r="E23">
        <f t="shared" si="5"/>
        <v>33.754637499999959</v>
      </c>
      <c r="F23">
        <f t="shared" si="6"/>
        <v>119.96437500021671</v>
      </c>
      <c r="G23">
        <f t="shared" si="7"/>
        <v>-380.74999986347888</v>
      </c>
      <c r="H23">
        <f>Main!O23</f>
        <v>1.0629999999999999E-3</v>
      </c>
    </row>
    <row r="24" spans="1:8" x14ac:dyDescent="0.25">
      <c r="A24">
        <f>Main!$K$2</f>
        <v>0.02</v>
      </c>
      <c r="B24">
        <f>Main!T24</f>
        <v>5.5141756982065901</v>
      </c>
      <c r="C24">
        <f>Main!U24</f>
        <v>286.7540427624474</v>
      </c>
      <c r="D24">
        <f t="shared" si="4"/>
        <v>5.5152548201130047</v>
      </c>
      <c r="E24">
        <f t="shared" si="5"/>
        <v>36.153925000004293</v>
      </c>
      <c r="F24">
        <f t="shared" si="6"/>
        <v>112.34937500294713</v>
      </c>
      <c r="G24">
        <f t="shared" si="7"/>
        <v>-382.65624953016442</v>
      </c>
      <c r="H24">
        <f>Main!O24</f>
        <v>1.07E-3</v>
      </c>
    </row>
    <row r="25" spans="1:8" x14ac:dyDescent="0.25">
      <c r="A25">
        <f>Main!$K$2</f>
        <v>0.02</v>
      </c>
      <c r="B25">
        <f>Main!T25</f>
        <v>6.2372538101760142</v>
      </c>
      <c r="C25">
        <f>Main!U25</f>
        <v>286.75479186398093</v>
      </c>
      <c r="D25">
        <f t="shared" si="4"/>
        <v>6.2383333201130906</v>
      </c>
      <c r="E25">
        <f t="shared" si="5"/>
        <v>38.400912500063235</v>
      </c>
      <c r="F25">
        <f t="shared" si="6"/>
        <v>104.69625001234384</v>
      </c>
      <c r="G25">
        <f t="shared" si="7"/>
        <v>-377.68749900857654</v>
      </c>
      <c r="H25">
        <f>Main!O25</f>
        <v>1.036E-3</v>
      </c>
    </row>
    <row r="26" spans="1:8" x14ac:dyDescent="0.25">
      <c r="A26">
        <f>Main!$K$2</f>
        <v>0.02</v>
      </c>
      <c r="B26">
        <f>Main!T26</f>
        <v>7.0052717114602547</v>
      </c>
      <c r="C26">
        <f>Main!U26</f>
        <v>286.75552373962279</v>
      </c>
      <c r="D26">
        <f t="shared" si="4"/>
        <v>7.0063515701143553</v>
      </c>
      <c r="E26">
        <f t="shared" si="5"/>
        <v>40.494837500310112</v>
      </c>
      <c r="F26">
        <f t="shared" si="6"/>
        <v>97.142500032172308</v>
      </c>
      <c r="G26">
        <f t="shared" si="7"/>
        <v>-383.93749797894117</v>
      </c>
      <c r="H26">
        <f>Main!O26</f>
        <v>9.5299999999999996E-4</v>
      </c>
    </row>
    <row r="27" spans="1:8" x14ac:dyDescent="0.25">
      <c r="A27">
        <f>Main!$K$2</f>
        <v>0.02</v>
      </c>
      <c r="B27">
        <f>Main!T27</f>
        <v>7.8151681945731291</v>
      </c>
      <c r="C27">
        <f>Main!U27</f>
        <v>286.75618124399995</v>
      </c>
      <c r="D27">
        <f t="shared" si="4"/>
        <v>7.8162483201205575</v>
      </c>
      <c r="E27">
        <f t="shared" si="5"/>
        <v>42.437687500953558</v>
      </c>
      <c r="F27">
        <f t="shared" si="6"/>
        <v>89.463750072593484</v>
      </c>
      <c r="G27">
        <f t="shared" si="7"/>
        <v>-376.79001308598356</v>
      </c>
      <c r="H27">
        <f>Main!O27</f>
        <v>8.12E-4</v>
      </c>
    </row>
    <row r="28" spans="1:8" x14ac:dyDescent="0.25">
      <c r="A28">
        <f>Main!$K$2</f>
        <v>0.02</v>
      </c>
      <c r="B28">
        <f>Main!T28</f>
        <v>8.6639217883999233</v>
      </c>
      <c r="C28">
        <f>Main!U28</f>
        <v>286.75669615907896</v>
      </c>
      <c r="D28">
        <f t="shared" si="4"/>
        <v>8.6650020701396286</v>
      </c>
      <c r="E28">
        <f t="shared" si="5"/>
        <v>44.226962502405428</v>
      </c>
      <c r="F28">
        <f t="shared" si="6"/>
        <v>81.927949810873812</v>
      </c>
      <c r="G28">
        <f t="shared" si="7"/>
        <v>-377.82621282689274</v>
      </c>
      <c r="H28">
        <f>Main!O28</f>
        <v>6.0700000000000001E-4</v>
      </c>
    </row>
    <row r="29" spans="1:8" x14ac:dyDescent="0.25">
      <c r="A29">
        <f>Main!$K$2</f>
        <v>0.02</v>
      </c>
      <c r="B29">
        <f>Main!T29</f>
        <v>9.5484609910358955</v>
      </c>
      <c r="C29">
        <f>Main!U29</f>
        <v>286.7569857722512</v>
      </c>
      <c r="D29">
        <f t="shared" si="4"/>
        <v>9.5495413201877373</v>
      </c>
      <c r="E29">
        <f t="shared" si="5"/>
        <v>45.865521498622904</v>
      </c>
      <c r="F29">
        <f t="shared" si="6"/>
        <v>74.371425554335957</v>
      </c>
      <c r="G29">
        <f t="shared" si="7"/>
        <v>-378.44625925087524</v>
      </c>
      <c r="H29">
        <f>Main!O29</f>
        <v>3.28E-4</v>
      </c>
    </row>
    <row r="30" spans="1:8" x14ac:dyDescent="0.25">
      <c r="A30">
        <f>Main!$K$2</f>
        <v>0.02</v>
      </c>
      <c r="B30">
        <f>Main!T30</f>
        <v>10.465771420560895</v>
      </c>
      <c r="C30">
        <f>Main!U30</f>
        <v>286.75695712061503</v>
      </c>
      <c r="D30">
        <f t="shared" si="4"/>
        <v>10.466851750160195</v>
      </c>
      <c r="E30">
        <f t="shared" si="5"/>
        <v>47.352950009709623</v>
      </c>
      <c r="F30">
        <f t="shared" si="6"/>
        <v>66.802500369318452</v>
      </c>
      <c r="G30">
        <f t="shared" si="7"/>
        <v>-375.78124074965302</v>
      </c>
      <c r="H30">
        <f>Main!O30</f>
        <v>6.2831549999999998</v>
      </c>
    </row>
    <row r="31" spans="1:8" x14ac:dyDescent="0.25">
      <c r="A31">
        <f>Main!$K$2</f>
        <v>0.02</v>
      </c>
      <c r="B31">
        <f>Main!T31</f>
        <v>11.412830313606078</v>
      </c>
      <c r="C31">
        <f>Main!U31</f>
        <v>286.75650661772278</v>
      </c>
      <c r="D31">
        <f t="shared" si="4"/>
        <v>11.413910750354388</v>
      </c>
      <c r="E31">
        <f t="shared" si="5"/>
        <v>48.689000017095992</v>
      </c>
      <c r="F31">
        <f t="shared" si="6"/>
        <v>59.286875554325391</v>
      </c>
      <c r="G31">
        <f t="shared" si="7"/>
        <v>-374.12498823032433</v>
      </c>
      <c r="H31">
        <f>Main!O31</f>
        <v>6.2827109999999999</v>
      </c>
    </row>
    <row r="32" spans="1:8" x14ac:dyDescent="0.25">
      <c r="A32">
        <f>Main!$K$2</f>
        <v>0.02</v>
      </c>
      <c r="B32">
        <f>Main!T32</f>
        <v>12.386609815044574</v>
      </c>
      <c r="C32">
        <f>Main!U32</f>
        <v>286.75552089762942</v>
      </c>
      <c r="D32">
        <f t="shared" si="4"/>
        <v>12.387690750696308</v>
      </c>
      <c r="E32">
        <f t="shared" si="5"/>
        <v>49.8747375281825</v>
      </c>
      <c r="F32">
        <f t="shared" si="6"/>
        <v>51.804375789718904</v>
      </c>
      <c r="G32">
        <f t="shared" si="7"/>
        <v>-376.28123449893633</v>
      </c>
      <c r="H32">
        <f>Main!O32</f>
        <v>6.2821749999999996</v>
      </c>
    </row>
    <row r="33" spans="1:8" x14ac:dyDescent="0.25">
      <c r="A33">
        <f>Main!$K$2</f>
        <v>0.02</v>
      </c>
      <c r="B33">
        <f>Main!T33</f>
        <v>13.38410321439615</v>
      </c>
      <c r="C33">
        <f>Main!U33</f>
        <v>286.75387905352108</v>
      </c>
      <c r="D33">
        <f t="shared" si="4"/>
        <v>13.385185501259958</v>
      </c>
      <c r="E33">
        <f t="shared" si="5"/>
        <v>50.910825043976878</v>
      </c>
      <c r="F33">
        <f t="shared" si="6"/>
        <v>44.278751099740177</v>
      </c>
      <c r="G33">
        <f t="shared" si="7"/>
        <v>-368.90623337983538</v>
      </c>
      <c r="H33">
        <f>Main!O33</f>
        <v>6.281542</v>
      </c>
    </row>
    <row r="34" spans="1:8" x14ac:dyDescent="0.25">
      <c r="A34">
        <f>Main!$K$2</f>
        <v>0.02</v>
      </c>
      <c r="B34">
        <f>Main!T34</f>
        <v>14.402316829514767</v>
      </c>
      <c r="C34">
        <f>Main!U34</f>
        <v>286.75145487315496</v>
      </c>
      <c r="D34">
        <f t="shared" si="4"/>
        <v>14.403402002139496</v>
      </c>
      <c r="E34">
        <f t="shared" si="5"/>
        <v>51.796400065971682</v>
      </c>
      <c r="F34">
        <f t="shared" si="6"/>
        <v>36.900626432143468</v>
      </c>
      <c r="G34">
        <f t="shared" si="7"/>
        <v>-374.62497799676697</v>
      </c>
      <c r="H34">
        <f>Main!O34</f>
        <v>6.2808080000000004</v>
      </c>
    </row>
    <row r="35" spans="1:8" x14ac:dyDescent="0.25">
      <c r="A35">
        <f>Main!$K$2</f>
        <v>0.02</v>
      </c>
      <c r="B35">
        <f>Main!T35</f>
        <v>15.438239454309389</v>
      </c>
      <c r="C35">
        <f>Main!U35</f>
        <v>286.74811730573316</v>
      </c>
      <c r="D35">
        <f t="shared" si="4"/>
        <v>15.439330003458929</v>
      </c>
      <c r="E35">
        <f t="shared" si="5"/>
        <v>52.534412594614551</v>
      </c>
      <c r="F35">
        <f t="shared" si="6"/>
        <v>29.408126872208129</v>
      </c>
      <c r="G35">
        <f t="shared" si="7"/>
        <v>-367.37497799578023</v>
      </c>
      <c r="H35">
        <f>Main!O35</f>
        <v>6.2799680000000002</v>
      </c>
    </row>
    <row r="36" spans="1:8" x14ac:dyDescent="0.25">
      <c r="A36">
        <f>Main!$K$2</f>
        <v>0.02</v>
      </c>
      <c r="B36">
        <f>Main!T36</f>
        <v>16.48891857122533</v>
      </c>
      <c r="C36">
        <f>Main!U36</f>
        <v>286.74373598844062</v>
      </c>
      <c r="D36">
        <f t="shared" si="4"/>
        <v>16.49001825535122</v>
      </c>
      <c r="E36">
        <f t="shared" si="5"/>
        <v>53.122575132058714</v>
      </c>
      <c r="F36">
        <f t="shared" si="6"/>
        <v>22.060627312292524</v>
      </c>
      <c r="G36">
        <f t="shared" si="7"/>
        <v>-366.09372701512655</v>
      </c>
      <c r="H36">
        <f>Main!O36</f>
        <v>6.2790210000000002</v>
      </c>
    </row>
    <row r="37" spans="1:8" x14ac:dyDescent="0.25">
      <c r="A37">
        <f>Main!$K$2</f>
        <v>0.02</v>
      </c>
      <c r="B37">
        <f>Main!T37</f>
        <v>17.551355547296016</v>
      </c>
      <c r="C37">
        <f>Main!U37</f>
        <v>286.7381801498658</v>
      </c>
      <c r="D37">
        <f t="shared" si="4"/>
        <v>17.552469757992395</v>
      </c>
      <c r="E37">
        <f t="shared" si="5"/>
        <v>53.563787678304564</v>
      </c>
      <c r="F37">
        <f t="shared" si="6"/>
        <v>14.738752771989994</v>
      </c>
      <c r="G37">
        <f t="shared" si="7"/>
        <v>-371.06247050999741</v>
      </c>
      <c r="H37">
        <f>Main!O37</f>
        <v>6.2779629999999997</v>
      </c>
    </row>
    <row r="38" spans="1:8" x14ac:dyDescent="0.25">
      <c r="A38">
        <f>Main!$K$2</f>
        <v>0.02</v>
      </c>
      <c r="B38">
        <f>Main!T38</f>
        <v>18.622609362866747</v>
      </c>
      <c r="C38">
        <f>Main!U38</f>
        <v>286.73132429078447</v>
      </c>
      <c r="D38">
        <f t="shared" si="4"/>
        <v>18.623745511558486</v>
      </c>
      <c r="E38">
        <f t="shared" si="5"/>
        <v>53.858562733744364</v>
      </c>
      <c r="F38">
        <f t="shared" si="6"/>
        <v>7.3175033617900453</v>
      </c>
      <c r="G38">
        <f t="shared" si="7"/>
        <v>-359.21872983202263</v>
      </c>
      <c r="H38">
        <f>Main!O38</f>
        <v>6.2767939999999998</v>
      </c>
    </row>
    <row r="39" spans="1:8" x14ac:dyDescent="0.25">
      <c r="A39">
        <f>Main!$K$2</f>
        <v>0.02</v>
      </c>
      <c r="B39">
        <f>Main!T39</f>
        <v>19.699748847578803</v>
      </c>
      <c r="C39">
        <f>Main!U39</f>
        <v>286.72305130026609</v>
      </c>
      <c r="D39">
        <f t="shared" si="4"/>
        <v>19.700916766233373</v>
      </c>
      <c r="E39">
        <f t="shared" si="5"/>
        <v>54.004912800980165</v>
      </c>
      <c r="F39">
        <f t="shared" si="6"/>
        <v>0.13312876514959271</v>
      </c>
      <c r="G39">
        <f t="shared" si="7"/>
        <v>-185.53121861319966</v>
      </c>
      <c r="H39">
        <f>Main!O39</f>
        <v>6.2755150000000004</v>
      </c>
    </row>
    <row r="40" spans="1:8" x14ac:dyDescent="0.25">
      <c r="A40">
        <f>Main!$K$2</f>
        <v>0.02</v>
      </c>
      <c r="B40">
        <f>Main!T40</f>
        <v>20.779802645705018</v>
      </c>
      <c r="C40">
        <f>Main!U40</f>
        <v>286.71325151405807</v>
      </c>
      <c r="D40">
        <f t="shared" si="4"/>
        <v>20.781015022252976</v>
      </c>
      <c r="E40">
        <f t="shared" si="5"/>
        <v>54.007575376283157</v>
      </c>
      <c r="F40">
        <f t="shared" si="6"/>
        <v>-3.5774956071144004</v>
      </c>
      <c r="G40">
        <f t="shared" si="7"/>
        <v>-1.6562155593646821</v>
      </c>
      <c r="H40">
        <f>Main!O40</f>
        <v>6.2741239999999996</v>
      </c>
    </row>
    <row r="41" spans="1:8" x14ac:dyDescent="0.25">
      <c r="A41">
        <f>Main!$K$2</f>
        <v>0.02</v>
      </c>
      <c r="B41">
        <f>Main!T41</f>
        <v>21.859893778821377</v>
      </c>
      <c r="C41">
        <f>Main!U41</f>
        <v>286.70183120874759</v>
      </c>
      <c r="D41">
        <f t="shared" si="4"/>
        <v>21.86116652977864</v>
      </c>
      <c r="E41">
        <f t="shared" si="5"/>
        <v>53.936025464140869</v>
      </c>
      <c r="F41">
        <f t="shared" si="6"/>
        <v>-3.610619918301694</v>
      </c>
      <c r="G41">
        <f t="shared" si="7"/>
        <v>-1.6562123477115165</v>
      </c>
      <c r="H41">
        <f>Main!O41</f>
        <v>6.2726259999999998</v>
      </c>
    </row>
    <row r="42" spans="1:8" x14ac:dyDescent="0.25">
      <c r="A42">
        <f>Main!$K$2</f>
        <v>0.02</v>
      </c>
      <c r="B42">
        <f>Main!T42</f>
        <v>22.938534258626124</v>
      </c>
      <c r="C42">
        <f>Main!U42</f>
        <v>286.68869147990836</v>
      </c>
      <c r="D42">
        <f t="shared" si="4"/>
        <v>22.939887039061457</v>
      </c>
      <c r="E42">
        <f t="shared" si="5"/>
        <v>53.863813065774835</v>
      </c>
      <c r="F42">
        <f t="shared" si="6"/>
        <v>-3.6437441652559244</v>
      </c>
      <c r="G42">
        <f t="shared" si="7"/>
        <v>-1.656208996614339</v>
      </c>
      <c r="H42">
        <f>Main!O42</f>
        <v>6.27102</v>
      </c>
    </row>
    <row r="43" spans="1:8" x14ac:dyDescent="0.25">
      <c r="A43">
        <f>Main!$K$2</f>
        <v>0.02</v>
      </c>
      <c r="B43">
        <f>Main!T43</f>
        <v>24.015706475374902</v>
      </c>
      <c r="C43">
        <f>Main!U43</f>
        <v>286.67371955089379</v>
      </c>
      <c r="D43">
        <f t="shared" si="4"/>
        <v>24.017163300376954</v>
      </c>
      <c r="E43">
        <f t="shared" si="5"/>
        <v>53.790938182469716</v>
      </c>
      <c r="F43">
        <f t="shared" si="6"/>
        <v>-3.6768683451882112</v>
      </c>
      <c r="G43">
        <f t="shared" si="7"/>
        <v>-3.3124519323024515</v>
      </c>
      <c r="H43">
        <f>Main!O43</f>
        <v>6.2693050000000001</v>
      </c>
    </row>
    <row r="44" spans="1:8" x14ac:dyDescent="0.25">
      <c r="A44">
        <f>Main!$K$2</f>
        <v>0.02</v>
      </c>
      <c r="B44">
        <f>Main!T44</f>
        <v>25.091392216056978</v>
      </c>
      <c r="C44">
        <f>Main!U44</f>
        <v>286.65680211866066</v>
      </c>
      <c r="D44">
        <f t="shared" si="4"/>
        <v>25.092982064026348</v>
      </c>
      <c r="E44">
        <f t="shared" si="5"/>
        <v>53.717400815565952</v>
      </c>
      <c r="F44">
        <f t="shared" si="6"/>
        <v>-3.7431173838342602</v>
      </c>
      <c r="G44">
        <f t="shared" si="7"/>
        <v>-1.6562010132226135</v>
      </c>
      <c r="H44">
        <f>Main!O44</f>
        <v>6.2674799999999999</v>
      </c>
    </row>
    <row r="45" spans="1:8" x14ac:dyDescent="0.25">
      <c r="A45">
        <f>Main!$K$2</f>
        <v>0.02</v>
      </c>
      <c r="B45">
        <f>Main!T45</f>
        <v>26.165572621390996</v>
      </c>
      <c r="C45">
        <f>Main!U45</f>
        <v>286.63782537108608</v>
      </c>
      <c r="D45">
        <f t="shared" si="4"/>
        <v>26.167330080337667</v>
      </c>
      <c r="E45">
        <f t="shared" si="5"/>
        <v>53.642538467889267</v>
      </c>
      <c r="F45">
        <f t="shared" si="6"/>
        <v>-3.7762414040987125</v>
      </c>
      <c r="G45">
        <f t="shared" si="7"/>
        <v>-1.6561971256656705</v>
      </c>
      <c r="H45">
        <f>Main!O45</f>
        <v>6.2655440000000002</v>
      </c>
    </row>
    <row r="46" spans="1:8" x14ac:dyDescent="0.25">
      <c r="A46">
        <f>Main!$K$2</f>
        <v>0.02</v>
      </c>
      <c r="B46">
        <f>Main!T46</f>
        <v>27.238214872950472</v>
      </c>
      <c r="C46">
        <f>Main!U46</f>
        <v>286.61667416589557</v>
      </c>
      <c r="D46">
        <f t="shared" si="4"/>
        <v>27.240180849695452</v>
      </c>
      <c r="E46">
        <f t="shared" si="5"/>
        <v>53.567013639807293</v>
      </c>
      <c r="F46">
        <f t="shared" si="6"/>
        <v>-3.8093653466120259</v>
      </c>
      <c r="G46">
        <f t="shared" si="7"/>
        <v>-4.9686832763740085</v>
      </c>
      <c r="H46">
        <f>Main!O46</f>
        <v>6.2634949999999998</v>
      </c>
    </row>
    <row r="47" spans="1:8" x14ac:dyDescent="0.25">
      <c r="A47">
        <f>Main!$K$2</f>
        <v>0.02</v>
      </c>
      <c r="B47">
        <f>Main!T47</f>
        <v>28.309298659780016</v>
      </c>
      <c r="C47">
        <f>Main!U47</f>
        <v>286.59323271317163</v>
      </c>
      <c r="D47">
        <f t="shared" si="4"/>
        <v>28.311521122491598</v>
      </c>
      <c r="E47">
        <f t="shared" si="5"/>
        <v>53.490826332875052</v>
      </c>
      <c r="F47">
        <f t="shared" si="6"/>
        <v>-3.908739012139506</v>
      </c>
      <c r="G47">
        <f t="shared" si="7"/>
        <v>-1.6561868312336969</v>
      </c>
      <c r="H47">
        <f>Main!O47</f>
        <v>6.2613320000000003</v>
      </c>
    </row>
    <row r="48" spans="1:8" x14ac:dyDescent="0.25">
      <c r="A48">
        <f>Main!$K$2</f>
        <v>0.02</v>
      </c>
      <c r="B48">
        <f>Main!T48</f>
        <v>29.378802883698445</v>
      </c>
      <c r="C48">
        <f>Main!U48</f>
        <v>286.56738477843487</v>
      </c>
      <c r="D48">
        <f t="shared" si="4"/>
        <v>29.381337649149099</v>
      </c>
      <c r="E48">
        <f t="shared" si="5"/>
        <v>53.412651552632262</v>
      </c>
      <c r="F48">
        <f t="shared" si="6"/>
        <v>-3.94186274876418</v>
      </c>
      <c r="G48">
        <f t="shared" si="7"/>
        <v>-3.3124263092432216</v>
      </c>
      <c r="H48">
        <f>Main!O48</f>
        <v>6.2590539999999999</v>
      </c>
    </row>
    <row r="49" spans="1:8" x14ac:dyDescent="0.25">
      <c r="A49">
        <f>Main!$K$2</f>
        <v>0.02</v>
      </c>
      <c r="B49">
        <f>Main!T49</f>
        <v>30.446679063548498</v>
      </c>
      <c r="C49">
        <f>Main!U49</f>
        <v>286.53901220608014</v>
      </c>
      <c r="D49">
        <f t="shared" si="4"/>
        <v>30.449590680201744</v>
      </c>
      <c r="E49">
        <f t="shared" si="5"/>
        <v>53.333814297656978</v>
      </c>
      <c r="F49">
        <f t="shared" si="6"/>
        <v>-4.0081112749490444</v>
      </c>
      <c r="G49">
        <f t="shared" si="7"/>
        <v>-1.6561763502842552</v>
      </c>
      <c r="H49">
        <f>Main!O49</f>
        <v>6.2566579999999998</v>
      </c>
    </row>
    <row r="50" spans="1:8" x14ac:dyDescent="0.25">
      <c r="A50">
        <f>Main!$K$2</f>
        <v>0.02</v>
      </c>
      <c r="B50">
        <f>Main!T50</f>
        <v>31.512904316415057</v>
      </c>
      <c r="C50">
        <f>Main!U50</f>
        <v>286.50799593350547</v>
      </c>
      <c r="D50">
        <f t="shared" si="4"/>
        <v>31.516266966154884</v>
      </c>
      <c r="E50">
        <f t="shared" si="5"/>
        <v>53.253652072157998</v>
      </c>
      <c r="F50">
        <f t="shared" si="6"/>
        <v>-4.0412348019547295</v>
      </c>
      <c r="G50">
        <f t="shared" si="7"/>
        <v>-6.6248999117668461</v>
      </c>
      <c r="H50">
        <f>Main!O50</f>
        <v>6.254143</v>
      </c>
    </row>
    <row r="51" spans="1:8" x14ac:dyDescent="0.25">
      <c r="A51">
        <f>Main!$K$2</f>
        <v>0.02</v>
      </c>
      <c r="B51">
        <f>Main!T51</f>
        <v>32.577441535061091</v>
      </c>
      <c r="C51">
        <f>Main!U51</f>
        <v>286.47421585466668</v>
      </c>
      <c r="D51">
        <f t="shared" si="4"/>
        <v>32.581340007598044</v>
      </c>
      <c r="E51">
        <f t="shared" si="5"/>
        <v>53.172827376118903</v>
      </c>
      <c r="F51">
        <f t="shared" si="6"/>
        <v>-4.1737328001900664</v>
      </c>
      <c r="G51">
        <f t="shared" si="7"/>
        <v>8.0025763793400984E-5</v>
      </c>
      <c r="H51">
        <f>Main!O51</f>
        <v>6.2515070000000001</v>
      </c>
    </row>
    <row r="52" spans="1:8" x14ac:dyDescent="0.25">
      <c r="A52">
        <f>Main!$K$2</f>
        <v>0.02</v>
      </c>
      <c r="B52">
        <f>Main!T52</f>
        <v>33.640265853785579</v>
      </c>
      <c r="C52">
        <f>Main!U52</f>
        <v>286.43755121235228</v>
      </c>
      <c r="D52">
        <f t="shared" si="4"/>
        <v>33.644796555120422</v>
      </c>
      <c r="E52">
        <f t="shared" si="5"/>
        <v>53.089352720115102</v>
      </c>
      <c r="F52">
        <f t="shared" si="6"/>
        <v>-4.1737311996747906</v>
      </c>
      <c r="G52">
        <f t="shared" si="7"/>
        <v>-4.9686408427618289</v>
      </c>
      <c r="H52">
        <f>Main!O52</f>
        <v>6.2487490000000001</v>
      </c>
    </row>
    <row r="53" spans="1:8" x14ac:dyDescent="0.25">
      <c r="A53">
        <f>Main!$K$2</f>
        <v>0.02</v>
      </c>
      <c r="B53">
        <f>Main!T53</f>
        <v>34.701311505257877</v>
      </c>
      <c r="C53">
        <f>Main!U53</f>
        <v>286.39787912659864</v>
      </c>
      <c r="D53">
        <f t="shared" si="4"/>
        <v>34.706583609522724</v>
      </c>
      <c r="E53">
        <f t="shared" si="5"/>
        <v>53.005878096121606</v>
      </c>
      <c r="F53">
        <f t="shared" si="6"/>
        <v>-4.2731040165300271</v>
      </c>
      <c r="G53">
        <f t="shared" si="7"/>
        <v>-4.9686305914065088</v>
      </c>
      <c r="H53">
        <f>Main!O53</f>
        <v>6.2458650000000002</v>
      </c>
    </row>
    <row r="54" spans="1:8" x14ac:dyDescent="0.25">
      <c r="A54">
        <f>Main!$K$2</f>
        <v>0.02</v>
      </c>
      <c r="B54">
        <f>Main!T54</f>
        <v>35.760564603784239</v>
      </c>
      <c r="C54">
        <f>Main!U54</f>
        <v>286.35507587486859</v>
      </c>
      <c r="D54">
        <f t="shared" si="4"/>
        <v>35.766701171445156</v>
      </c>
      <c r="E54">
        <f t="shared" si="5"/>
        <v>52.920416015791005</v>
      </c>
      <c r="F54">
        <f t="shared" si="6"/>
        <v>-4.3724766283581573</v>
      </c>
      <c r="G54">
        <f t="shared" si="7"/>
        <v>-1.656139628991582</v>
      </c>
      <c r="H54">
        <f>Main!O54</f>
        <v>6.2428549999999996</v>
      </c>
    </row>
    <row r="55" spans="1:8" x14ac:dyDescent="0.25">
      <c r="A55">
        <f>Main!$K$2</f>
        <v>0.02</v>
      </c>
      <c r="B55">
        <f>Main!T55</f>
        <v>36.817970268885716</v>
      </c>
      <c r="C55">
        <f>Main!U55</f>
        <v>286.30901687004808</v>
      </c>
      <c r="D55">
        <f t="shared" si="4"/>
        <v>36.825109491760976</v>
      </c>
      <c r="E55">
        <f t="shared" si="5"/>
        <v>52.832966483223842</v>
      </c>
      <c r="F55">
        <f t="shared" si="6"/>
        <v>-4.405599420937989</v>
      </c>
      <c r="G55">
        <f t="shared" si="7"/>
        <v>-6.6248503340915477</v>
      </c>
      <c r="H55">
        <f>Main!O55</f>
        <v>6.2397159999999996</v>
      </c>
    </row>
    <row r="56" spans="1:8" x14ac:dyDescent="0.25">
      <c r="A56">
        <f>Main!$K$2</f>
        <v>0.02</v>
      </c>
      <c r="B56">
        <f>Main!T56</f>
        <v>37.87347227563081</v>
      </c>
      <c r="C56">
        <f>Main!U56</f>
        <v>286.25957546306915</v>
      </c>
      <c r="D56">
        <f t="shared" si="4"/>
        <v>37.881768821425453</v>
      </c>
      <c r="E56">
        <f t="shared" si="5"/>
        <v>52.744854494805082</v>
      </c>
      <c r="F56">
        <f t="shared" si="6"/>
        <v>-4.5380964276198199</v>
      </c>
      <c r="G56">
        <f t="shared" si="7"/>
        <v>-1.6561206122034378</v>
      </c>
      <c r="H56">
        <f>Main!O56</f>
        <v>6.2364449999999998</v>
      </c>
    </row>
    <row r="57" spans="1:8" x14ac:dyDescent="0.25">
      <c r="A57">
        <f>Main!$K$2</f>
        <v>0.02</v>
      </c>
      <c r="B57">
        <f>Main!T57</f>
        <v>38.927039549078145</v>
      </c>
      <c r="C57">
        <f>Main!U57</f>
        <v>286.20662387582183</v>
      </c>
      <c r="D57">
        <f t="shared" si="4"/>
        <v>38.936665911321555</v>
      </c>
      <c r="E57">
        <f t="shared" si="5"/>
        <v>52.654092566252686</v>
      </c>
      <c r="F57">
        <f t="shared" si="6"/>
        <v>-4.5712188398638887</v>
      </c>
      <c r="G57">
        <f t="shared" si="7"/>
        <v>-8.28106227945824</v>
      </c>
      <c r="H57">
        <f>Main!O57</f>
        <v>6.2330410000000001</v>
      </c>
    </row>
    <row r="58" spans="1:8" x14ac:dyDescent="0.25">
      <c r="A58">
        <f>Main!$K$2</f>
        <v>0.02</v>
      </c>
      <c r="B58">
        <f>Main!T58</f>
        <v>39.97859975412095</v>
      </c>
      <c r="C58">
        <f>Main!U58</f>
        <v>286.15003305712708</v>
      </c>
      <c r="D58">
        <f t="shared" si="4"/>
        <v>39.989747762646608</v>
      </c>
      <c r="E58">
        <f t="shared" si="5"/>
        <v>52.562668189455408</v>
      </c>
      <c r="F58">
        <f t="shared" si="6"/>
        <v>-4.7368400854530535</v>
      </c>
      <c r="G58">
        <f t="shared" si="7"/>
        <v>1.3912515584024732E-4</v>
      </c>
      <c r="H58">
        <f>Main!O58</f>
        <v>6.2294999999999998</v>
      </c>
    </row>
    <row r="59" spans="1:8" x14ac:dyDescent="0.25">
      <c r="A59">
        <f>Main!$K$2</f>
        <v>0.02</v>
      </c>
      <c r="B59">
        <f>Main!T59</f>
        <v>41.028118786678334</v>
      </c>
      <c r="C59">
        <f>Main!U59</f>
        <v>286.08967218256646</v>
      </c>
      <c r="D59">
        <f t="shared" si="4"/>
        <v>41.041001126435717</v>
      </c>
      <c r="E59">
        <f t="shared" si="5"/>
        <v>52.467931387746347</v>
      </c>
      <c r="F59">
        <f t="shared" si="6"/>
        <v>-4.7368373029499367</v>
      </c>
      <c r="G59">
        <f t="shared" si="7"/>
        <v>-9.9372668609376547</v>
      </c>
      <c r="H59">
        <f>Main!O59</f>
        <v>6.2258209999999998</v>
      </c>
    </row>
    <row r="60" spans="1:8" x14ac:dyDescent="0.25">
      <c r="A60">
        <f>Main!$K$2</f>
        <v>0.02</v>
      </c>
      <c r="B60">
        <f>Main!T60</f>
        <v>42.075507829434322</v>
      </c>
      <c r="C60">
        <f>Main!U60</f>
        <v>286.02540926356642</v>
      </c>
      <c r="D60">
        <f t="shared" si="4"/>
        <v>42.090359754190644</v>
      </c>
      <c r="E60">
        <f t="shared" si="5"/>
        <v>52.373194641687348</v>
      </c>
      <c r="F60">
        <f t="shared" si="6"/>
        <v>-4.9355826401686897</v>
      </c>
      <c r="G60">
        <f t="shared" si="7"/>
        <v>-1.6560705953239108</v>
      </c>
      <c r="H60">
        <f>Main!O60</f>
        <v>6.2219990000000003</v>
      </c>
    </row>
    <row r="61" spans="1:8" x14ac:dyDescent="0.25">
      <c r="A61">
        <f>Main!$K$2</f>
        <v>0.02</v>
      </c>
      <c r="B61">
        <f>Main!T61</f>
        <v>43.120742641208174</v>
      </c>
      <c r="C61">
        <f>Main!U61</f>
        <v>285.95710995869075</v>
      </c>
      <c r="D61">
        <f t="shared" si="4"/>
        <v>43.137823647024391</v>
      </c>
      <c r="E61">
        <f t="shared" si="5"/>
        <v>52.274482988883975</v>
      </c>
      <c r="F61">
        <f t="shared" si="6"/>
        <v>-4.968704052075168</v>
      </c>
      <c r="G61">
        <f t="shared" si="7"/>
        <v>-4.9685265244292509</v>
      </c>
      <c r="H61">
        <f>Main!O61</f>
        <v>6.2180340000000003</v>
      </c>
    </row>
    <row r="62" spans="1:8" x14ac:dyDescent="0.25">
      <c r="A62">
        <f>Main!$K$2</f>
        <v>0.02</v>
      </c>
      <c r="B62">
        <f>Main!T62</f>
        <v>44.163717573292907</v>
      </c>
      <c r="C62">
        <f>Main!U62</f>
        <v>285.88463982867228</v>
      </c>
      <c r="D62">
        <f t="shared" si="4"/>
        <v>44.18331330680207</v>
      </c>
      <c r="E62">
        <f t="shared" si="5"/>
        <v>52.175108907842471</v>
      </c>
      <c r="F62">
        <f t="shared" si="6"/>
        <v>-5.068074582563753</v>
      </c>
      <c r="G62">
        <f t="shared" si="7"/>
        <v>-8.2809720698406863</v>
      </c>
      <c r="H62">
        <f>Main!O62</f>
        <v>6.2139199999999999</v>
      </c>
    </row>
    <row r="63" spans="1:8" x14ac:dyDescent="0.25">
      <c r="A63">
        <f>Main!$K$2</f>
        <v>0.02</v>
      </c>
      <c r="B63">
        <f>Main!T63</f>
        <v>45.204391288282878</v>
      </c>
      <c r="C63">
        <f>Main!U63</f>
        <v>285.80786082928404</v>
      </c>
      <c r="D63">
        <f t="shared" si="4"/>
        <v>45.226815484958919</v>
      </c>
      <c r="E63">
        <f t="shared" si="5"/>
        <v>52.073747416191196</v>
      </c>
      <c r="F63">
        <f t="shared" si="6"/>
        <v>-5.2336940239605667</v>
      </c>
      <c r="G63">
        <f t="shared" si="7"/>
        <v>-3.312254237997081</v>
      </c>
      <c r="H63">
        <f>Main!O63</f>
        <v>6.2096559999999998</v>
      </c>
    </row>
    <row r="64" spans="1:8" x14ac:dyDescent="0.25">
      <c r="A64">
        <f>Main!$K$2</f>
        <v>0.02</v>
      </c>
      <c r="B64">
        <f>Main!T64</f>
        <v>46.242693958993065</v>
      </c>
      <c r="C64">
        <f>Main!U64</f>
        <v>285.72663502068724</v>
      </c>
      <c r="D64">
        <f t="shared" si="4"/>
        <v>46.268290433282743</v>
      </c>
      <c r="E64">
        <f t="shared" si="5"/>
        <v>51.969073535711985</v>
      </c>
      <c r="F64">
        <f t="shared" si="6"/>
        <v>-5.2999391087205083</v>
      </c>
      <c r="G64">
        <f t="shared" si="7"/>
        <v>-6.6246957795002004</v>
      </c>
      <c r="H64">
        <f>Main!O64</f>
        <v>6.2052389999999997</v>
      </c>
    </row>
    <row r="65" spans="1:8" x14ac:dyDescent="0.25">
      <c r="A65">
        <f>Main!$K$2</f>
        <v>0.02</v>
      </c>
      <c r="B65">
        <f>Main!T65</f>
        <v>47.278527026112293</v>
      </c>
      <c r="C65">
        <f>Main!U65</f>
        <v>285.6408230242854</v>
      </c>
      <c r="D65">
        <f t="shared" si="4"/>
        <v>47.307671903996983</v>
      </c>
      <c r="E65">
        <f t="shared" si="5"/>
        <v>51.863074753537575</v>
      </c>
      <c r="F65">
        <f t="shared" si="6"/>
        <v>-5.4324330243105123</v>
      </c>
      <c r="G65">
        <f t="shared" si="7"/>
        <v>-6.6246697718597147</v>
      </c>
      <c r="H65">
        <f>Main!O65</f>
        <v>6.2006639999999997</v>
      </c>
    </row>
    <row r="66" spans="1:8" x14ac:dyDescent="0.25">
      <c r="A66">
        <f>Main!$K$2</f>
        <v>0.02</v>
      </c>
      <c r="B66">
        <f>Main!T66</f>
        <v>48.31182939140885</v>
      </c>
      <c r="C66">
        <f>Main!U66</f>
        <v>285.55028225430328</v>
      </c>
      <c r="D66">
        <f t="shared" si="4"/>
        <v>48.344933399067735</v>
      </c>
      <c r="E66">
        <f t="shared" si="5"/>
        <v>51.754426093051364</v>
      </c>
      <c r="F66">
        <f t="shared" si="6"/>
        <v>-5.5649264197477066</v>
      </c>
      <c r="G66">
        <f t="shared" si="7"/>
        <v>-6.6246419576643234</v>
      </c>
      <c r="H66">
        <f>Main!O66</f>
        <v>6.1959289999999996</v>
      </c>
    </row>
    <row r="67" spans="1:8" x14ac:dyDescent="0.25">
      <c r="A67">
        <f>Main!$K$2</f>
        <v>0.02</v>
      </c>
      <c r="B67">
        <f>Main!T67</f>
        <v>49.342511082075752</v>
      </c>
      <c r="C67">
        <f>Main!U67</f>
        <v>285.454869987731</v>
      </c>
      <c r="D67">
        <f t="shared" si="4"/>
        <v>49.380021920928762</v>
      </c>
      <c r="E67">
        <f t="shared" si="5"/>
        <v>51.64312756465641</v>
      </c>
      <c r="F67">
        <f t="shared" si="6"/>
        <v>-5.6974192589009931</v>
      </c>
      <c r="G67">
        <f t="shared" si="7"/>
        <v>-4.9683882226148057</v>
      </c>
      <c r="H67">
        <f>Main!O67</f>
        <v>6.1910299999999996</v>
      </c>
    </row>
    <row r="68" spans="1:8" x14ac:dyDescent="0.25">
      <c r="A68">
        <f>Main!$K$2</f>
        <v>0.02</v>
      </c>
      <c r="B68">
        <f>Main!T68</f>
        <v>50.370479552566614</v>
      </c>
      <c r="C68">
        <f>Main!U68</f>
        <v>285.35444153787529</v>
      </c>
      <c r="D68">
        <f t="shared" si="4"/>
        <v>50.41288447222189</v>
      </c>
      <c r="E68">
        <f t="shared" si="5"/>
        <v>51.52917917947839</v>
      </c>
      <c r="F68">
        <f t="shared" si="6"/>
        <v>-5.7967870233532892</v>
      </c>
      <c r="G68">
        <f t="shared" si="7"/>
        <v>-6.6245841283674167</v>
      </c>
      <c r="H68">
        <f>Main!O68</f>
        <v>6.1859630000000001</v>
      </c>
    </row>
    <row r="69" spans="1:8" x14ac:dyDescent="0.25">
      <c r="A69">
        <f>Main!$K$2</f>
        <v>0.02</v>
      </c>
      <c r="B69">
        <f>Main!T69</f>
        <v>51.395639554770909</v>
      </c>
      <c r="C69">
        <f>Main!U69</f>
        <v>285.2488503798894</v>
      </c>
      <c r="D69">
        <f t="shared" ref="D69:D132" si="8">D68 + SQRT( (B69-B68)^2  + (C69-C68)^2 )</f>
        <v>51.443468055811458</v>
      </c>
      <c r="E69">
        <f t="shared" ref="E69:E132" si="9" xml:space="preserve"> IF(ISBLANK(D70), 0, (D70-D69)/$A69 )</f>
        <v>51.413243439011325</v>
      </c>
      <c r="F69">
        <f t="shared" ref="F69:F132" si="10" xml:space="preserve"> (E70-E69)/$A69</f>
        <v>-5.9292787059206375</v>
      </c>
      <c r="G69">
        <f t="shared" ref="G69:G132" si="11" xml:space="preserve"> (F70-F69)/$A69</f>
        <v>-9.9369911206181882</v>
      </c>
      <c r="H69">
        <f>Main!O69</f>
        <v>6.1807239999999997</v>
      </c>
    </row>
    <row r="70" spans="1:8" x14ac:dyDescent="0.25">
      <c r="A70">
        <f>Main!$K$2</f>
        <v>0.02</v>
      </c>
      <c r="B70">
        <f>Main!T70</f>
        <v>52.417906296448294</v>
      </c>
      <c r="C70">
        <f>Main!U70</f>
        <v>285.13794794877123</v>
      </c>
      <c r="D70">
        <f t="shared" si="8"/>
        <v>52.471732924591684</v>
      </c>
      <c r="E70">
        <f t="shared" si="9"/>
        <v>51.294657864892912</v>
      </c>
      <c r="F70">
        <f t="shared" si="10"/>
        <v>-6.1280185283330013</v>
      </c>
      <c r="G70">
        <f t="shared" si="11"/>
        <v>-3.3120702864763985</v>
      </c>
      <c r="H70">
        <f>Main!O70</f>
        <v>6.1753099999999996</v>
      </c>
    </row>
    <row r="71" spans="1:8" x14ac:dyDescent="0.25">
      <c r="A71">
        <f>Main!$K$2</f>
        <v>0.02</v>
      </c>
      <c r="B71">
        <f>Main!T71</f>
        <v>53.437178834623296</v>
      </c>
      <c r="C71">
        <f>Main!U71</f>
        <v>285.02158531253065</v>
      </c>
      <c r="D71">
        <f t="shared" si="8"/>
        <v>53.497626081889543</v>
      </c>
      <c r="E71">
        <f t="shared" si="9"/>
        <v>51.172097494326252</v>
      </c>
      <c r="F71">
        <f t="shared" si="10"/>
        <v>-6.1942599340625293</v>
      </c>
      <c r="G71">
        <f t="shared" si="11"/>
        <v>-9.9369086807854501</v>
      </c>
      <c r="H71">
        <f>Main!O71</f>
        <v>6.1697170000000003</v>
      </c>
    </row>
    <row r="72" spans="1:8" x14ac:dyDescent="0.25">
      <c r="A72">
        <f>Main!$K$2</f>
        <v>0.02</v>
      </c>
      <c r="B72">
        <f>Main!T72</f>
        <v>54.453326557677478</v>
      </c>
      <c r="C72">
        <f>Main!U72</f>
        <v>284.89961306273858</v>
      </c>
      <c r="D72">
        <f t="shared" si="8"/>
        <v>54.521068031776068</v>
      </c>
      <c r="E72">
        <f t="shared" si="9"/>
        <v>51.048212295645001</v>
      </c>
      <c r="F72">
        <f t="shared" si="10"/>
        <v>-6.3929981076782383</v>
      </c>
      <c r="G72">
        <f t="shared" si="11"/>
        <v>-6.6244269358861629</v>
      </c>
      <c r="H72">
        <f>Main!O72</f>
        <v>6.1639390000000001</v>
      </c>
    </row>
    <row r="73" spans="1:8" x14ac:dyDescent="0.25">
      <c r="A73">
        <f>Main!$K$2</f>
        <v>0.02</v>
      </c>
      <c r="B73">
        <f>Main!T73</f>
        <v>55.466268515857315</v>
      </c>
      <c r="C73">
        <f>Main!U73</f>
        <v>284.77187669050539</v>
      </c>
      <c r="D73">
        <f t="shared" si="8"/>
        <v>55.542032277688968</v>
      </c>
      <c r="E73">
        <f t="shared" si="9"/>
        <v>50.920352333491437</v>
      </c>
      <c r="F73">
        <f t="shared" si="10"/>
        <v>-6.5254866463959615</v>
      </c>
      <c r="G73">
        <f t="shared" si="11"/>
        <v>-8.2805943915076341</v>
      </c>
      <c r="H73">
        <f>Main!O73</f>
        <v>6.1579740000000003</v>
      </c>
    </row>
    <row r="74" spans="1:8" x14ac:dyDescent="0.25">
      <c r="A74">
        <f>Main!$K$2</f>
        <v>0.02</v>
      </c>
      <c r="B74">
        <f>Main!T74</f>
        <v>56.475867473397358</v>
      </c>
      <c r="C74">
        <f>Main!U74</f>
        <v>284.63822468849713</v>
      </c>
      <c r="D74">
        <f t="shared" si="8"/>
        <v>56.560439324358796</v>
      </c>
      <c r="E74">
        <f t="shared" si="9"/>
        <v>50.789842600563517</v>
      </c>
      <c r="F74">
        <f t="shared" si="10"/>
        <v>-6.6910985342261142</v>
      </c>
      <c r="G74">
        <f t="shared" si="11"/>
        <v>-8.2805400767327342</v>
      </c>
      <c r="H74">
        <f>Main!O74</f>
        <v>6.1518160000000002</v>
      </c>
    </row>
    <row r="75" spans="1:8" x14ac:dyDescent="0.25">
      <c r="A75">
        <f>Main!$K$2</f>
        <v>0.02</v>
      </c>
      <c r="B75">
        <f>Main!T75</f>
        <v>57.48200896643791</v>
      </c>
      <c r="C75">
        <f>Main!U75</f>
        <v>284.49850160329595</v>
      </c>
      <c r="D75">
        <f t="shared" si="8"/>
        <v>57.576236176370067</v>
      </c>
      <c r="E75">
        <f t="shared" si="9"/>
        <v>50.656020629878995</v>
      </c>
      <c r="F75">
        <f t="shared" si="10"/>
        <v>-6.8567093357607689</v>
      </c>
      <c r="G75">
        <f t="shared" si="11"/>
        <v>-6.6242760512480459</v>
      </c>
      <c r="H75">
        <f>Main!O75</f>
        <v>6.1454610000000001</v>
      </c>
    </row>
    <row r="76" spans="1:8" x14ac:dyDescent="0.25">
      <c r="A76">
        <f>Main!$K$2</f>
        <v>0.02</v>
      </c>
      <c r="B76">
        <f>Main!T76</f>
        <v>58.484561553640823</v>
      </c>
      <c r="C76">
        <f>Main!U76</f>
        <v>284.35255202188296</v>
      </c>
      <c r="D76">
        <f t="shared" si="8"/>
        <v>58.589356588967647</v>
      </c>
      <c r="E76">
        <f t="shared" si="9"/>
        <v>50.51888644316378</v>
      </c>
      <c r="F76">
        <f t="shared" si="10"/>
        <v>-6.9891948567857298</v>
      </c>
      <c r="G76">
        <f t="shared" si="11"/>
        <v>-8.2804257584001562</v>
      </c>
      <c r="H76">
        <f>Main!O76</f>
        <v>6.1389040000000001</v>
      </c>
    </row>
    <row r="77" spans="1:8" x14ac:dyDescent="0.25">
      <c r="A77">
        <f>Main!$K$2</f>
        <v>0.02</v>
      </c>
      <c r="B77">
        <f>Main!T77</f>
        <v>59.483389800639685</v>
      </c>
      <c r="C77">
        <f>Main!U77</f>
        <v>284.20021920210962</v>
      </c>
      <c r="D77">
        <f t="shared" si="8"/>
        <v>59.599734317830922</v>
      </c>
      <c r="E77">
        <f t="shared" si="9"/>
        <v>50.379102546028065</v>
      </c>
      <c r="F77">
        <f t="shared" si="10"/>
        <v>-7.1548033719537329</v>
      </c>
      <c r="G77">
        <f t="shared" si="11"/>
        <v>-9.9365599339762412</v>
      </c>
      <c r="H77">
        <f>Main!O77</f>
        <v>6.1321399999999997</v>
      </c>
    </row>
    <row r="78" spans="1:8" x14ac:dyDescent="0.25">
      <c r="A78">
        <f>Main!$K$2</f>
        <v>0.02</v>
      </c>
      <c r="B78">
        <f>Main!T78</f>
        <v>60.478367364017295</v>
      </c>
      <c r="C78">
        <f>Main!U78</f>
        <v>284.04134428995405</v>
      </c>
      <c r="D78">
        <f t="shared" si="8"/>
        <v>60.607316368751484</v>
      </c>
      <c r="E78">
        <f t="shared" si="9"/>
        <v>50.23600647858899</v>
      </c>
      <c r="F78">
        <f t="shared" si="10"/>
        <v>-7.3535345706332578</v>
      </c>
      <c r="G78">
        <f t="shared" si="11"/>
        <v>-9.9364799481804766</v>
      </c>
      <c r="H78">
        <f>Main!O78</f>
        <v>6.125165</v>
      </c>
    </row>
    <row r="79" spans="1:8" x14ac:dyDescent="0.25">
      <c r="A79">
        <f>Main!$K$2</f>
        <v>0.02</v>
      </c>
      <c r="B79">
        <f>Main!T79</f>
        <v>61.469350449511211</v>
      </c>
      <c r="C79">
        <f>Main!U79</f>
        <v>283.87576934308197</v>
      </c>
      <c r="D79">
        <f t="shared" si="8"/>
        <v>61.612036498323263</v>
      </c>
      <c r="E79">
        <f t="shared" si="9"/>
        <v>50.088935787176325</v>
      </c>
      <c r="F79">
        <f t="shared" si="10"/>
        <v>-7.5522641695968673</v>
      </c>
      <c r="G79">
        <f t="shared" si="11"/>
        <v>-4.9678147160392427</v>
      </c>
      <c r="H79">
        <f>Main!O79</f>
        <v>6.1179740000000002</v>
      </c>
    </row>
    <row r="80" spans="1:8" x14ac:dyDescent="0.25">
      <c r="A80">
        <f>Main!$K$2</f>
        <v>0.02</v>
      </c>
      <c r="B80">
        <f>Main!T80</f>
        <v>62.456177517043507</v>
      </c>
      <c r="C80">
        <f>Main!U80</f>
        <v>283.7033369386379</v>
      </c>
      <c r="D80">
        <f t="shared" si="8"/>
        <v>62.61381521406679</v>
      </c>
      <c r="E80">
        <f t="shared" si="9"/>
        <v>49.937890503784388</v>
      </c>
      <c r="F80">
        <f t="shared" si="10"/>
        <v>-7.6516204639176522</v>
      </c>
      <c r="G80">
        <f t="shared" si="11"/>
        <v>-9.9363243482031294</v>
      </c>
      <c r="H80">
        <f>Main!O80</f>
        <v>6.1105609999999997</v>
      </c>
    </row>
    <row r="81" spans="1:8" x14ac:dyDescent="0.25">
      <c r="A81">
        <f>Main!$K$2</f>
        <v>0.02</v>
      </c>
      <c r="B81">
        <f>Main!T81</f>
        <v>63.438682192779297</v>
      </c>
      <c r="C81">
        <f>Main!U81</f>
        <v>283.52388854676855</v>
      </c>
      <c r="D81">
        <f t="shared" si="8"/>
        <v>63.612573024142478</v>
      </c>
      <c r="E81">
        <f t="shared" si="9"/>
        <v>49.784858094506035</v>
      </c>
      <c r="F81">
        <f t="shared" si="10"/>
        <v>-7.8503469508817147</v>
      </c>
      <c r="G81">
        <f t="shared" si="11"/>
        <v>-11.592413459382556</v>
      </c>
      <c r="H81">
        <f>Main!O81</f>
        <v>6.1029200000000001</v>
      </c>
    </row>
    <row r="82" spans="1:8" x14ac:dyDescent="0.25">
      <c r="A82">
        <f>Main!$K$2</f>
        <v>0.02</v>
      </c>
      <c r="B82">
        <f>Main!T82</f>
        <v>64.416732732718771</v>
      </c>
      <c r="C82">
        <f>Main!U82</f>
        <v>283.33726062945675</v>
      </c>
      <c r="D82">
        <f t="shared" si="8"/>
        <v>64.608270186032598</v>
      </c>
      <c r="E82">
        <f t="shared" si="9"/>
        <v>49.627851155488401</v>
      </c>
      <c r="F82">
        <f t="shared" si="10"/>
        <v>-8.0821952200693659</v>
      </c>
      <c r="G82">
        <f t="shared" si="11"/>
        <v>-4.9675719964170639</v>
      </c>
      <c r="H82">
        <f>Main!O82</f>
        <v>6.0950480000000002</v>
      </c>
    </row>
    <row r="83" spans="1:8" x14ac:dyDescent="0.25">
      <c r="A83">
        <f>Main!$K$2</f>
        <v>0.02</v>
      </c>
      <c r="B83">
        <f>Main!T83</f>
        <v>65.390152998831795</v>
      </c>
      <c r="C83">
        <f>Main!U83</f>
        <v>283.14329560775184</v>
      </c>
      <c r="D83">
        <f t="shared" si="8"/>
        <v>65.600827209142366</v>
      </c>
      <c r="E83">
        <f t="shared" si="9"/>
        <v>49.466207251087013</v>
      </c>
      <c r="F83">
        <f t="shared" si="10"/>
        <v>-8.1815466599977071</v>
      </c>
      <c r="G83">
        <f t="shared" si="11"/>
        <v>-13.248385632991244</v>
      </c>
      <c r="H83">
        <f>Main!O83</f>
        <v>6.0869390000000001</v>
      </c>
    </row>
    <row r="84" spans="1:8" x14ac:dyDescent="0.25">
      <c r="A84">
        <f>Main!$K$2</f>
        <v>0.02</v>
      </c>
      <c r="B84">
        <f>Main!T84</f>
        <v>66.358748268154201</v>
      </c>
      <c r="C84">
        <f>Main!U84</f>
        <v>282.9418372543156</v>
      </c>
      <c r="D84">
        <f t="shared" si="8"/>
        <v>66.590151354164107</v>
      </c>
      <c r="E84">
        <f t="shared" si="9"/>
        <v>49.302576317887059</v>
      </c>
      <c r="F84">
        <f t="shared" si="10"/>
        <v>-8.446514372657532</v>
      </c>
      <c r="G84">
        <f t="shared" si="11"/>
        <v>-6.6235515383539223</v>
      </c>
      <c r="H84">
        <f>Main!O84</f>
        <v>6.0785859999999996</v>
      </c>
    </row>
    <row r="85" spans="1:8" x14ac:dyDescent="0.25">
      <c r="A85">
        <f>Main!$K$2</f>
        <v>0.02</v>
      </c>
      <c r="B85">
        <f>Main!T85</f>
        <v>67.322370792182696</v>
      </c>
      <c r="C85">
        <f>Main!U85</f>
        <v>282.73272187033496</v>
      </c>
      <c r="D85">
        <f t="shared" si="8"/>
        <v>67.576202880521848</v>
      </c>
      <c r="E85">
        <f t="shared" si="9"/>
        <v>49.133646030433908</v>
      </c>
      <c r="F85">
        <f t="shared" si="10"/>
        <v>-8.5789854034246105</v>
      </c>
      <c r="G85">
        <f t="shared" si="11"/>
        <v>-8.2796224294412468</v>
      </c>
      <c r="H85">
        <f>Main!O85</f>
        <v>6.0699860000000001</v>
      </c>
    </row>
    <row r="86" spans="1:8" x14ac:dyDescent="0.25">
      <c r="A86">
        <f>Main!$K$2</f>
        <v>0.02</v>
      </c>
      <c r="B86">
        <f>Main!T86</f>
        <v>68.280801684138211</v>
      </c>
      <c r="C86">
        <f>Main!U86</f>
        <v>282.51579724231192</v>
      </c>
      <c r="D86">
        <f t="shared" si="8"/>
        <v>68.558875801130526</v>
      </c>
      <c r="E86">
        <f t="shared" si="9"/>
        <v>48.962066322365416</v>
      </c>
      <c r="F86">
        <f t="shared" si="10"/>
        <v>-8.7445778520134354</v>
      </c>
      <c r="G86">
        <f t="shared" si="11"/>
        <v>-11.591830011425941</v>
      </c>
      <c r="H86">
        <f>Main!O86</f>
        <v>6.0611309999999996</v>
      </c>
    </row>
    <row r="87" spans="1:8" x14ac:dyDescent="0.25">
      <c r="A87">
        <f>Main!$K$2</f>
        <v>0.02</v>
      </c>
      <c r="B87">
        <f>Main!T87</f>
        <v>69.233868354046933</v>
      </c>
      <c r="C87">
        <f>Main!U87</f>
        <v>282.29090282679346</v>
      </c>
      <c r="D87">
        <f t="shared" si="8"/>
        <v>69.538117127577834</v>
      </c>
      <c r="E87">
        <f t="shared" si="9"/>
        <v>48.787174765325148</v>
      </c>
      <c r="F87">
        <f t="shared" si="10"/>
        <v>-8.9764144522419542</v>
      </c>
      <c r="G87">
        <f t="shared" si="11"/>
        <v>-4.9670449335792455</v>
      </c>
      <c r="H87">
        <f>Main!O87</f>
        <v>6.0520170000000002</v>
      </c>
    </row>
    <row r="88" spans="1:8" x14ac:dyDescent="0.25">
      <c r="A88">
        <f>Main!$K$2</f>
        <v>0.02</v>
      </c>
      <c r="B88">
        <f>Main!T88</f>
        <v>70.181379240515398</v>
      </c>
      <c r="C88">
        <f>Main!U88</f>
        <v>282.05788246575884</v>
      </c>
      <c r="D88">
        <f t="shared" si="8"/>
        <v>70.513860622884337</v>
      </c>
      <c r="E88">
        <f t="shared" si="9"/>
        <v>48.607646476280308</v>
      </c>
      <c r="F88">
        <f t="shared" si="10"/>
        <v>-9.0757553509135391</v>
      </c>
      <c r="G88">
        <f t="shared" si="11"/>
        <v>-13.247702002061601</v>
      </c>
      <c r="H88">
        <f>Main!O88</f>
        <v>6.0426390000000003</v>
      </c>
    </row>
    <row r="89" spans="1:8" x14ac:dyDescent="0.25">
      <c r="A89">
        <f>Main!$K$2</f>
        <v>0.02</v>
      </c>
      <c r="B89">
        <f>Main!T89</f>
        <v>71.123110391534553</v>
      </c>
      <c r="C89">
        <f>Main!U89</f>
        <v>281.81658646996664</v>
      </c>
      <c r="D89">
        <f t="shared" si="8"/>
        <v>71.486013552409943</v>
      </c>
      <c r="E89">
        <f t="shared" si="9"/>
        <v>48.426131369262038</v>
      </c>
      <c r="F89">
        <f t="shared" si="10"/>
        <v>-9.3407093909547712</v>
      </c>
      <c r="G89">
        <f t="shared" si="11"/>
        <v>-4.9667817112464263</v>
      </c>
      <c r="H89">
        <f>Main!O89</f>
        <v>6.0329899999999999</v>
      </c>
    </row>
    <row r="90" spans="1:8" x14ac:dyDescent="0.25">
      <c r="A90">
        <f>Main!$K$2</f>
        <v>0.02</v>
      </c>
      <c r="B90">
        <f>Main!T90</f>
        <v>72.058883499982102</v>
      </c>
      <c r="C90">
        <f>Main!U90</f>
        <v>281.56685707789671</v>
      </c>
      <c r="D90">
        <f t="shared" si="8"/>
        <v>72.454536179795184</v>
      </c>
      <c r="E90">
        <f t="shared" si="9"/>
        <v>48.239317181442942</v>
      </c>
      <c r="F90">
        <f t="shared" si="10"/>
        <v>-9.4400450251796997</v>
      </c>
      <c r="G90">
        <f t="shared" si="11"/>
        <v>-8.2789466535615475</v>
      </c>
      <c r="H90">
        <f>Main!O90</f>
        <v>6.0230670000000002</v>
      </c>
    </row>
    <row r="91" spans="1:8" x14ac:dyDescent="0.25">
      <c r="A91">
        <f>Main!$K$2</f>
        <v>0.02</v>
      </c>
      <c r="B91">
        <f>Main!T91</f>
        <v>72.98844877105283</v>
      </c>
      <c r="C91">
        <f>Main!U91</f>
        <v>281.30855280833862</v>
      </c>
      <c r="D91">
        <f t="shared" si="8"/>
        <v>73.419322523424043</v>
      </c>
      <c r="E91">
        <f t="shared" si="9"/>
        <v>48.050516280939348</v>
      </c>
      <c r="F91">
        <f t="shared" si="10"/>
        <v>-9.6056239582509306</v>
      </c>
      <c r="G91">
        <f t="shared" si="11"/>
        <v>-8.2787888651125741</v>
      </c>
      <c r="H91">
        <f>Main!O91</f>
        <v>6.0128620000000002</v>
      </c>
    </row>
    <row r="92" spans="1:8" x14ac:dyDescent="0.25">
      <c r="A92">
        <f>Main!$K$2</f>
        <v>0.02</v>
      </c>
      <c r="B92">
        <f>Main!T92</f>
        <v>73.911614365512733</v>
      </c>
      <c r="C92">
        <f>Main!U92</f>
        <v>281.04152072945777</v>
      </c>
      <c r="D92">
        <f t="shared" si="8"/>
        <v>74.38033284904283</v>
      </c>
      <c r="E92">
        <f t="shared" si="9"/>
        <v>47.85840380177433</v>
      </c>
      <c r="F92">
        <f t="shared" si="10"/>
        <v>-9.7711997355531821</v>
      </c>
      <c r="G92">
        <f t="shared" si="11"/>
        <v>-8.2786219071095957</v>
      </c>
      <c r="H92">
        <f>Main!O92</f>
        <v>6.0023720000000003</v>
      </c>
    </row>
    <row r="93" spans="1:8" x14ac:dyDescent="0.25">
      <c r="A93">
        <f>Main!$K$2</f>
        <v>0.02</v>
      </c>
      <c r="B93">
        <f>Main!T93</f>
        <v>74.828155934445988</v>
      </c>
      <c r="C93">
        <f>Main!U93</f>
        <v>280.76561806872604</v>
      </c>
      <c r="D93">
        <f t="shared" si="8"/>
        <v>75.337500925078317</v>
      </c>
      <c r="E93">
        <f t="shared" si="9"/>
        <v>47.662979807063266</v>
      </c>
      <c r="F93">
        <f t="shared" si="10"/>
        <v>-9.936772173695374</v>
      </c>
      <c r="G93">
        <f t="shared" si="11"/>
        <v>-4.9662097261204963</v>
      </c>
      <c r="H93">
        <f>Main!O93</f>
        <v>5.9915919999999998</v>
      </c>
    </row>
    <row r="94" spans="1:8" x14ac:dyDescent="0.25">
      <c r="A94">
        <f>Main!$K$2</f>
        <v>0.02</v>
      </c>
      <c r="B94">
        <f>Main!T94</f>
        <v>75.737842150628225</v>
      </c>
      <c r="C94">
        <f>Main!U94</f>
        <v>280.48070607227197</v>
      </c>
      <c r="D94">
        <f t="shared" si="8"/>
        <v>76.290760521219582</v>
      </c>
      <c r="E94">
        <f t="shared" si="9"/>
        <v>47.464244363589358</v>
      </c>
      <c r="F94">
        <f t="shared" si="10"/>
        <v>-10.036096368217784</v>
      </c>
      <c r="G94">
        <f t="shared" si="11"/>
        <v>-6.6221794323695349</v>
      </c>
      <c r="H94">
        <f>Main!O94</f>
        <v>5.9805169999999999</v>
      </c>
    </row>
    <row r="95" spans="1:8" x14ac:dyDescent="0.25">
      <c r="A95">
        <f>Main!$K$2</f>
        <v>0.02</v>
      </c>
      <c r="B95">
        <f>Main!T95</f>
        <v>76.640434574132797</v>
      </c>
      <c r="C95">
        <f>Main!U95</f>
        <v>280.18665044108161</v>
      </c>
      <c r="D95">
        <f t="shared" si="8"/>
        <v>77.240045408491369</v>
      </c>
      <c r="E95">
        <f t="shared" si="9"/>
        <v>47.263522436225003</v>
      </c>
      <c r="F95">
        <f t="shared" si="10"/>
        <v>-10.168539956865175</v>
      </c>
      <c r="G95">
        <f t="shared" si="11"/>
        <v>-4.9659065837204253</v>
      </c>
      <c r="H95">
        <f>Main!O95</f>
        <v>5.9691419999999997</v>
      </c>
    </row>
    <row r="96" spans="1:8" x14ac:dyDescent="0.25">
      <c r="A96">
        <f>Main!$K$2</f>
        <v>0.02</v>
      </c>
      <c r="B96">
        <f>Main!T96</f>
        <v>77.535713338859935</v>
      </c>
      <c r="C96">
        <f>Main!U96</f>
        <v>279.88331538761685</v>
      </c>
      <c r="D96">
        <f t="shared" si="8"/>
        <v>78.185315857215869</v>
      </c>
      <c r="E96">
        <f t="shared" si="9"/>
        <v>47.060151637087699</v>
      </c>
      <c r="F96">
        <f t="shared" si="10"/>
        <v>-10.267858088539583</v>
      </c>
      <c r="G96">
        <f t="shared" si="11"/>
        <v>-4.965752365748699</v>
      </c>
      <c r="H96">
        <f>Main!O96</f>
        <v>5.9574639999999999</v>
      </c>
    </row>
    <row r="97" spans="1:8" x14ac:dyDescent="0.25">
      <c r="A97">
        <f>Main!$K$2</f>
        <v>0.02</v>
      </c>
      <c r="B97">
        <f>Main!T97</f>
        <v>78.423438753258978</v>
      </c>
      <c r="C97">
        <f>Main!U97</f>
        <v>279.57057470034971</v>
      </c>
      <c r="D97">
        <f t="shared" si="8"/>
        <v>79.126518889957623</v>
      </c>
      <c r="E97">
        <f t="shared" si="9"/>
        <v>46.854794475316908</v>
      </c>
      <c r="F97">
        <f t="shared" si="10"/>
        <v>-10.367173135854557</v>
      </c>
      <c r="G97">
        <f t="shared" si="11"/>
        <v>-3.3095062974553002</v>
      </c>
      <c r="H97">
        <f>Main!O97</f>
        <v>5.9454789999999997</v>
      </c>
    </row>
    <row r="98" spans="1:8" x14ac:dyDescent="0.25">
      <c r="A98">
        <f>Main!$K$2</f>
        <v>0.02</v>
      </c>
      <c r="B98">
        <f>Main!T98</f>
        <v>79.30337673573176</v>
      </c>
      <c r="C98">
        <f>Main!U98</f>
        <v>279.24830485514013</v>
      </c>
      <c r="D98">
        <f t="shared" si="8"/>
        <v>80.063614779463961</v>
      </c>
      <c r="E98">
        <f t="shared" si="9"/>
        <v>46.647451012599817</v>
      </c>
      <c r="F98">
        <f t="shared" si="10"/>
        <v>-10.433363261803663</v>
      </c>
      <c r="G98">
        <f t="shared" si="11"/>
        <v>-3.3093654181470811</v>
      </c>
      <c r="H98">
        <f>Main!O98</f>
        <v>5.9331839999999998</v>
      </c>
    </row>
    <row r="99" spans="1:8" x14ac:dyDescent="0.25">
      <c r="A99">
        <f>Main!$K$2</f>
        <v>0.02</v>
      </c>
      <c r="B99">
        <f>Main!T99</f>
        <v>80.175286121362973</v>
      </c>
      <c r="C99">
        <f>Main!U99</f>
        <v>278.91638935740411</v>
      </c>
      <c r="D99">
        <f t="shared" si="8"/>
        <v>80.996563799715958</v>
      </c>
      <c r="E99">
        <f t="shared" si="9"/>
        <v>46.438783747363743</v>
      </c>
      <c r="F99">
        <f t="shared" si="10"/>
        <v>-10.499550570166605</v>
      </c>
      <c r="G99">
        <f t="shared" si="11"/>
        <v>1.658980520957698</v>
      </c>
      <c r="H99">
        <f>Main!O99</f>
        <v>5.9205759999999996</v>
      </c>
    </row>
    <row r="100" spans="1:8" x14ac:dyDescent="0.25">
      <c r="A100">
        <f>Main!$K$2</f>
        <v>0.02</v>
      </c>
      <c r="B100">
        <f>Main!T100</f>
        <v>81.038931360915981</v>
      </c>
      <c r="C100">
        <f>Main!U100</f>
        <v>278.57471531014386</v>
      </c>
      <c r="D100">
        <f t="shared" si="8"/>
        <v>81.925339474663232</v>
      </c>
      <c r="E100">
        <f t="shared" si="9"/>
        <v>46.228792735960411</v>
      </c>
      <c r="F100">
        <f t="shared" si="10"/>
        <v>-10.466370959747451</v>
      </c>
      <c r="G100">
        <f t="shared" si="11"/>
        <v>-3.3091262707785063</v>
      </c>
      <c r="H100">
        <f>Main!O100</f>
        <v>5.9076529999999998</v>
      </c>
    </row>
    <row r="101" spans="1:8" x14ac:dyDescent="0.25">
      <c r="A101">
        <f>Main!$K$2</f>
        <v>0.02</v>
      </c>
      <c r="B101">
        <f>Main!T101</f>
        <v>81.894069970959194</v>
      </c>
      <c r="C101">
        <f>Main!U101</f>
        <v>278.22317801661285</v>
      </c>
      <c r="D101">
        <f t="shared" si="8"/>
        <v>82.849915329382441</v>
      </c>
      <c r="E101">
        <f t="shared" si="9"/>
        <v>46.019465316765462</v>
      </c>
      <c r="F101">
        <f t="shared" si="10"/>
        <v>-10.532553485163021</v>
      </c>
      <c r="G101">
        <f t="shared" si="11"/>
        <v>3.315215460375498</v>
      </c>
      <c r="H101">
        <f>Main!O101</f>
        <v>5.8944130000000001</v>
      </c>
    </row>
    <row r="102" spans="1:8" x14ac:dyDescent="0.25">
      <c r="A102">
        <f>Main!$K$2</f>
        <v>0.02</v>
      </c>
      <c r="B102">
        <f>Main!T102</f>
        <v>82.740490421484381</v>
      </c>
      <c r="C102">
        <f>Main!U102</f>
        <v>277.86166882426897</v>
      </c>
      <c r="D102">
        <f t="shared" si="8"/>
        <v>83.77030463571775</v>
      </c>
      <c r="E102">
        <f t="shared" si="9"/>
        <v>45.808814247062202</v>
      </c>
      <c r="F102">
        <f t="shared" si="10"/>
        <v>-10.466249175955511</v>
      </c>
      <c r="G102">
        <f t="shared" si="11"/>
        <v>1.6592143534666093</v>
      </c>
      <c r="H102">
        <f>Main!O102</f>
        <v>5.8808569999999998</v>
      </c>
    </row>
    <row r="103" spans="1:8" x14ac:dyDescent="0.25">
      <c r="A103">
        <f>Main!$K$2</f>
        <v>0.02</v>
      </c>
      <c r="B103">
        <f>Main!T103</f>
        <v>83.577937195576908</v>
      </c>
      <c r="C103">
        <f>Main!U103</f>
        <v>277.4901020258992</v>
      </c>
      <c r="D103">
        <f t="shared" si="8"/>
        <v>84.686480920658994</v>
      </c>
      <c r="E103">
        <f t="shared" si="9"/>
        <v>45.599489263543092</v>
      </c>
      <c r="F103">
        <f t="shared" si="10"/>
        <v>-10.433064888886179</v>
      </c>
      <c r="G103">
        <f t="shared" si="11"/>
        <v>4.9713327179290445</v>
      </c>
      <c r="H103">
        <f>Main!O103</f>
        <v>5.8669830000000003</v>
      </c>
    </row>
    <row r="104" spans="1:8" x14ac:dyDescent="0.25">
      <c r="A104">
        <f>Main!$K$2</f>
        <v>0.02</v>
      </c>
      <c r="B104">
        <f>Main!T104</f>
        <v>84.406198010585484</v>
      </c>
      <c r="C104">
        <f>Main!U104</f>
        <v>277.1083830314023</v>
      </c>
      <c r="D104">
        <f t="shared" si="8"/>
        <v>85.598470705929856</v>
      </c>
      <c r="E104">
        <f t="shared" si="9"/>
        <v>45.390827965765368</v>
      </c>
      <c r="F104">
        <f t="shared" si="10"/>
        <v>-10.333638234527598</v>
      </c>
      <c r="G104">
        <f t="shared" si="11"/>
        <v>8.2833659504899515</v>
      </c>
      <c r="H104">
        <f>Main!O104</f>
        <v>5.8527930000000001</v>
      </c>
    </row>
    <row r="105" spans="1:8" x14ac:dyDescent="0.25">
      <c r="A105">
        <f>Main!$K$2</f>
        <v>0.02</v>
      </c>
      <c r="B105">
        <f>Main!T105</f>
        <v>85.225042217689605</v>
      </c>
      <c r="C105">
        <f>Main!U105</f>
        <v>276.71643269033967</v>
      </c>
      <c r="D105">
        <f t="shared" si="8"/>
        <v>86.506287265245163</v>
      </c>
      <c r="E105">
        <f t="shared" si="9"/>
        <v>45.184155201074816</v>
      </c>
      <c r="F105">
        <f t="shared" si="10"/>
        <v>-10.167970915517799</v>
      </c>
      <c r="G105">
        <f t="shared" si="11"/>
        <v>4.9712891350139898</v>
      </c>
      <c r="H105">
        <f>Main!O105</f>
        <v>5.8382880000000004</v>
      </c>
    </row>
    <row r="106" spans="1:8" x14ac:dyDescent="0.25">
      <c r="A106">
        <f>Main!$K$2</f>
        <v>0.02</v>
      </c>
      <c r="B106">
        <f>Main!T106</f>
        <v>86.034257927166578</v>
      </c>
      <c r="C106">
        <f>Main!U106</f>
        <v>276.31417271466523</v>
      </c>
      <c r="D106">
        <f t="shared" si="8"/>
        <v>87.409970369266659</v>
      </c>
      <c r="E106">
        <f t="shared" si="9"/>
        <v>44.98079578276446</v>
      </c>
      <c r="F106">
        <f t="shared" si="10"/>
        <v>-10.068545132817519</v>
      </c>
      <c r="G106">
        <f t="shared" si="11"/>
        <v>13.251255765567294</v>
      </c>
      <c r="H106">
        <f>Main!O106</f>
        <v>5.8234709999999996</v>
      </c>
    </row>
    <row r="107" spans="1:8" x14ac:dyDescent="0.25">
      <c r="A107">
        <f>Main!$K$2</f>
        <v>0.02</v>
      </c>
      <c r="B107">
        <f>Main!T107</f>
        <v>86.833652386108696</v>
      </c>
      <c r="C107">
        <f>Main!U107</f>
        <v>275.90152601988513</v>
      </c>
      <c r="D107">
        <f t="shared" si="8"/>
        <v>88.309586284921949</v>
      </c>
      <c r="E107">
        <f t="shared" si="9"/>
        <v>44.77942488010811</v>
      </c>
      <c r="F107">
        <f t="shared" si="10"/>
        <v>-9.8035200175061732</v>
      </c>
      <c r="G107">
        <f t="shared" si="11"/>
        <v>9.9391156673789283</v>
      </c>
      <c r="H107">
        <f>Main!O107</f>
        <v>5.8083470000000004</v>
      </c>
    </row>
    <row r="108" spans="1:8" x14ac:dyDescent="0.25">
      <c r="A108">
        <f>Main!$K$2</f>
        <v>0.02</v>
      </c>
      <c r="B108">
        <f>Main!T108</f>
        <v>87.623003560151176</v>
      </c>
      <c r="C108">
        <f>Main!U108</f>
        <v>275.47843798994921</v>
      </c>
      <c r="D108">
        <f t="shared" si="8"/>
        <v>89.205174782524111</v>
      </c>
      <c r="E108">
        <f t="shared" si="9"/>
        <v>44.583354479757986</v>
      </c>
      <c r="F108">
        <f t="shared" si="10"/>
        <v>-9.6047377041585946</v>
      </c>
      <c r="G108">
        <f t="shared" si="11"/>
        <v>14.906921872892553</v>
      </c>
      <c r="H108">
        <f>Main!O108</f>
        <v>5.7929190000000004</v>
      </c>
    </row>
    <row r="109" spans="1:8" x14ac:dyDescent="0.25">
      <c r="A109">
        <f>Main!$K$2</f>
        <v>0.02</v>
      </c>
      <c r="B109">
        <f>Main!T109</f>
        <v>88.402145048479497</v>
      </c>
      <c r="C109">
        <f>Main!U109</f>
        <v>275.04483824383232</v>
      </c>
      <c r="D109">
        <f t="shared" si="8"/>
        <v>90.096841872119271</v>
      </c>
      <c r="E109">
        <f t="shared" si="9"/>
        <v>44.391259725674814</v>
      </c>
      <c r="F109">
        <f t="shared" si="10"/>
        <v>-9.3065992667007436</v>
      </c>
      <c r="G109">
        <f t="shared" si="11"/>
        <v>16.562670046127437</v>
      </c>
      <c r="H109">
        <f>Main!O109</f>
        <v>5.7771949999999999</v>
      </c>
    </row>
    <row r="110" spans="1:8" x14ac:dyDescent="0.25">
      <c r="A110">
        <f>Main!$K$2</f>
        <v>0.02</v>
      </c>
      <c r="B110">
        <f>Main!T110</f>
        <v>89.170882519502726</v>
      </c>
      <c r="C110">
        <f>Main!U110</f>
        <v>274.60068030271481</v>
      </c>
      <c r="D110">
        <f t="shared" si="8"/>
        <v>90.984667066632767</v>
      </c>
      <c r="E110">
        <f t="shared" si="9"/>
        <v>44.205127740340799</v>
      </c>
      <c r="F110">
        <f t="shared" si="10"/>
        <v>-8.9753458657781948</v>
      </c>
      <c r="G110">
        <f t="shared" si="11"/>
        <v>19.874325056790099</v>
      </c>
      <c r="H110">
        <f>Main!O110</f>
        <v>5.7611809999999997</v>
      </c>
    </row>
    <row r="111" spans="1:8" x14ac:dyDescent="0.25">
      <c r="A111">
        <f>Main!$K$2</f>
        <v>0.02</v>
      </c>
      <c r="B111">
        <f>Main!T111</f>
        <v>89.929053566728228</v>
      </c>
      <c r="C111">
        <f>Main!U111</f>
        <v>274.14591224033035</v>
      </c>
      <c r="D111">
        <f t="shared" si="8"/>
        <v>91.868769621439583</v>
      </c>
      <c r="E111">
        <f t="shared" si="9"/>
        <v>44.025620823025235</v>
      </c>
      <c r="F111">
        <f t="shared" si="10"/>
        <v>-8.5778593646423928</v>
      </c>
      <c r="G111">
        <f t="shared" si="11"/>
        <v>19.874012847864719</v>
      </c>
      <c r="H111">
        <f>Main!O111</f>
        <v>5.7448860000000002</v>
      </c>
    </row>
    <row r="112" spans="1:8" x14ac:dyDescent="0.25">
      <c r="A112">
        <f>Main!$K$2</f>
        <v>0.02</v>
      </c>
      <c r="B112">
        <f>Main!T112</f>
        <v>90.676504536634724</v>
      </c>
      <c r="C112">
        <f>Main!U112</f>
        <v>273.68048860198894</v>
      </c>
      <c r="D112">
        <f t="shared" si="8"/>
        <v>92.749282037900088</v>
      </c>
      <c r="E112">
        <f t="shared" si="9"/>
        <v>43.854063635732388</v>
      </c>
      <c r="F112">
        <f t="shared" si="10"/>
        <v>-8.1803791076850985</v>
      </c>
      <c r="G112">
        <f t="shared" si="11"/>
        <v>21.529635148453963</v>
      </c>
      <c r="H112">
        <f>Main!O112</f>
        <v>5.7283200000000001</v>
      </c>
    </row>
    <row r="113" spans="1:8" x14ac:dyDescent="0.25">
      <c r="A113">
        <f>Main!$K$2</f>
        <v>0.02</v>
      </c>
      <c r="B113">
        <f>Main!T113</f>
        <v>91.413102676110384</v>
      </c>
      <c r="C113">
        <f>Main!U113</f>
        <v>273.20436389157396</v>
      </c>
      <c r="D113">
        <f t="shared" si="8"/>
        <v>93.626363310614735</v>
      </c>
      <c r="E113">
        <f t="shared" si="9"/>
        <v>43.690456053578686</v>
      </c>
      <c r="F113">
        <f t="shared" si="10"/>
        <v>-7.7497864047160192</v>
      </c>
      <c r="G113">
        <f t="shared" si="11"/>
        <v>28.15299272107552</v>
      </c>
      <c r="H113">
        <f>Main!O113</f>
        <v>5.7114950000000002</v>
      </c>
    </row>
    <row r="114" spans="1:8" x14ac:dyDescent="0.25">
      <c r="A114">
        <f>Main!$K$2</f>
        <v>0.02</v>
      </c>
      <c r="B114">
        <f>Main!T114</f>
        <v>92.138713346487137</v>
      </c>
      <c r="C114">
        <f>Main!U114</f>
        <v>272.71750504642142</v>
      </c>
      <c r="D114">
        <f t="shared" si="8"/>
        <v>94.500172431686309</v>
      </c>
      <c r="E114">
        <f t="shared" si="9"/>
        <v>43.535460325484365</v>
      </c>
      <c r="F114">
        <f t="shared" si="10"/>
        <v>-7.1867265502945088</v>
      </c>
      <c r="G114">
        <f t="shared" si="11"/>
        <v>26.496645084250758</v>
      </c>
      <c r="H114">
        <f>Main!O114</f>
        <v>5.6944229999999996</v>
      </c>
    </row>
    <row r="115" spans="1:8" x14ac:dyDescent="0.25">
      <c r="A115">
        <f>Main!$K$2</f>
        <v>0.02</v>
      </c>
      <c r="B115">
        <f>Main!T115</f>
        <v>92.853211938485074</v>
      </c>
      <c r="C115">
        <f>Main!U115</f>
        <v>272.21988442352313</v>
      </c>
      <c r="D115">
        <f t="shared" si="8"/>
        <v>95.370881638195996</v>
      </c>
      <c r="E115">
        <f t="shared" si="9"/>
        <v>43.391725794478475</v>
      </c>
      <c r="F115">
        <f t="shared" si="10"/>
        <v>-6.6567936486094936</v>
      </c>
      <c r="G115">
        <f t="shared" si="11"/>
        <v>26.496257643060517</v>
      </c>
      <c r="H115">
        <f>Main!O115</f>
        <v>5.677117</v>
      </c>
    </row>
    <row r="116" spans="1:8" x14ac:dyDescent="0.25">
      <c r="A116">
        <f>Main!$K$2</f>
        <v>0.02</v>
      </c>
      <c r="B116">
        <f>Main!T116</f>
        <v>93.556518504937827</v>
      </c>
      <c r="C116">
        <f>Main!U116</f>
        <v>271.7114587941989</v>
      </c>
      <c r="D116">
        <f t="shared" si="8"/>
        <v>96.238716154085566</v>
      </c>
      <c r="E116">
        <f t="shared" si="9"/>
        <v>43.258589921506285</v>
      </c>
      <c r="F116">
        <f t="shared" si="10"/>
        <v>-6.1268684957482833</v>
      </c>
      <c r="G116">
        <f t="shared" si="11"/>
        <v>34.775385358898347</v>
      </c>
      <c r="H116">
        <f>Main!O116</f>
        <v>5.6595940000000002</v>
      </c>
    </row>
    <row r="117" spans="1:8" x14ac:dyDescent="0.25">
      <c r="A117">
        <f>Main!$K$2</f>
        <v>0.02</v>
      </c>
      <c r="B117">
        <f>Main!T117</f>
        <v>94.24854190761971</v>
      </c>
      <c r="C117">
        <f>Main!U117</f>
        <v>271.19220370184121</v>
      </c>
      <c r="D117">
        <f t="shared" si="8"/>
        <v>97.103887952515691</v>
      </c>
      <c r="E117">
        <f t="shared" si="9"/>
        <v>43.13605255159132</v>
      </c>
      <c r="F117">
        <f t="shared" si="10"/>
        <v>-5.4313607885703163</v>
      </c>
      <c r="G117">
        <f t="shared" si="11"/>
        <v>31.463156341615672</v>
      </c>
      <c r="H117">
        <f>Main!O117</f>
        <v>5.6418699999999999</v>
      </c>
    </row>
    <row r="118" spans="1:8" x14ac:dyDescent="0.25">
      <c r="A118">
        <f>Main!$K$2</f>
        <v>0.02</v>
      </c>
      <c r="B118">
        <f>Main!T118</f>
        <v>94.929191419366404</v>
      </c>
      <c r="C118">
        <f>Main!U118</f>
        <v>270.66210573537421</v>
      </c>
      <c r="D118">
        <f t="shared" si="8"/>
        <v>97.966609003547518</v>
      </c>
      <c r="E118">
        <f t="shared" si="9"/>
        <v>43.027425335819913</v>
      </c>
      <c r="F118">
        <f t="shared" si="10"/>
        <v>-4.8020976617380029</v>
      </c>
      <c r="G118">
        <f t="shared" si="11"/>
        <v>33.118681377786174</v>
      </c>
      <c r="H118">
        <f>Main!O118</f>
        <v>5.6239610000000004</v>
      </c>
    </row>
    <row r="119" spans="1:8" x14ac:dyDescent="0.25">
      <c r="A119">
        <f>Main!$K$2</f>
        <v>0.02</v>
      </c>
      <c r="B119">
        <f>Main!T119</f>
        <v>95.598432256811009</v>
      </c>
      <c r="C119">
        <f>Main!U119</f>
        <v>270.12112474318661</v>
      </c>
      <c r="D119">
        <f t="shared" si="8"/>
        <v>98.827157510263916</v>
      </c>
      <c r="E119">
        <f t="shared" si="9"/>
        <v>42.931383382585153</v>
      </c>
      <c r="F119">
        <f t="shared" si="10"/>
        <v>-4.1397240341822794</v>
      </c>
      <c r="G119">
        <f t="shared" si="11"/>
        <v>38.085992365211041</v>
      </c>
      <c r="H119">
        <f>Main!O119</f>
        <v>5.6058880000000002</v>
      </c>
    </row>
    <row r="120" spans="1:8" x14ac:dyDescent="0.25">
      <c r="A120">
        <f>Main!$K$2</f>
        <v>0.02</v>
      </c>
      <c r="B120">
        <f>Main!T120</f>
        <v>96.256209907887552</v>
      </c>
      <c r="C120">
        <f>Main!U120</f>
        <v>269.56924610308425</v>
      </c>
      <c r="D120">
        <f t="shared" si="8"/>
        <v>99.685785177915619</v>
      </c>
      <c r="E120">
        <f t="shared" si="9"/>
        <v>42.848588901901508</v>
      </c>
      <c r="F120">
        <f t="shared" si="10"/>
        <v>-3.3780041868780586</v>
      </c>
      <c r="G120">
        <f t="shared" si="11"/>
        <v>34.773915512431586</v>
      </c>
      <c r="H120">
        <f>Main!O120</f>
        <v>5.5876700000000001</v>
      </c>
    </row>
    <row r="121" spans="1:8" x14ac:dyDescent="0.25">
      <c r="A121">
        <f>Main!$K$2</f>
        <v>0.02</v>
      </c>
      <c r="B121">
        <f>Main!T121</f>
        <v>96.902482884163561</v>
      </c>
      <c r="C121">
        <f>Main!U121</f>
        <v>269.00645673885549</v>
      </c>
      <c r="D121">
        <f t="shared" si="8"/>
        <v>100.54275695595365</v>
      </c>
      <c r="E121">
        <f t="shared" si="9"/>
        <v>42.781028818163946</v>
      </c>
      <c r="F121">
        <f t="shared" si="10"/>
        <v>-2.6825258766294269</v>
      </c>
      <c r="G121">
        <f t="shared" si="11"/>
        <v>38.085431706136319</v>
      </c>
      <c r="H121">
        <f>Main!O121</f>
        <v>5.5693270000000004</v>
      </c>
    </row>
    <row r="122" spans="1:8" x14ac:dyDescent="0.25">
      <c r="A122">
        <f>Main!$K$2</f>
        <v>0.02</v>
      </c>
      <c r="B122">
        <f>Main!T122</f>
        <v>97.537244391144696</v>
      </c>
      <c r="C122">
        <f>Main!U122</f>
        <v>268.43272823167524</v>
      </c>
      <c r="D122">
        <f t="shared" si="8"/>
        <v>101.39837753231693</v>
      </c>
      <c r="E122">
        <f t="shared" si="9"/>
        <v>42.727378300631358</v>
      </c>
      <c r="F122">
        <f t="shared" si="10"/>
        <v>-1.9208172425067005</v>
      </c>
      <c r="G122">
        <f t="shared" si="11"/>
        <v>36.429371730761773</v>
      </c>
      <c r="H122">
        <f>Main!O122</f>
        <v>5.5508819999999996</v>
      </c>
    </row>
    <row r="123" spans="1:8" x14ac:dyDescent="0.25">
      <c r="A123">
        <f>Main!$K$2</f>
        <v>0.02</v>
      </c>
      <c r="B123">
        <f>Main!T123</f>
        <v>98.160470607077031</v>
      </c>
      <c r="C123">
        <f>Main!U123</f>
        <v>267.84805684845833</v>
      </c>
      <c r="D123">
        <f t="shared" si="8"/>
        <v>102.25292509832956</v>
      </c>
      <c r="E123">
        <f t="shared" si="9"/>
        <v>42.688961955781224</v>
      </c>
      <c r="F123">
        <f t="shared" si="10"/>
        <v>-1.192229807891465</v>
      </c>
      <c r="G123">
        <f t="shared" si="11"/>
        <v>39.741007114457716</v>
      </c>
      <c r="H123">
        <f>Main!O123</f>
        <v>5.5323560000000001</v>
      </c>
    </row>
    <row r="124" spans="1:8" x14ac:dyDescent="0.25">
      <c r="A124">
        <f>Main!$K$2</f>
        <v>0.02</v>
      </c>
      <c r="B124">
        <f>Main!T124</f>
        <v>98.772162445187433</v>
      </c>
      <c r="C124">
        <f>Main!U124</f>
        <v>267.25242937735413</v>
      </c>
      <c r="D124">
        <f t="shared" si="8"/>
        <v>103.10670433744518</v>
      </c>
      <c r="E124">
        <f t="shared" si="9"/>
        <v>42.665117359623395</v>
      </c>
      <c r="F124">
        <f t="shared" si="10"/>
        <v>-0.39740966560231072</v>
      </c>
      <c r="G124">
        <f t="shared" si="11"/>
        <v>39.740966558454716</v>
      </c>
      <c r="H124">
        <f>Main!O124</f>
        <v>5.5137720000000003</v>
      </c>
    </row>
    <row r="125" spans="1:8" x14ac:dyDescent="0.25">
      <c r="A125">
        <f>Main!$K$2</f>
        <v>0.02</v>
      </c>
      <c r="B125">
        <f>Main!T125</f>
        <v>99.372315673399413</v>
      </c>
      <c r="C125">
        <f>Main!U125</f>
        <v>266.64584797441557</v>
      </c>
      <c r="D125">
        <f t="shared" si="8"/>
        <v>103.96000668463765</v>
      </c>
      <c r="E125">
        <f t="shared" si="9"/>
        <v>42.657169166311348</v>
      </c>
      <c r="F125">
        <f t="shared" si="10"/>
        <v>0.39740966556678359</v>
      </c>
      <c r="G125">
        <f t="shared" si="11"/>
        <v>34.773380594543823</v>
      </c>
      <c r="H125">
        <f>Main!O125</f>
        <v>5.495152</v>
      </c>
    </row>
    <row r="126" spans="1:8" x14ac:dyDescent="0.25">
      <c r="A126">
        <f>Main!$K$2</f>
        <v>0.02</v>
      </c>
      <c r="B126">
        <f>Main!T126</f>
        <v>99.960951429154903</v>
      </c>
      <c r="C126">
        <f>Main!U126</f>
        <v>266.02830317477793</v>
      </c>
      <c r="D126">
        <f t="shared" si="8"/>
        <v>104.81315006796387</v>
      </c>
      <c r="E126">
        <f t="shared" si="9"/>
        <v>42.665117359622684</v>
      </c>
      <c r="F126">
        <f t="shared" si="10"/>
        <v>1.0928772774576601</v>
      </c>
      <c r="G126">
        <f t="shared" si="11"/>
        <v>38.085233924789463</v>
      </c>
      <c r="H126">
        <f>Main!O126</f>
        <v>5.4765199999999998</v>
      </c>
    </row>
    <row r="127" spans="1:8" x14ac:dyDescent="0.25">
      <c r="A127">
        <f>Main!$K$2</f>
        <v>0.02</v>
      </c>
      <c r="B127">
        <f>Main!T127</f>
        <v>100.53809714117337</v>
      </c>
      <c r="C127">
        <f>Main!U127</f>
        <v>265.39979086557241</v>
      </c>
      <c r="D127">
        <f t="shared" si="8"/>
        <v>105.66645241515633</v>
      </c>
      <c r="E127">
        <f t="shared" si="9"/>
        <v>42.686974905171837</v>
      </c>
      <c r="F127">
        <f t="shared" si="10"/>
        <v>1.8545819559534493</v>
      </c>
      <c r="G127">
        <f t="shared" si="11"/>
        <v>38.085413674338042</v>
      </c>
      <c r="H127">
        <f>Main!O127</f>
        <v>5.4579000000000004</v>
      </c>
    </row>
    <row r="128" spans="1:8" x14ac:dyDescent="0.25">
      <c r="A128">
        <f>Main!$K$2</f>
        <v>0.02</v>
      </c>
      <c r="B128">
        <f>Main!T128</f>
        <v>101.10375828793769</v>
      </c>
      <c r="C128">
        <f>Main!U128</f>
        <v>264.76033907093642</v>
      </c>
      <c r="D128">
        <f t="shared" si="8"/>
        <v>106.52019191325977</v>
      </c>
      <c r="E128">
        <f t="shared" si="9"/>
        <v>42.724066544290906</v>
      </c>
      <c r="F128">
        <f t="shared" si="10"/>
        <v>2.6162902294402102</v>
      </c>
      <c r="G128">
        <f t="shared" si="11"/>
        <v>33.118005839938292</v>
      </c>
      <c r="H128">
        <f>Main!O128</f>
        <v>5.4393130000000003</v>
      </c>
    </row>
    <row r="129" spans="1:8" x14ac:dyDescent="0.25">
      <c r="A129">
        <f>Main!$K$2</f>
        <v>0.02</v>
      </c>
      <c r="B129">
        <f>Main!T129</f>
        <v>101.65796644069952</v>
      </c>
      <c r="C129">
        <f>Main!U129</f>
        <v>264.10996097456115</v>
      </c>
      <c r="D129">
        <f t="shared" si="8"/>
        <v>107.37467324414558</v>
      </c>
      <c r="E129">
        <f t="shared" si="9"/>
        <v>42.77639234887971</v>
      </c>
      <c r="F129">
        <f t="shared" si="10"/>
        <v>3.278650346238976</v>
      </c>
      <c r="G129">
        <f t="shared" si="11"/>
        <v>36.430059600078835</v>
      </c>
      <c r="H129">
        <f>Main!O129</f>
        <v>5.420782</v>
      </c>
    </row>
    <row r="130" spans="1:8" x14ac:dyDescent="0.25">
      <c r="A130">
        <f>Main!$K$2</f>
        <v>0.02</v>
      </c>
      <c r="B130">
        <f>Main!T130</f>
        <v>102.20076121498931</v>
      </c>
      <c r="C130">
        <f>Main!U130</f>
        <v>263.44867304184362</v>
      </c>
      <c r="D130">
        <f t="shared" si="8"/>
        <v>108.23020109112318</v>
      </c>
      <c r="E130">
        <f t="shared" si="9"/>
        <v>42.84196535580449</v>
      </c>
      <c r="F130">
        <f t="shared" si="10"/>
        <v>4.0072515382405527</v>
      </c>
      <c r="G130">
        <f t="shared" si="11"/>
        <v>31.462723057984476</v>
      </c>
      <c r="H130">
        <f>Main!O130</f>
        <v>5.4023300000000001</v>
      </c>
    </row>
    <row r="131" spans="1:8" x14ac:dyDescent="0.25">
      <c r="A131">
        <f>Main!$K$2</f>
        <v>0.02</v>
      </c>
      <c r="B131">
        <f>Main!T131</f>
        <v>102.73216360830644</v>
      </c>
      <c r="C131">
        <f>Main!U131</f>
        <v>262.77652343454179</v>
      </c>
      <c r="D131">
        <f t="shared" si="8"/>
        <v>109.08704039823927</v>
      </c>
      <c r="E131">
        <f t="shared" si="9"/>
        <v>42.922110386569301</v>
      </c>
      <c r="F131">
        <f t="shared" si="10"/>
        <v>4.6365059994002422</v>
      </c>
      <c r="G131">
        <f t="shared" si="11"/>
        <v>29.807168264284201</v>
      </c>
      <c r="H131">
        <f>Main!O131</f>
        <v>5.3839769999999998</v>
      </c>
    </row>
    <row r="132" spans="1:8" x14ac:dyDescent="0.25">
      <c r="A132">
        <f>Main!$K$2</f>
        <v>0.02</v>
      </c>
      <c r="B132">
        <f>Main!T132</f>
        <v>103.25222139677317</v>
      </c>
      <c r="C132">
        <f>Main!U132</f>
        <v>262.09354252655839</v>
      </c>
      <c r="D132">
        <f t="shared" si="8"/>
        <v>109.94548260597065</v>
      </c>
      <c r="E132">
        <f t="shared" si="9"/>
        <v>43.014840506557306</v>
      </c>
      <c r="F132">
        <f t="shared" si="10"/>
        <v>5.2326493646859262</v>
      </c>
      <c r="G132">
        <f t="shared" si="11"/>
        <v>29.807534518866419</v>
      </c>
      <c r="H132">
        <f>Main!O132</f>
        <v>5.3657450000000004</v>
      </c>
    </row>
    <row r="133" spans="1:8" x14ac:dyDescent="0.25">
      <c r="A133">
        <f>Main!$K$2</f>
        <v>0.02</v>
      </c>
      <c r="B133">
        <f>Main!T133</f>
        <v>103.76096593178158</v>
      </c>
      <c r="C133">
        <f>Main!U133</f>
        <v>261.39979213944434</v>
      </c>
      <c r="D133">
        <f t="shared" ref="D133:D196" si="12">D132 + SQRT( (B133-B132)^2  + (C133-C132)^2 )</f>
        <v>110.8057794161018</v>
      </c>
      <c r="E133">
        <f t="shared" ref="E133:E196" si="13" xml:space="preserve"> IF(ISBLANK(D134), 0, (D134-D133)/$A133 )</f>
        <v>43.119493493851024</v>
      </c>
      <c r="F133">
        <f t="shared" ref="F133:F196" si="14" xml:space="preserve"> (E134-E133)/$A133</f>
        <v>5.8288000550632546</v>
      </c>
      <c r="G133">
        <f t="shared" ref="G133:G196" si="15" xml:space="preserve"> (F134-F133)/$A133</f>
        <v>26.496090212546619</v>
      </c>
      <c r="H133">
        <f>Main!O133</f>
        <v>5.3476530000000002</v>
      </c>
    </row>
    <row r="134" spans="1:8" x14ac:dyDescent="0.25">
      <c r="A134">
        <f>Main!$K$2</f>
        <v>0.02</v>
      </c>
      <c r="B134">
        <f>Main!T134</f>
        <v>104.25842999831352</v>
      </c>
      <c r="C134">
        <f>Main!U134</f>
        <v>260.69534498729166</v>
      </c>
      <c r="D134">
        <f t="shared" si="12"/>
        <v>111.66816928597882</v>
      </c>
      <c r="E134">
        <f t="shared" si="13"/>
        <v>43.236069494952289</v>
      </c>
      <c r="F134">
        <f t="shared" si="14"/>
        <v>6.358721859314187</v>
      </c>
      <c r="G134">
        <f t="shared" si="15"/>
        <v>24.840533869863179</v>
      </c>
      <c r="H134">
        <f>Main!O134</f>
        <v>5.3297189999999999</v>
      </c>
    </row>
    <row r="135" spans="1:8" x14ac:dyDescent="0.25">
      <c r="A135">
        <f>Main!$K$2</f>
        <v>0.02</v>
      </c>
      <c r="B135">
        <f>Main!T135</f>
        <v>104.74465678402572</v>
      </c>
      <c r="C135">
        <f>Main!U135</f>
        <v>259.98027394536302</v>
      </c>
      <c r="D135">
        <f t="shared" si="12"/>
        <v>112.53289067587787</v>
      </c>
      <c r="E135">
        <f t="shared" si="13"/>
        <v>43.363243932138573</v>
      </c>
      <c r="F135">
        <f t="shared" si="14"/>
        <v>6.8555325367114506</v>
      </c>
      <c r="G135">
        <f t="shared" si="15"/>
        <v>24.840899024880514</v>
      </c>
      <c r="H135">
        <f>Main!O135</f>
        <v>5.3119610000000002</v>
      </c>
    </row>
    <row r="136" spans="1:8" x14ac:dyDescent="0.25">
      <c r="A136">
        <f>Main!$K$2</f>
        <v>0.02</v>
      </c>
      <c r="B136">
        <f>Main!T136</f>
        <v>105.21968401691021</v>
      </c>
      <c r="C136">
        <f>Main!U136</f>
        <v>259.25467247227647</v>
      </c>
      <c r="D136">
        <f t="shared" si="12"/>
        <v>113.40015555452064</v>
      </c>
      <c r="E136">
        <f t="shared" si="13"/>
        <v>43.500354582872802</v>
      </c>
      <c r="F136">
        <f t="shared" si="14"/>
        <v>7.3523505172090609</v>
      </c>
      <c r="G136">
        <f t="shared" si="15"/>
        <v>16.561532973469184</v>
      </c>
      <c r="H136">
        <f>Main!O136</f>
        <v>5.2943949999999997</v>
      </c>
    </row>
    <row r="137" spans="1:8" x14ac:dyDescent="0.25">
      <c r="A137">
        <f>Main!$K$2</f>
        <v>0.02</v>
      </c>
      <c r="B137">
        <f>Main!T137</f>
        <v>105.68355252604039</v>
      </c>
      <c r="C137">
        <f>Main!U137</f>
        <v>258.51864370533076</v>
      </c>
      <c r="D137">
        <f t="shared" si="12"/>
        <v>114.27016264617809</v>
      </c>
      <c r="E137">
        <f t="shared" si="13"/>
        <v>43.647401593216983</v>
      </c>
      <c r="F137">
        <f t="shared" si="14"/>
        <v>7.6835811766784445</v>
      </c>
      <c r="G137">
        <f t="shared" si="15"/>
        <v>21.529651146323658</v>
      </c>
      <c r="H137">
        <f>Main!O137</f>
        <v>5.2770359999999998</v>
      </c>
    </row>
    <row r="138" spans="1:8" x14ac:dyDescent="0.25">
      <c r="A138">
        <f>Main!$K$2</f>
        <v>0.02</v>
      </c>
      <c r="B138">
        <f>Main!T138</f>
        <v>106.13631453992792</v>
      </c>
      <c r="C138">
        <f>Main!U138</f>
        <v>257.77228934906537</v>
      </c>
      <c r="D138">
        <f t="shared" si="12"/>
        <v>115.14311067804243</v>
      </c>
      <c r="E138">
        <f t="shared" si="13"/>
        <v>43.801073216750552</v>
      </c>
      <c r="F138">
        <f t="shared" si="14"/>
        <v>8.1141741996049177</v>
      </c>
      <c r="G138">
        <f t="shared" si="15"/>
        <v>16.562077647108708</v>
      </c>
      <c r="H138">
        <f>Main!O138</f>
        <v>5.2598989999999999</v>
      </c>
    </row>
    <row r="139" spans="1:8" x14ac:dyDescent="0.25">
      <c r="A139">
        <f>Main!$K$2</f>
        <v>0.02</v>
      </c>
      <c r="B139">
        <f>Main!T139</f>
        <v>106.5779958555829</v>
      </c>
      <c r="C139">
        <f>Main!U139</f>
        <v>257.01576359181917</v>
      </c>
      <c r="D139">
        <f t="shared" si="12"/>
        <v>116.01913214237744</v>
      </c>
      <c r="E139">
        <f t="shared" si="13"/>
        <v>43.963356700742651</v>
      </c>
      <c r="F139">
        <f t="shared" si="14"/>
        <v>8.4454157525470919</v>
      </c>
      <c r="G139">
        <f t="shared" si="15"/>
        <v>9.9384059417673143</v>
      </c>
      <c r="H139">
        <f>Main!O139</f>
        <v>5.2429940000000004</v>
      </c>
    </row>
    <row r="140" spans="1:8" x14ac:dyDescent="0.25">
      <c r="A140">
        <f>Main!$K$2</f>
        <v>0.02</v>
      </c>
      <c r="B140">
        <f>Main!T140</f>
        <v>107.00865586588014</v>
      </c>
      <c r="C140">
        <f>Main!U140</f>
        <v>256.24918505801492</v>
      </c>
      <c r="D140">
        <f t="shared" si="12"/>
        <v>116.8983992763923</v>
      </c>
      <c r="E140">
        <f t="shared" si="13"/>
        <v>44.132265015793593</v>
      </c>
      <c r="F140">
        <f t="shared" si="14"/>
        <v>8.6441838713824382</v>
      </c>
      <c r="G140">
        <f t="shared" si="15"/>
        <v>16.562482816340207</v>
      </c>
      <c r="H140">
        <f>Main!O140</f>
        <v>5.2263339999999996</v>
      </c>
    </row>
    <row r="141" spans="1:8" x14ac:dyDescent="0.25">
      <c r="A141">
        <f>Main!$K$2</f>
        <v>0.02</v>
      </c>
      <c r="B141">
        <f>Main!T141</f>
        <v>107.42834419435992</v>
      </c>
      <c r="C141">
        <f>Main!U141</f>
        <v>255.47270296993591</v>
      </c>
      <c r="D141">
        <f t="shared" si="12"/>
        <v>117.78104457670817</v>
      </c>
      <c r="E141">
        <f t="shared" si="13"/>
        <v>44.305148693221241</v>
      </c>
      <c r="F141">
        <f t="shared" si="14"/>
        <v>8.9754335277092423</v>
      </c>
      <c r="G141">
        <f t="shared" si="15"/>
        <v>6.626726115399606</v>
      </c>
      <c r="H141">
        <f>Main!O141</f>
        <v>5.2099289999999998</v>
      </c>
    </row>
    <row r="142" spans="1:8" x14ac:dyDescent="0.25">
      <c r="A142">
        <f>Main!$K$2</f>
        <v>0.02</v>
      </c>
      <c r="B142">
        <f>Main!T142</f>
        <v>107.83709374942332</v>
      </c>
      <c r="C142">
        <f>Main!U142</f>
        <v>254.6865081585012</v>
      </c>
      <c r="D142">
        <f t="shared" si="12"/>
        <v>118.66714755057259</v>
      </c>
      <c r="E142">
        <f t="shared" si="13"/>
        <v>44.484657363775426</v>
      </c>
      <c r="F142">
        <f t="shared" si="14"/>
        <v>9.1079680500172344</v>
      </c>
      <c r="G142">
        <f t="shared" si="15"/>
        <v>11.594806538894886</v>
      </c>
      <c r="H142">
        <f>Main!O142</f>
        <v>5.1937850000000001</v>
      </c>
    </row>
    <row r="143" spans="1:8" x14ac:dyDescent="0.25">
      <c r="A143">
        <f>Main!$K$2</f>
        <v>0.02</v>
      </c>
      <c r="B143">
        <f>Main!T143</f>
        <v>108.23497607616655</v>
      </c>
      <c r="C143">
        <f>Main!U143</f>
        <v>253.89074214366116</v>
      </c>
      <c r="D143">
        <f t="shared" si="12"/>
        <v>119.5568406978481</v>
      </c>
      <c r="E143">
        <f t="shared" si="13"/>
        <v>44.666816724775771</v>
      </c>
      <c r="F143">
        <f t="shared" si="14"/>
        <v>9.3398641807951321</v>
      </c>
      <c r="G143">
        <f t="shared" si="15"/>
        <v>1.6588299978081977</v>
      </c>
      <c r="H143">
        <f>Main!O143</f>
        <v>5.1779120000000001</v>
      </c>
    </row>
    <row r="144" spans="1:8" x14ac:dyDescent="0.25">
      <c r="A144">
        <f>Main!$K$2</f>
        <v>0.02</v>
      </c>
      <c r="B144">
        <f>Main!T144</f>
        <v>108.62203423843579</v>
      </c>
      <c r="C144">
        <f>Main!U144</f>
        <v>253.08561123160359</v>
      </c>
      <c r="D144">
        <f t="shared" si="12"/>
        <v>120.45017703234362</v>
      </c>
      <c r="E144">
        <f t="shared" si="13"/>
        <v>44.853614008391673</v>
      </c>
      <c r="F144">
        <f t="shared" si="14"/>
        <v>9.3730407807512961</v>
      </c>
      <c r="G144">
        <f t="shared" si="15"/>
        <v>8.28290275300958</v>
      </c>
      <c r="H144">
        <f>Main!O144</f>
        <v>5.1623140000000003</v>
      </c>
    </row>
    <row r="145" spans="1:8" x14ac:dyDescent="0.25">
      <c r="A145">
        <f>Main!$K$2</f>
        <v>0.02</v>
      </c>
      <c r="B145">
        <f>Main!T145</f>
        <v>108.99834157146313</v>
      </c>
      <c r="C145">
        <f>Main!U145</f>
        <v>252.2712823871216</v>
      </c>
      <c r="D145">
        <f t="shared" si="12"/>
        <v>121.34724931251145</v>
      </c>
      <c r="E145">
        <f t="shared" si="13"/>
        <v>45.041074824006699</v>
      </c>
      <c r="F145">
        <f t="shared" si="14"/>
        <v>9.5386988358114877</v>
      </c>
      <c r="G145">
        <f t="shared" si="15"/>
        <v>1.6588198370470764</v>
      </c>
      <c r="H145">
        <f>Main!O145</f>
        <v>5.146998</v>
      </c>
    </row>
    <row r="146" spans="1:8" x14ac:dyDescent="0.25">
      <c r="A146">
        <f>Main!$K$2</f>
        <v>0.02</v>
      </c>
      <c r="B146">
        <f>Main!T146</f>
        <v>109.36394437503586</v>
      </c>
      <c r="C146">
        <f>Main!U146</f>
        <v>251.44798781132235</v>
      </c>
      <c r="D146">
        <f t="shared" si="12"/>
        <v>122.24807080899159</v>
      </c>
      <c r="E146">
        <f t="shared" si="13"/>
        <v>45.231848800722929</v>
      </c>
      <c r="F146">
        <f t="shared" si="14"/>
        <v>9.5718752325524292</v>
      </c>
      <c r="G146">
        <f t="shared" si="15"/>
        <v>2.7256916723672475E-3</v>
      </c>
      <c r="H146">
        <f>Main!O146</f>
        <v>5.1319650000000001</v>
      </c>
    </row>
    <row r="147" spans="1:8" x14ac:dyDescent="0.25">
      <c r="A147">
        <f>Main!$K$2</f>
        <v>0.02</v>
      </c>
      <c r="B147">
        <f>Main!T147</f>
        <v>109.71892343519013</v>
      </c>
      <c r="C147">
        <f>Main!U147</f>
        <v>250.61590733130581</v>
      </c>
      <c r="D147">
        <f t="shared" si="12"/>
        <v>123.15270778500604</v>
      </c>
      <c r="E147">
        <f t="shared" si="13"/>
        <v>45.423286305373978</v>
      </c>
      <c r="F147">
        <f t="shared" si="14"/>
        <v>9.5719297463858766</v>
      </c>
      <c r="G147">
        <f t="shared" si="15"/>
        <v>1.6587086815178509</v>
      </c>
      <c r="H147">
        <f>Main!O147</f>
        <v>5.1172199999999997</v>
      </c>
    </row>
    <row r="148" spans="1:8" x14ac:dyDescent="0.25">
      <c r="A148">
        <f>Main!$K$2</f>
        <v>0.02</v>
      </c>
      <c r="B148">
        <f>Main!T148</f>
        <v>110.06334597864701</v>
      </c>
      <c r="C148">
        <f>Main!U148</f>
        <v>249.77526288383072</v>
      </c>
      <c r="D148">
        <f t="shared" si="12"/>
        <v>124.06117351111352</v>
      </c>
      <c r="E148">
        <f t="shared" si="13"/>
        <v>45.614724900301695</v>
      </c>
      <c r="F148">
        <f t="shared" si="14"/>
        <v>9.6051039200162336</v>
      </c>
      <c r="G148">
        <f t="shared" si="15"/>
        <v>-1.6534691340552854</v>
      </c>
      <c r="H148">
        <f>Main!O148</f>
        <v>5.1027639999999996</v>
      </c>
    </row>
    <row r="149" spans="1:8" x14ac:dyDescent="0.25">
      <c r="A149">
        <f>Main!$K$2</f>
        <v>0.02</v>
      </c>
      <c r="B149">
        <f>Main!T149</f>
        <v>110.39728262396987</v>
      </c>
      <c r="C149">
        <f>Main!U149</f>
        <v>248.92628257310344</v>
      </c>
      <c r="D149">
        <f t="shared" si="12"/>
        <v>124.97346800911956</v>
      </c>
      <c r="E149">
        <f t="shared" si="13"/>
        <v>45.80682697870202</v>
      </c>
      <c r="F149">
        <f t="shared" si="14"/>
        <v>9.5720345373351279</v>
      </c>
      <c r="G149">
        <f t="shared" si="15"/>
        <v>-3.3096415670286206</v>
      </c>
      <c r="H149">
        <f>Main!O149</f>
        <v>5.088597</v>
      </c>
    </row>
    <row r="150" spans="1:8" x14ac:dyDescent="0.25">
      <c r="A150">
        <f>Main!$K$2</f>
        <v>0.02</v>
      </c>
      <c r="B150">
        <f>Main!T150</f>
        <v>110.72081843346463</v>
      </c>
      <c r="C150">
        <f>Main!U150</f>
        <v>248.06917654750492</v>
      </c>
      <c r="D150">
        <f t="shared" si="12"/>
        <v>125.8896045486936</v>
      </c>
      <c r="E150">
        <f t="shared" si="13"/>
        <v>45.998267669448722</v>
      </c>
      <c r="F150">
        <f t="shared" si="14"/>
        <v>9.5058417059945555</v>
      </c>
      <c r="G150">
        <f t="shared" si="15"/>
        <v>-1.653679426283361</v>
      </c>
      <c r="H150">
        <f>Main!O150</f>
        <v>5.0747200000000001</v>
      </c>
    </row>
    <row r="151" spans="1:8" x14ac:dyDescent="0.25">
      <c r="A151">
        <f>Main!$K$2</f>
        <v>0.02</v>
      </c>
      <c r="B151">
        <f>Main!T151</f>
        <v>111.03403619099653</v>
      </c>
      <c r="C151">
        <f>Main!U151</f>
        <v>247.20417314415741</v>
      </c>
      <c r="D151">
        <f t="shared" si="12"/>
        <v>126.80956990208257</v>
      </c>
      <c r="E151">
        <f t="shared" si="13"/>
        <v>46.188384503568614</v>
      </c>
      <c r="F151">
        <f t="shared" si="14"/>
        <v>9.4727681174688882</v>
      </c>
      <c r="G151">
        <f t="shared" si="15"/>
        <v>-6.6220427896723777</v>
      </c>
      <c r="H151">
        <f>Main!O151</f>
        <v>5.0611319999999997</v>
      </c>
    </row>
    <row r="152" spans="1:8" x14ac:dyDescent="0.25">
      <c r="A152">
        <f>Main!$K$2</f>
        <v>0.02</v>
      </c>
      <c r="B152">
        <f>Main!T152</f>
        <v>111.33702114745628</v>
      </c>
      <c r="C152">
        <f>Main!U152</f>
        <v>246.33150662057645</v>
      </c>
      <c r="D152">
        <f t="shared" si="12"/>
        <v>127.73333759215394</v>
      </c>
      <c r="E152">
        <f t="shared" si="13"/>
        <v>46.377839865917991</v>
      </c>
      <c r="F152">
        <f t="shared" si="14"/>
        <v>9.3403272616754407</v>
      </c>
      <c r="G152">
        <f t="shared" si="15"/>
        <v>-3.3100055691903663</v>
      </c>
      <c r="H152">
        <f>Main!O152</f>
        <v>5.0478310000000004</v>
      </c>
    </row>
    <row r="153" spans="1:8" x14ac:dyDescent="0.25">
      <c r="A153">
        <f>Main!$K$2</f>
        <v>0.02</v>
      </c>
      <c r="B153">
        <f>Main!T153</f>
        <v>111.62987097301991</v>
      </c>
      <c r="C153">
        <f>Main!U153</f>
        <v>245.45139265527487</v>
      </c>
      <c r="D153">
        <f t="shared" si="12"/>
        <v>128.6608943894723</v>
      </c>
      <c r="E153">
        <f t="shared" si="13"/>
        <v>46.5646464111515</v>
      </c>
      <c r="F153">
        <f t="shared" si="14"/>
        <v>9.2741271502916334</v>
      </c>
      <c r="G153">
        <f t="shared" si="15"/>
        <v>-6.6223233368134515</v>
      </c>
      <c r="H153">
        <f>Main!O153</f>
        <v>5.0348160000000002</v>
      </c>
    </row>
    <row r="154" spans="1:8" x14ac:dyDescent="0.25">
      <c r="A154">
        <f>Main!$K$2</f>
        <v>0.02</v>
      </c>
      <c r="B154">
        <f>Main!T154</f>
        <v>111.91267535319408</v>
      </c>
      <c r="C154">
        <f>Main!U154</f>
        <v>244.56407749102232</v>
      </c>
      <c r="D154">
        <f t="shared" si="12"/>
        <v>129.59218731769533</v>
      </c>
      <c r="E154">
        <f t="shared" si="13"/>
        <v>46.750128954157333</v>
      </c>
      <c r="F154">
        <f t="shared" si="14"/>
        <v>9.1416806835553643</v>
      </c>
      <c r="G154">
        <f t="shared" si="15"/>
        <v>-8.2785812232089029</v>
      </c>
      <c r="H154">
        <f>Main!O154</f>
        <v>5.0220830000000003</v>
      </c>
    </row>
    <row r="155" spans="1:8" x14ac:dyDescent="0.25">
      <c r="A155">
        <f>Main!$K$2</f>
        <v>0.02</v>
      </c>
      <c r="B155">
        <f>Main!T155</f>
        <v>112.18553953633275</v>
      </c>
      <c r="C155">
        <f>Main!U155</f>
        <v>243.6697761098022</v>
      </c>
      <c r="D155">
        <f t="shared" si="12"/>
        <v>130.52718989677848</v>
      </c>
      <c r="E155">
        <f t="shared" si="13"/>
        <v>46.93296256782844</v>
      </c>
      <c r="F155">
        <f t="shared" si="14"/>
        <v>8.9761090590911863</v>
      </c>
      <c r="G155">
        <f t="shared" si="15"/>
        <v>-3.3103835228587286</v>
      </c>
      <c r="H155">
        <f>Main!O155</f>
        <v>5.0096299999999996</v>
      </c>
    </row>
    <row r="156" spans="1:8" x14ac:dyDescent="0.25">
      <c r="A156">
        <f>Main!$K$2</f>
        <v>0.02</v>
      </c>
      <c r="B156">
        <f>Main!T156</f>
        <v>112.448565407728</v>
      </c>
      <c r="C156">
        <f>Main!U156</f>
        <v>242.76872195985669</v>
      </c>
      <c r="D156">
        <f t="shared" si="12"/>
        <v>131.46584914813505</v>
      </c>
      <c r="E156">
        <f t="shared" si="13"/>
        <v>47.112484749010264</v>
      </c>
      <c r="F156">
        <f t="shared" si="14"/>
        <v>8.9099013886340117</v>
      </c>
      <c r="G156">
        <f t="shared" si="15"/>
        <v>-9.934977239112186</v>
      </c>
      <c r="H156">
        <f>Main!O156</f>
        <v>4.9974530000000001</v>
      </c>
    </row>
    <row r="157" spans="1:8" x14ac:dyDescent="0.25">
      <c r="A157">
        <f>Main!$K$2</f>
        <v>0.02</v>
      </c>
      <c r="B157">
        <f>Main!T157</f>
        <v>112.7018551933744</v>
      </c>
      <c r="C157">
        <f>Main!U157</f>
        <v>241.86115445703527</v>
      </c>
      <c r="D157">
        <f t="shared" si="12"/>
        <v>132.40809884311525</v>
      </c>
      <c r="E157">
        <f t="shared" si="13"/>
        <v>47.290682776782944</v>
      </c>
      <c r="F157">
        <f t="shared" si="14"/>
        <v>8.711201843851768</v>
      </c>
      <c r="G157">
        <f t="shared" si="15"/>
        <v>-8.2790090658590998</v>
      </c>
      <c r="H157">
        <f>Main!O157</f>
        <v>4.9855470000000004</v>
      </c>
    </row>
    <row r="158" spans="1:8" x14ac:dyDescent="0.25">
      <c r="A158">
        <f>Main!$K$2</f>
        <v>0.02</v>
      </c>
      <c r="B158">
        <f>Main!T158</f>
        <v>112.94552870687795</v>
      </c>
      <c r="C158">
        <f>Main!U158</f>
        <v>240.947268966498</v>
      </c>
      <c r="D158">
        <f t="shared" si="12"/>
        <v>133.35391249865091</v>
      </c>
      <c r="E158">
        <f t="shared" si="13"/>
        <v>47.464906813659979</v>
      </c>
      <c r="F158">
        <f t="shared" si="14"/>
        <v>8.545621662534586</v>
      </c>
      <c r="G158">
        <f t="shared" si="15"/>
        <v>-8.2791452200581261</v>
      </c>
      <c r="H158">
        <f>Main!O158</f>
        <v>4.9739100000000001</v>
      </c>
    </row>
    <row r="159" spans="1:8" x14ac:dyDescent="0.25">
      <c r="A159">
        <f>Main!$K$2</f>
        <v>0.02</v>
      </c>
      <c r="B159">
        <f>Main!T159</f>
        <v>113.17969357463329</v>
      </c>
      <c r="C159">
        <f>Main!U159</f>
        <v>240.02730496381045</v>
      </c>
      <c r="D159">
        <f t="shared" si="12"/>
        <v>134.30321063492411</v>
      </c>
      <c r="E159">
        <f t="shared" si="13"/>
        <v>47.635819246910671</v>
      </c>
      <c r="F159">
        <f t="shared" si="14"/>
        <v>8.3800387581334235</v>
      </c>
      <c r="G159">
        <f t="shared" si="15"/>
        <v>-6.6231315116738187</v>
      </c>
      <c r="H159">
        <f>Main!O159</f>
        <v>4.9625360000000001</v>
      </c>
    </row>
    <row r="160" spans="1:8" x14ac:dyDescent="0.25">
      <c r="A160">
        <f>Main!$K$2</f>
        <v>0.02</v>
      </c>
      <c r="B160">
        <f>Main!T160</f>
        <v>113.40446453058119</v>
      </c>
      <c r="C160">
        <f>Main!U160</f>
        <v>239.10148288182492</v>
      </c>
      <c r="D160">
        <f t="shared" si="12"/>
        <v>135.25592701986233</v>
      </c>
      <c r="E160">
        <f t="shared" si="13"/>
        <v>47.80342002207334</v>
      </c>
      <c r="F160">
        <f t="shared" si="14"/>
        <v>8.2475761278999471</v>
      </c>
      <c r="G160">
        <f t="shared" si="15"/>
        <v>-9.9355330469563796</v>
      </c>
      <c r="H160">
        <f>Main!O160</f>
        <v>4.9514199999999997</v>
      </c>
    </row>
    <row r="161" spans="1:8" x14ac:dyDescent="0.25">
      <c r="A161">
        <f>Main!$K$2</f>
        <v>0.02</v>
      </c>
      <c r="B161">
        <f>Main!T161</f>
        <v>113.61995931224648</v>
      </c>
      <c r="C161">
        <f>Main!U161</f>
        <v>238.17001694825692</v>
      </c>
      <c r="D161">
        <f t="shared" si="12"/>
        <v>136.21199542030379</v>
      </c>
      <c r="E161">
        <f t="shared" si="13"/>
        <v>47.968371544631339</v>
      </c>
      <c r="F161">
        <f t="shared" si="14"/>
        <v>8.0488654669608195</v>
      </c>
      <c r="G161">
        <f t="shared" si="15"/>
        <v>-8.2795110571964869</v>
      </c>
      <c r="H161">
        <f>Main!O161</f>
        <v>4.9405570000000001</v>
      </c>
    </row>
    <row r="162" spans="1:8" x14ac:dyDescent="0.25">
      <c r="A162">
        <f>Main!$K$2</f>
        <v>0.02</v>
      </c>
      <c r="B162">
        <f>Main!T162</f>
        <v>113.82630223043246</v>
      </c>
      <c r="C162">
        <f>Main!U162</f>
        <v>237.23310261515488</v>
      </c>
      <c r="D162">
        <f t="shared" si="12"/>
        <v>137.17136285119642</v>
      </c>
      <c r="E162">
        <f t="shared" si="13"/>
        <v>48.129348853970555</v>
      </c>
      <c r="F162">
        <f t="shared" si="14"/>
        <v>7.8832752458168898</v>
      </c>
      <c r="G162">
        <f t="shared" si="15"/>
        <v>-9.9357772000985278</v>
      </c>
      <c r="H162">
        <f>Main!O162</f>
        <v>4.9299429999999997</v>
      </c>
    </row>
    <row r="163" spans="1:8" x14ac:dyDescent="0.25">
      <c r="A163">
        <f>Main!$K$2</f>
        <v>0.02</v>
      </c>
      <c r="B163">
        <f>Main!T163</f>
        <v>114.02361282655373</v>
      </c>
      <c r="C163">
        <f>Main!U163</f>
        <v>236.29095495310762</v>
      </c>
      <c r="D163">
        <f t="shared" si="12"/>
        <v>138.13394982827583</v>
      </c>
      <c r="E163">
        <f t="shared" si="13"/>
        <v>48.287014358886893</v>
      </c>
      <c r="F163">
        <f t="shared" si="14"/>
        <v>7.6845597018149192</v>
      </c>
      <c r="G163">
        <f t="shared" si="15"/>
        <v>-8.2797312863647221</v>
      </c>
      <c r="H163">
        <f>Main!O163</f>
        <v>4.9195719999999996</v>
      </c>
    </row>
    <row r="164" spans="1:8" x14ac:dyDescent="0.25">
      <c r="A164">
        <f>Main!$K$2</f>
        <v>0.02</v>
      </c>
      <c r="B164">
        <f>Main!T164</f>
        <v>114.21201572892069</v>
      </c>
      <c r="C164">
        <f>Main!U164</f>
        <v>235.34377036251408</v>
      </c>
      <c r="D164">
        <f t="shared" si="12"/>
        <v>139.09969011545357</v>
      </c>
      <c r="E164">
        <f t="shared" si="13"/>
        <v>48.440705552923191</v>
      </c>
      <c r="F164">
        <f t="shared" si="14"/>
        <v>7.5189650760876248</v>
      </c>
      <c r="G164">
        <f t="shared" si="15"/>
        <v>-9.9359936456266951</v>
      </c>
      <c r="H164">
        <f>Main!O164</f>
        <v>4.9094389999999999</v>
      </c>
    </row>
    <row r="165" spans="1:8" x14ac:dyDescent="0.25">
      <c r="A165">
        <f>Main!$K$2</f>
        <v>0.02</v>
      </c>
      <c r="B165">
        <f>Main!T165</f>
        <v>114.39163364448106</v>
      </c>
      <c r="C165">
        <f>Main!U165</f>
        <v>234.39175240774864</v>
      </c>
      <c r="D165">
        <f t="shared" si="12"/>
        <v>140.06850422651203</v>
      </c>
      <c r="E165">
        <f t="shared" si="13"/>
        <v>48.591084854444944</v>
      </c>
      <c r="F165">
        <f t="shared" si="14"/>
        <v>7.3202452031750909</v>
      </c>
      <c r="G165">
        <f t="shared" si="15"/>
        <v>-6.6237560041315646</v>
      </c>
      <c r="H165">
        <f>Main!O165</f>
        <v>4.8995379999999997</v>
      </c>
    </row>
    <row r="166" spans="1:8" x14ac:dyDescent="0.25">
      <c r="A166">
        <f>Main!$K$2</f>
        <v>0.02</v>
      </c>
      <c r="B166">
        <f>Main!T166</f>
        <v>114.56259342991433</v>
      </c>
      <c r="C166">
        <f>Main!U166</f>
        <v>233.43508623676874</v>
      </c>
      <c r="D166">
        <f t="shared" si="12"/>
        <v>141.04032592360093</v>
      </c>
      <c r="E166">
        <f t="shared" si="13"/>
        <v>48.737489758508445</v>
      </c>
      <c r="F166">
        <f t="shared" si="14"/>
        <v>7.1877700830924596</v>
      </c>
      <c r="G166">
        <f t="shared" si="15"/>
        <v>-11.592351576439341</v>
      </c>
      <c r="H166">
        <f>Main!O166</f>
        <v>4.8898640000000002</v>
      </c>
    </row>
    <row r="167" spans="1:8" x14ac:dyDescent="0.25">
      <c r="A167">
        <f>Main!$K$2</f>
        <v>0.02</v>
      </c>
      <c r="B167">
        <f>Main!T167</f>
        <v>114.72501963221085</v>
      </c>
      <c r="C167">
        <f>Main!U167</f>
        <v>232.47396455248946</v>
      </c>
      <c r="D167">
        <f t="shared" si="12"/>
        <v>142.0150757187711</v>
      </c>
      <c r="E167">
        <f t="shared" si="13"/>
        <v>48.881245160170295</v>
      </c>
      <c r="F167">
        <f t="shared" si="14"/>
        <v>6.9559230515636727</v>
      </c>
      <c r="G167">
        <f t="shared" si="15"/>
        <v>-6.6239209211005345</v>
      </c>
      <c r="H167">
        <f>Main!O167</f>
        <v>4.8804109999999996</v>
      </c>
    </row>
    <row r="168" spans="1:8" x14ac:dyDescent="0.25">
      <c r="A168">
        <f>Main!$K$2</f>
        <v>0.02</v>
      </c>
      <c r="B168">
        <f>Main!T168</f>
        <v>114.87904325607093</v>
      </c>
      <c r="C168">
        <f>Main!U168</f>
        <v>231.50854900742274</v>
      </c>
      <c r="D168">
        <f t="shared" si="12"/>
        <v>142.99270062197451</v>
      </c>
      <c r="E168">
        <f t="shared" si="13"/>
        <v>49.020363621201568</v>
      </c>
      <c r="F168">
        <f t="shared" si="14"/>
        <v>6.8234446331416621</v>
      </c>
      <c r="G168">
        <f t="shared" si="15"/>
        <v>-9.9363476202540824</v>
      </c>
      <c r="H168">
        <f>Main!O168</f>
        <v>4.871175</v>
      </c>
    </row>
    <row r="169" spans="1:8" x14ac:dyDescent="0.25">
      <c r="A169">
        <f>Main!$K$2</f>
        <v>0.02</v>
      </c>
      <c r="B169">
        <f>Main!T169</f>
        <v>115.02478713984297</v>
      </c>
      <c r="C169">
        <f>Main!U169</f>
        <v>230.53903513946366</v>
      </c>
      <c r="D169">
        <f t="shared" si="12"/>
        <v>143.97310789439854</v>
      </c>
      <c r="E169">
        <f t="shared" si="13"/>
        <v>49.156832513864401</v>
      </c>
      <c r="F169">
        <f t="shared" si="14"/>
        <v>6.6247176807365804</v>
      </c>
      <c r="G169">
        <f t="shared" si="15"/>
        <v>-167.68719460813486</v>
      </c>
      <c r="H169">
        <f>Main!O169</f>
        <v>4.8621489999999996</v>
      </c>
    </row>
    <row r="170" spans="1:8" x14ac:dyDescent="0.25">
      <c r="A170">
        <f>Main!$K$2</f>
        <v>0.02</v>
      </c>
      <c r="B170">
        <f>Main!T170</f>
        <v>115.1623818750097</v>
      </c>
      <c r="C170">
        <f>Main!U170</f>
        <v>229.56557463077681</v>
      </c>
      <c r="D170">
        <f t="shared" si="12"/>
        <v>144.95624454467583</v>
      </c>
      <c r="E170">
        <f t="shared" si="13"/>
        <v>49.289326867479133</v>
      </c>
      <c r="F170">
        <f t="shared" si="14"/>
        <v>3.2709737885738832</v>
      </c>
      <c r="G170">
        <f t="shared" si="15"/>
        <v>-336.7814477641673</v>
      </c>
      <c r="H170">
        <f>Main!O170</f>
        <v>4.8533289999999996</v>
      </c>
    </row>
    <row r="171" spans="1:8" x14ac:dyDescent="0.25">
      <c r="A171">
        <f>Main!$K$2</f>
        <v>0.02</v>
      </c>
      <c r="B171">
        <f>Main!T171</f>
        <v>115.2919528907327</v>
      </c>
      <c r="C171">
        <f>Main!U171</f>
        <v>228.58834054975824</v>
      </c>
      <c r="D171">
        <f t="shared" si="12"/>
        <v>145.94203108202541</v>
      </c>
      <c r="E171">
        <f t="shared" si="13"/>
        <v>49.354746343250611</v>
      </c>
      <c r="F171">
        <f t="shared" si="14"/>
        <v>-3.4646551667094627</v>
      </c>
      <c r="G171">
        <f t="shared" si="15"/>
        <v>-344.43751452428728</v>
      </c>
      <c r="H171">
        <f>Main!O171</f>
        <v>4.8447089999999999</v>
      </c>
    </row>
    <row r="172" spans="1:8" x14ac:dyDescent="0.25">
      <c r="A172">
        <f>Main!$K$2</f>
        <v>0.02</v>
      </c>
      <c r="B172">
        <f>Main!T172</f>
        <v>115.41348174232627</v>
      </c>
      <c r="C172">
        <f>Main!U172</f>
        <v>227.60875536567622</v>
      </c>
      <c r="D172">
        <f t="shared" si="12"/>
        <v>146.92912600889042</v>
      </c>
      <c r="E172">
        <f t="shared" si="13"/>
        <v>49.285453239916421</v>
      </c>
      <c r="F172">
        <f t="shared" si="14"/>
        <v>-10.353405457195208</v>
      </c>
      <c r="G172">
        <f t="shared" si="15"/>
        <v>-345.9685955071734</v>
      </c>
      <c r="H172">
        <f>Main!O172</f>
        <v>4.8362949999999998</v>
      </c>
    </row>
    <row r="173" spans="1:8" x14ac:dyDescent="0.25">
      <c r="A173">
        <f>Main!$K$2</f>
        <v>0.02</v>
      </c>
      <c r="B173">
        <f>Main!T173</f>
        <v>115.52684501195797</v>
      </c>
      <c r="C173">
        <f>Main!U173</f>
        <v>226.62958677471551</v>
      </c>
      <c r="D173">
        <f t="shared" si="12"/>
        <v>147.91483507368875</v>
      </c>
      <c r="E173">
        <f t="shared" si="13"/>
        <v>49.078385130772517</v>
      </c>
      <c r="F173">
        <f t="shared" si="14"/>
        <v>-17.272777367338676</v>
      </c>
      <c r="G173">
        <f t="shared" si="15"/>
        <v>-351.18709034520634</v>
      </c>
      <c r="H173">
        <f>Main!O173</f>
        <v>4.8281020000000003</v>
      </c>
    </row>
    <row r="174" spans="1:8" x14ac:dyDescent="0.25">
      <c r="A174">
        <f>Main!$K$2</f>
        <v>0.02</v>
      </c>
      <c r="B174">
        <f>Main!T174</f>
        <v>115.63199216121383</v>
      </c>
      <c r="C174">
        <f>Main!U174</f>
        <v>225.65366708958709</v>
      </c>
      <c r="D174">
        <f t="shared" si="12"/>
        <v>148.8964027763042</v>
      </c>
      <c r="E174">
        <f t="shared" si="13"/>
        <v>48.732929583425744</v>
      </c>
      <c r="F174">
        <f t="shared" si="14"/>
        <v>-24.296519174242803</v>
      </c>
      <c r="G174">
        <f t="shared" si="15"/>
        <v>-349.40582022713329</v>
      </c>
      <c r="H174">
        <f>Main!O174</f>
        <v>4.820144</v>
      </c>
    </row>
    <row r="175" spans="1:8" x14ac:dyDescent="0.25">
      <c r="A175">
        <f>Main!$K$2</f>
        <v>0.02</v>
      </c>
      <c r="B175">
        <f>Main!T175</f>
        <v>115.72894746397749</v>
      </c>
      <c r="C175">
        <f>Main!U175</f>
        <v>224.68384285830635</v>
      </c>
      <c r="D175">
        <f t="shared" si="12"/>
        <v>149.87106136797271</v>
      </c>
      <c r="E175">
        <f t="shared" si="13"/>
        <v>48.246999199940888</v>
      </c>
      <c r="F175">
        <f t="shared" si="14"/>
        <v>-31.284635578785469</v>
      </c>
      <c r="G175">
        <f t="shared" si="15"/>
        <v>-354.49936470399734</v>
      </c>
      <c r="H175">
        <f>Main!O175</f>
        <v>4.8124339999999997</v>
      </c>
    </row>
    <row r="176" spans="1:8" x14ac:dyDescent="0.25">
      <c r="A176">
        <f>Main!$K$2</f>
        <v>0.02</v>
      </c>
      <c r="B176">
        <f>Main!T176</f>
        <v>115.81780022671501</v>
      </c>
      <c r="C176">
        <f>Main!U176</f>
        <v>223.72300241407351</v>
      </c>
      <c r="D176">
        <f t="shared" si="12"/>
        <v>150.83600135197153</v>
      </c>
      <c r="E176">
        <f t="shared" si="13"/>
        <v>47.621306488365178</v>
      </c>
      <c r="F176">
        <f t="shared" si="14"/>
        <v>-38.374622872865416</v>
      </c>
      <c r="G176">
        <f t="shared" si="15"/>
        <v>-354.24932606531456</v>
      </c>
      <c r="H176">
        <f>Main!O176</f>
        <v>4.8049819999999999</v>
      </c>
    </row>
    <row r="177" spans="1:8" x14ac:dyDescent="0.25">
      <c r="A177">
        <f>Main!$K$2</f>
        <v>0.02</v>
      </c>
      <c r="B177">
        <f>Main!T177</f>
        <v>115.89870751700622</v>
      </c>
      <c r="C177">
        <f>Main!U177</f>
        <v>222.77401898795836</v>
      </c>
      <c r="D177">
        <f t="shared" si="12"/>
        <v>151.78842748173884</v>
      </c>
      <c r="E177">
        <f t="shared" si="13"/>
        <v>46.85381403090787</v>
      </c>
      <c r="F177">
        <f t="shared" si="14"/>
        <v>-45.459609394171707</v>
      </c>
      <c r="G177">
        <f t="shared" si="15"/>
        <v>-359.46793223118334</v>
      </c>
      <c r="H177">
        <f>Main!O177</f>
        <v>4.7977990000000004</v>
      </c>
    </row>
    <row r="178" spans="1:8" x14ac:dyDescent="0.25">
      <c r="A178">
        <f>Main!$K$2</f>
        <v>0.02</v>
      </c>
      <c r="B178">
        <f>Main!T178</f>
        <v>115.97188123887227</v>
      </c>
      <c r="C178">
        <f>Main!U178</f>
        <v>221.83980404367335</v>
      </c>
      <c r="D178">
        <f t="shared" si="12"/>
        <v>152.72550376235699</v>
      </c>
      <c r="E178">
        <f t="shared" si="13"/>
        <v>45.944621843024436</v>
      </c>
      <c r="F178">
        <f t="shared" si="14"/>
        <v>-52.648968038795374</v>
      </c>
      <c r="G178">
        <f t="shared" si="15"/>
        <v>-354.3742814002826</v>
      </c>
      <c r="H178">
        <f>Main!O178</f>
        <v>4.7908929999999996</v>
      </c>
    </row>
    <row r="179" spans="1:8" x14ac:dyDescent="0.25">
      <c r="A179">
        <f>Main!$K$2</f>
        <v>0.02</v>
      </c>
      <c r="B179">
        <f>Main!T179</f>
        <v>116.03758745574046</v>
      </c>
      <c r="C179">
        <f>Main!U179</f>
        <v>220.92326380801302</v>
      </c>
      <c r="D179">
        <f t="shared" si="12"/>
        <v>153.64439619921748</v>
      </c>
      <c r="E179">
        <f t="shared" si="13"/>
        <v>44.891642482248528</v>
      </c>
      <c r="F179">
        <f t="shared" si="14"/>
        <v>-59.736453666801026</v>
      </c>
      <c r="G179">
        <f t="shared" si="15"/>
        <v>-362.5303566501259</v>
      </c>
      <c r="H179">
        <f>Main!O179</f>
        <v>4.7842719999999996</v>
      </c>
    </row>
    <row r="180" spans="1:8" x14ac:dyDescent="0.25">
      <c r="A180">
        <f>Main!$K$2</f>
        <v>0.02</v>
      </c>
      <c r="B180">
        <f>Main!T180</f>
        <v>116.09613509918145</v>
      </c>
      <c r="C180">
        <f>Main!U180</f>
        <v>220.02734193678253</v>
      </c>
      <c r="D180">
        <f t="shared" si="12"/>
        <v>154.54222904886245</v>
      </c>
      <c r="E180">
        <f t="shared" si="13"/>
        <v>43.696913408912508</v>
      </c>
      <c r="F180">
        <f t="shared" si="14"/>
        <v>-66.987060799803544</v>
      </c>
      <c r="G180">
        <f t="shared" si="15"/>
        <v>-356.28048930291811</v>
      </c>
      <c r="H180">
        <f>Main!O180</f>
        <v>4.7779410000000002</v>
      </c>
    </row>
    <row r="181" spans="1:8" x14ac:dyDescent="0.25">
      <c r="A181">
        <f>Main!$K$2</f>
        <v>0.02</v>
      </c>
      <c r="B181">
        <f>Main!T181</f>
        <v>116.14787963736015</v>
      </c>
      <c r="C181">
        <f>Main!U181</f>
        <v>219.1549368706836</v>
      </c>
      <c r="D181">
        <f t="shared" si="12"/>
        <v>155.4161673170407</v>
      </c>
      <c r="E181">
        <f t="shared" si="13"/>
        <v>42.357172192916437</v>
      </c>
      <c r="F181">
        <f t="shared" si="14"/>
        <v>-74.112670585861906</v>
      </c>
      <c r="G181">
        <f t="shared" si="15"/>
        <v>-362.53038740596821</v>
      </c>
      <c r="H181">
        <f>Main!O181</f>
        <v>4.7719079999999998</v>
      </c>
    </row>
    <row r="182" spans="1:8" x14ac:dyDescent="0.25">
      <c r="A182">
        <f>Main!$K$2</f>
        <v>0.02</v>
      </c>
      <c r="B182">
        <f>Main!T182</f>
        <v>116.19320563520658</v>
      </c>
      <c r="C182">
        <f>Main!U182</f>
        <v>218.30900686861997</v>
      </c>
      <c r="D182">
        <f t="shared" si="12"/>
        <v>156.26331076089903</v>
      </c>
      <c r="E182">
        <f t="shared" si="13"/>
        <v>40.874918781199199</v>
      </c>
      <c r="F182">
        <f t="shared" si="14"/>
        <v>-81.36327833398127</v>
      </c>
      <c r="G182">
        <f t="shared" si="15"/>
        <v>-359.46796090868816</v>
      </c>
      <c r="H182">
        <f>Main!O182</f>
        <v>4.7661759999999997</v>
      </c>
    </row>
    <row r="183" spans="1:8" x14ac:dyDescent="0.25">
      <c r="A183">
        <f>Main!$K$2</f>
        <v>0.02</v>
      </c>
      <c r="B183">
        <f>Main!T183</f>
        <v>116.23253223562031</v>
      </c>
      <c r="C183">
        <f>Main!U183</f>
        <v>217.49245496417805</v>
      </c>
      <c r="D183">
        <f t="shared" si="12"/>
        <v>157.08080913652302</v>
      </c>
      <c r="E183">
        <f t="shared" si="13"/>
        <v>39.247653214519573</v>
      </c>
      <c r="F183">
        <f t="shared" si="14"/>
        <v>-88.552637552155034</v>
      </c>
      <c r="G183">
        <f t="shared" si="15"/>
        <v>-360.87421104014084</v>
      </c>
      <c r="H183">
        <f>Main!O183</f>
        <v>4.7607520000000001</v>
      </c>
    </row>
    <row r="184" spans="1:8" x14ac:dyDescent="0.25">
      <c r="A184">
        <f>Main!$K$2</f>
        <v>0.02</v>
      </c>
      <c r="B184">
        <f>Main!T184</f>
        <v>116.26629785366839</v>
      </c>
      <c r="C184">
        <f>Main!U184</f>
        <v>216.7082284687211</v>
      </c>
      <c r="D184">
        <f t="shared" si="12"/>
        <v>157.86576220081341</v>
      </c>
      <c r="E184">
        <f t="shared" si="13"/>
        <v>37.476600463476473</v>
      </c>
      <c r="F184">
        <f t="shared" si="14"/>
        <v>-95.77012177295785</v>
      </c>
      <c r="G184">
        <f t="shared" si="15"/>
        <v>-359.59300655363791</v>
      </c>
      <c r="H184">
        <f>Main!O184</f>
        <v>4.7556390000000004</v>
      </c>
    </row>
    <row r="185" spans="1:8" x14ac:dyDescent="0.25">
      <c r="A185">
        <f>Main!$K$2</f>
        <v>0.02</v>
      </c>
      <c r="B185">
        <f>Main!T185</f>
        <v>116.29496018356782</v>
      </c>
      <c r="C185">
        <f>Main!U185</f>
        <v>215.95924468801263</v>
      </c>
      <c r="D185">
        <f t="shared" si="12"/>
        <v>158.61529421008294</v>
      </c>
      <c r="E185">
        <f t="shared" si="13"/>
        <v>35.561198028017316</v>
      </c>
      <c r="F185">
        <f t="shared" si="14"/>
        <v>-102.96198190403061</v>
      </c>
      <c r="G185">
        <f t="shared" si="15"/>
        <v>-359.09303300130091</v>
      </c>
      <c r="H185">
        <f>Main!O185</f>
        <v>4.7508419999999996</v>
      </c>
    </row>
    <row r="186" spans="1:8" x14ac:dyDescent="0.25">
      <c r="A186">
        <f>Main!$K$2</f>
        <v>0.02</v>
      </c>
      <c r="B186">
        <f>Main!T186</f>
        <v>116.31898738198807</v>
      </c>
      <c r="C186">
        <f>Main!U186</f>
        <v>215.24842669737703</v>
      </c>
      <c r="D186">
        <f t="shared" si="12"/>
        <v>159.32651817064328</v>
      </c>
      <c r="E186">
        <f t="shared" si="13"/>
        <v>33.501958389936703</v>
      </c>
      <c r="F186">
        <f t="shared" si="14"/>
        <v>-110.14384256405663</v>
      </c>
      <c r="G186">
        <f t="shared" si="15"/>
        <v>-198.4054566719351</v>
      </c>
      <c r="H186">
        <f>Main!O186</f>
        <v>4.7463649999999999</v>
      </c>
    </row>
    <row r="187" spans="1:8" x14ac:dyDescent="0.25">
      <c r="A187">
        <f>Main!$K$2</f>
        <v>0.02</v>
      </c>
      <c r="B187">
        <f>Main!T187</f>
        <v>116.33885352257644</v>
      </c>
      <c r="C187">
        <f>Main!U187</f>
        <v>214.57868210214497</v>
      </c>
      <c r="D187">
        <f t="shared" si="12"/>
        <v>159.99655733844202</v>
      </c>
      <c r="E187">
        <f t="shared" si="13"/>
        <v>31.299081538655571</v>
      </c>
      <c r="F187">
        <f t="shared" si="14"/>
        <v>-114.11195169749533</v>
      </c>
      <c r="G187">
        <f t="shared" si="15"/>
        <v>-21.15551626147294</v>
      </c>
      <c r="H187">
        <f>Main!O187</f>
        <v>4.7422129999999996</v>
      </c>
    </row>
    <row r="188" spans="1:8" x14ac:dyDescent="0.25">
      <c r="A188">
        <f>Main!$K$2</f>
        <v>0.02</v>
      </c>
      <c r="B188">
        <f>Main!T188</f>
        <v>116.3550317318747</v>
      </c>
      <c r="C188">
        <f>Main!U188</f>
        <v>213.95290956550784</v>
      </c>
      <c r="D188">
        <f t="shared" si="12"/>
        <v>160.62253896921513</v>
      </c>
      <c r="E188">
        <f t="shared" si="13"/>
        <v>29.016842504705664</v>
      </c>
      <c r="F188">
        <f t="shared" si="14"/>
        <v>-114.53506202272479</v>
      </c>
      <c r="G188">
        <f t="shared" si="15"/>
        <v>-17.968108750210376</v>
      </c>
      <c r="H188">
        <f>Main!O188</f>
        <v>4.738391</v>
      </c>
    </row>
    <row r="189" spans="1:8" x14ac:dyDescent="0.25">
      <c r="A189">
        <f>Main!$K$2</f>
        <v>0.02</v>
      </c>
      <c r="B189">
        <f>Main!T189</f>
        <v>116.36801012491313</v>
      </c>
      <c r="C189">
        <f>Main!U189</f>
        <v>213.3727178550437</v>
      </c>
      <c r="D189">
        <f t="shared" si="12"/>
        <v>161.20287581930924</v>
      </c>
      <c r="E189">
        <f t="shared" si="13"/>
        <v>26.726141264251169</v>
      </c>
      <c r="F189">
        <f t="shared" si="14"/>
        <v>-114.89442419772899</v>
      </c>
      <c r="G189">
        <f t="shared" si="15"/>
        <v>-10.061993389598456</v>
      </c>
      <c r="H189">
        <f>Main!O189</f>
        <v>4.7348939999999997</v>
      </c>
    </row>
    <row r="190" spans="1:8" x14ac:dyDescent="0.25">
      <c r="A190">
        <f>Main!$K$2</f>
        <v>0.02</v>
      </c>
      <c r="B190">
        <f>Main!T190</f>
        <v>116.37827158733872</v>
      </c>
      <c r="C190">
        <f>Main!U190</f>
        <v>212.83829353566858</v>
      </c>
      <c r="D190">
        <f t="shared" si="12"/>
        <v>161.73739864459426</v>
      </c>
      <c r="E190">
        <f t="shared" si="13"/>
        <v>24.428252780296589</v>
      </c>
      <c r="F190">
        <f t="shared" si="14"/>
        <v>-115.09566406552096</v>
      </c>
      <c r="G190">
        <f t="shared" si="15"/>
        <v>-16.562048219981307</v>
      </c>
      <c r="H190">
        <f>Main!O190</f>
        <v>4.7317130000000001</v>
      </c>
    </row>
    <row r="191" spans="1:8" x14ac:dyDescent="0.25">
      <c r="A191">
        <f>Main!$K$2</f>
        <v>0.02</v>
      </c>
      <c r="B191">
        <f>Main!T191</f>
        <v>116.38625236215864</v>
      </c>
      <c r="C191">
        <f>Main!U191</f>
        <v>212.34979366791782</v>
      </c>
      <c r="D191">
        <f t="shared" si="12"/>
        <v>162.2259637002002</v>
      </c>
      <c r="E191">
        <f t="shared" si="13"/>
        <v>22.126339498986169</v>
      </c>
      <c r="F191">
        <f t="shared" si="14"/>
        <v>-115.42690502992059</v>
      </c>
      <c r="G191">
        <f t="shared" si="15"/>
        <v>156.09413176420617</v>
      </c>
      <c r="H191">
        <f>Main!O191</f>
        <v>4.7288370000000004</v>
      </c>
    </row>
    <row r="192" spans="1:8" x14ac:dyDescent="0.25">
      <c r="A192">
        <f>Main!$K$2</f>
        <v>0.02</v>
      </c>
      <c r="B192">
        <f>Main!T192</f>
        <v>116.39234647117644</v>
      </c>
      <c r="C192">
        <f>Main!U192</f>
        <v>211.90730884141522</v>
      </c>
      <c r="D192">
        <f t="shared" si="12"/>
        <v>162.66849049017992</v>
      </c>
      <c r="E192">
        <f t="shared" si="13"/>
        <v>19.817801398387758</v>
      </c>
      <c r="F192">
        <f t="shared" si="14"/>
        <v>-112.30502239463647</v>
      </c>
      <c r="G192">
        <f t="shared" si="15"/>
        <v>326.71907529291389</v>
      </c>
      <c r="H192">
        <f>Main!O192</f>
        <v>4.7262599999999999</v>
      </c>
    </row>
    <row r="193" spans="1:8" x14ac:dyDescent="0.25">
      <c r="A193">
        <f>Main!$K$2</f>
        <v>0.02</v>
      </c>
      <c r="B193">
        <f>Main!T193</f>
        <v>116.39690268898418</v>
      </c>
      <c r="C193">
        <f>Main!U193</f>
        <v>211.5109790017795</v>
      </c>
      <c r="D193">
        <f t="shared" si="12"/>
        <v>163.06484651814768</v>
      </c>
      <c r="E193">
        <f t="shared" si="13"/>
        <v>17.571700950495028</v>
      </c>
      <c r="F193">
        <f t="shared" si="14"/>
        <v>-105.77064088877819</v>
      </c>
      <c r="G193">
        <f t="shared" si="15"/>
        <v>334.75024050133584</v>
      </c>
      <c r="H193">
        <f>Main!O193</f>
        <v>4.7239719999999998</v>
      </c>
    </row>
    <row r="194" spans="1:8" x14ac:dyDescent="0.25">
      <c r="A194">
        <f>Main!$K$2</f>
        <v>0.02</v>
      </c>
      <c r="B194">
        <f>Main!T194</f>
        <v>116.40023940179429</v>
      </c>
      <c r="C194">
        <f>Main!U194</f>
        <v>211.1595608234434</v>
      </c>
      <c r="D194">
        <f t="shared" si="12"/>
        <v>163.41628053715758</v>
      </c>
      <c r="E194">
        <f t="shared" si="13"/>
        <v>15.456288132719465</v>
      </c>
      <c r="F194">
        <f t="shared" si="14"/>
        <v>-99.075636078751472</v>
      </c>
      <c r="G194">
        <f t="shared" si="15"/>
        <v>334.2501768131001</v>
      </c>
      <c r="H194">
        <f>Main!O194</f>
        <v>4.7219600000000002</v>
      </c>
    </row>
    <row r="195" spans="1:8" x14ac:dyDescent="0.25">
      <c r="A195">
        <f>Main!$K$2</f>
        <v>0.02</v>
      </c>
      <c r="B195">
        <f>Main!T195</f>
        <v>116.40263444091063</v>
      </c>
      <c r="C195">
        <f>Main!U195</f>
        <v>210.85044433904909</v>
      </c>
      <c r="D195">
        <f t="shared" si="12"/>
        <v>163.72540629981197</v>
      </c>
      <c r="E195">
        <f t="shared" si="13"/>
        <v>13.474775411144435</v>
      </c>
      <c r="F195">
        <f t="shared" si="14"/>
        <v>-92.39063254248947</v>
      </c>
      <c r="G195">
        <f t="shared" si="15"/>
        <v>339.4688738111995</v>
      </c>
      <c r="H195">
        <f>Main!O195</f>
        <v>4.7202029999999997</v>
      </c>
    </row>
    <row r="196" spans="1:8" x14ac:dyDescent="0.25">
      <c r="A196">
        <f>Main!$K$2</f>
        <v>0.02</v>
      </c>
      <c r="B196">
        <f>Main!T196</f>
        <v>116.40431475434367</v>
      </c>
      <c r="C196">
        <f>Main!U196</f>
        <v>210.58095406928211</v>
      </c>
      <c r="D196">
        <f t="shared" si="12"/>
        <v>163.99490180803485</v>
      </c>
      <c r="E196">
        <f t="shared" si="13"/>
        <v>11.626962760294646</v>
      </c>
      <c r="F196">
        <f t="shared" si="14"/>
        <v>-85.60125506626548</v>
      </c>
      <c r="G196">
        <f t="shared" si="15"/>
        <v>338.18758946324579</v>
      </c>
      <c r="H196">
        <f>Main!O196</f>
        <v>4.7186810000000001</v>
      </c>
    </row>
    <row r="197" spans="1:8" x14ac:dyDescent="0.25">
      <c r="A197">
        <f>Main!$K$2</f>
        <v>0.02</v>
      </c>
      <c r="B197">
        <f>Main!T197</f>
        <v>116.40546264528228</v>
      </c>
      <c r="C197">
        <f>Main!U197</f>
        <v>210.34841764727881</v>
      </c>
      <c r="D197">
        <f t="shared" ref="D197:D211" si="16">D196 + SQRT( (B197-B196)^2  + (C197-C196)^2 )</f>
        <v>164.22744106324075</v>
      </c>
      <c r="E197">
        <f t="shared" ref="E197:E211" si="17" xml:space="preserve"> IF(ISBLANK(D198), 0, (D198-D197)/$A197 )</f>
        <v>9.9149376589693361</v>
      </c>
      <c r="F197">
        <f t="shared" ref="F197:F211" si="18" xml:space="preserve"> (E198-E197)/$A197</f>
        <v>-78.837503277000565</v>
      </c>
      <c r="G197">
        <f t="shared" ref="G197:G211" si="19" xml:space="preserve"> (F198-F197)/$A197</f>
        <v>340.75006066558444</v>
      </c>
      <c r="H197">
        <f>Main!O197</f>
        <v>4.7173740000000004</v>
      </c>
    </row>
    <row r="198" spans="1:8" x14ac:dyDescent="0.25">
      <c r="A198">
        <f>Main!$K$2</f>
        <v>0.02</v>
      </c>
      <c r="B198">
        <f>Main!T198</f>
        <v>116.40622310531452</v>
      </c>
      <c r="C198">
        <f>Main!U198</f>
        <v>210.15012035225681</v>
      </c>
      <c r="D198">
        <f t="shared" si="16"/>
        <v>164.42573981642013</v>
      </c>
      <c r="E198">
        <f t="shared" si="17"/>
        <v>8.3381875934293248</v>
      </c>
      <c r="F198">
        <f t="shared" si="18"/>
        <v>-72.022502063688876</v>
      </c>
      <c r="G198">
        <f t="shared" si="19"/>
        <v>336.40629220954565</v>
      </c>
      <c r="H198">
        <f>Main!O198</f>
        <v>4.7162649999999999</v>
      </c>
    </row>
    <row r="199" spans="1:8" x14ac:dyDescent="0.25">
      <c r="A199">
        <f>Main!$K$2</f>
        <v>0.02</v>
      </c>
      <c r="B199">
        <f>Main!T199</f>
        <v>116.40670884302936</v>
      </c>
      <c r="C199">
        <f>Main!U199</f>
        <v>209.98335730780101</v>
      </c>
      <c r="D199">
        <f t="shared" si="16"/>
        <v>164.59250356828872</v>
      </c>
      <c r="E199">
        <f t="shared" si="17"/>
        <v>6.8977375521555473</v>
      </c>
      <c r="F199">
        <f t="shared" si="18"/>
        <v>-65.294376219497963</v>
      </c>
      <c r="G199">
        <f t="shared" si="19"/>
        <v>344.31252560551684</v>
      </c>
      <c r="H199">
        <f>Main!O199</f>
        <v>4.7153359999999997</v>
      </c>
    </row>
    <row r="200" spans="1:8" x14ac:dyDescent="0.25">
      <c r="A200">
        <f>Main!$K$2</f>
        <v>0.02</v>
      </c>
      <c r="B200">
        <f>Main!T200</f>
        <v>116.40700598565699</v>
      </c>
      <c r="C200">
        <f>Main!U200</f>
        <v>209.84540287676805</v>
      </c>
      <c r="D200">
        <f t="shared" si="16"/>
        <v>164.73045831933183</v>
      </c>
      <c r="E200">
        <f t="shared" si="17"/>
        <v>5.591850027765588</v>
      </c>
      <c r="F200">
        <f t="shared" si="18"/>
        <v>-58.408125707387626</v>
      </c>
      <c r="G200">
        <f t="shared" si="19"/>
        <v>341.37501656061886</v>
      </c>
      <c r="H200">
        <f>Main!O200</f>
        <v>4.7145710000000003</v>
      </c>
    </row>
    <row r="201" spans="1:8" x14ac:dyDescent="0.25">
      <c r="A201">
        <f>Main!$K$2</f>
        <v>0.02</v>
      </c>
      <c r="B201">
        <f>Main!T201</f>
        <v>116.40717813052768</v>
      </c>
      <c r="C201">
        <f>Main!U201</f>
        <v>209.73356600869963</v>
      </c>
      <c r="D201">
        <f t="shared" si="16"/>
        <v>164.84229531988714</v>
      </c>
      <c r="E201">
        <f t="shared" si="17"/>
        <v>4.4236875136178355</v>
      </c>
      <c r="F201">
        <f t="shared" si="18"/>
        <v>-51.580625376175249</v>
      </c>
      <c r="G201">
        <f t="shared" si="19"/>
        <v>340.87500962343142</v>
      </c>
      <c r="H201">
        <f>Main!O201</f>
        <v>4.7139509999999998</v>
      </c>
    </row>
    <row r="202" spans="1:8" x14ac:dyDescent="0.25">
      <c r="A202">
        <f>Main!$K$2</f>
        <v>0.02</v>
      </c>
      <c r="B202">
        <f>Main!T202</f>
        <v>116.40727148040325</v>
      </c>
      <c r="C202">
        <f>Main!U202</f>
        <v>209.64509230767464</v>
      </c>
      <c r="D202">
        <f t="shared" si="16"/>
        <v>164.9307690701595</v>
      </c>
      <c r="E202">
        <f t="shared" si="17"/>
        <v>3.3920750060943305</v>
      </c>
      <c r="F202">
        <f t="shared" si="18"/>
        <v>-44.76312518370662</v>
      </c>
      <c r="G202">
        <f t="shared" si="19"/>
        <v>343.03125516288446</v>
      </c>
      <c r="H202">
        <f>Main!O202</f>
        <v>4.7134619999999998</v>
      </c>
    </row>
    <row r="203" spans="1:8" x14ac:dyDescent="0.25">
      <c r="A203">
        <f>Main!$K$2</f>
        <v>0.02</v>
      </c>
      <c r="B203">
        <f>Main!T203</f>
        <v>116.40731797626044</v>
      </c>
      <c r="C203">
        <f>Main!U203</f>
        <v>209.57725082348597</v>
      </c>
      <c r="D203">
        <f t="shared" si="16"/>
        <v>164.99861057028139</v>
      </c>
      <c r="E203">
        <f t="shared" si="17"/>
        <v>2.4968125024201981</v>
      </c>
      <c r="F203">
        <f t="shared" si="18"/>
        <v>-37.902500080448931</v>
      </c>
      <c r="G203">
        <f t="shared" si="19"/>
        <v>341.00000253545204</v>
      </c>
      <c r="H203">
        <f>Main!O203</f>
        <v>4.7130879999999999</v>
      </c>
    </row>
    <row r="204" spans="1:8" x14ac:dyDescent="0.25">
      <c r="A204">
        <f>Main!$K$2</f>
        <v>0.02</v>
      </c>
      <c r="B204">
        <f>Main!T204</f>
        <v>116.40733864919378</v>
      </c>
      <c r="C204">
        <f>Main!U204</f>
        <v>209.52731457771671</v>
      </c>
      <c r="D204">
        <f t="shared" si="16"/>
        <v>165.04854682032979</v>
      </c>
      <c r="E204">
        <f t="shared" si="17"/>
        <v>1.7387625008112195</v>
      </c>
      <c r="F204">
        <f t="shared" si="18"/>
        <v>-31.08250002973989</v>
      </c>
      <c r="G204">
        <f t="shared" si="19"/>
        <v>342.78125104236778</v>
      </c>
      <c r="H204">
        <f>Main!O204</f>
        <v>4.7128129999999997</v>
      </c>
    </row>
    <row r="205" spans="1:8" x14ac:dyDescent="0.25">
      <c r="A205">
        <f>Main!$K$2</f>
        <v>0.02</v>
      </c>
      <c r="B205">
        <f>Main!T205</f>
        <v>116.40734651082245</v>
      </c>
      <c r="C205">
        <f>Main!U205</f>
        <v>209.49253932858912</v>
      </c>
      <c r="D205">
        <f t="shared" si="16"/>
        <v>165.08332207034601</v>
      </c>
      <c r="E205">
        <f t="shared" si="17"/>
        <v>1.1171125002164217</v>
      </c>
      <c r="F205">
        <f t="shared" si="18"/>
        <v>-24.226875008892534</v>
      </c>
      <c r="G205">
        <f t="shared" si="19"/>
        <v>344.56250035930225</v>
      </c>
      <c r="H205">
        <f>Main!O205</f>
        <v>4.7126219999999996</v>
      </c>
    </row>
    <row r="206" spans="1:8" x14ac:dyDescent="0.25">
      <c r="A206">
        <f>Main!$K$2</f>
        <v>0.02</v>
      </c>
      <c r="B206">
        <f>Main!T206</f>
        <v>116.40734886867858</v>
      </c>
      <c r="C206">
        <f>Main!U206</f>
        <v>209.47019707870922</v>
      </c>
      <c r="D206">
        <f t="shared" si="16"/>
        <v>165.10566432035034</v>
      </c>
      <c r="E206">
        <f t="shared" si="17"/>
        <v>0.63257500003857103</v>
      </c>
      <c r="F206">
        <f t="shared" si="18"/>
        <v>-17.335625001706489</v>
      </c>
      <c r="G206">
        <f t="shared" si="19"/>
        <v>339.46875007373478</v>
      </c>
      <c r="H206">
        <f>Main!O206</f>
        <v>4.7124990000000002</v>
      </c>
    </row>
    <row r="207" spans="1:8" x14ac:dyDescent="0.25">
      <c r="A207">
        <f>Main!$K$2</f>
        <v>0.02</v>
      </c>
      <c r="B207">
        <f>Main!T207</f>
        <v>116.40734934252424</v>
      </c>
      <c r="C207">
        <f>Main!U207</f>
        <v>209.45754557871732</v>
      </c>
      <c r="D207">
        <f t="shared" si="16"/>
        <v>165.11831582035111</v>
      </c>
      <c r="E207">
        <f t="shared" si="17"/>
        <v>0.28586250000444124</v>
      </c>
      <c r="F207">
        <f t="shared" si="18"/>
        <v>-10.546250000231794</v>
      </c>
      <c r="G207">
        <f t="shared" si="19"/>
        <v>346.09375001082299</v>
      </c>
      <c r="H207">
        <f>Main!O207</f>
        <v>4.7124290000000002</v>
      </c>
    </row>
    <row r="208" spans="1:8" x14ac:dyDescent="0.25">
      <c r="A208">
        <f>Main!$K$2</f>
        <v>0.02</v>
      </c>
      <c r="B208">
        <f>Main!T208</f>
        <v>116.40734938772502</v>
      </c>
      <c r="C208">
        <f>Main!U208</f>
        <v>209.4518283287174</v>
      </c>
      <c r="D208">
        <f t="shared" si="16"/>
        <v>165.1240330703512</v>
      </c>
      <c r="E208">
        <f t="shared" si="17"/>
        <v>7.4937499999805368E-2</v>
      </c>
      <c r="F208">
        <f t="shared" si="18"/>
        <v>-3.6243750000153341</v>
      </c>
      <c r="G208">
        <f t="shared" si="19"/>
        <v>175.09375000201999</v>
      </c>
      <c r="H208">
        <f>Main!O208</f>
        <v>4.7123980000000003</v>
      </c>
    </row>
    <row r="209" spans="1:8" x14ac:dyDescent="0.25">
      <c r="A209">
        <f>Main!$K$2</f>
        <v>0.02</v>
      </c>
      <c r="B209">
        <f>Main!T209</f>
        <v>116.40734938721781</v>
      </c>
      <c r="C209">
        <f>Main!U209</f>
        <v>209.4503295787174</v>
      </c>
      <c r="D209">
        <f t="shared" si="16"/>
        <v>165.1255318203512</v>
      </c>
      <c r="E209">
        <f t="shared" si="17"/>
        <v>2.4499999994986865E-3</v>
      </c>
      <c r="F209">
        <f t="shared" si="18"/>
        <v>-0.12249999997493433</v>
      </c>
      <c r="G209">
        <f t="shared" si="19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Main!T210</f>
        <v>116.40734938721877</v>
      </c>
      <c r="C210">
        <f>Main!U210</f>
        <v>209.45028057871741</v>
      </c>
      <c r="D210">
        <f t="shared" si="16"/>
        <v>165.12558082035119</v>
      </c>
      <c r="E210">
        <f t="shared" si="17"/>
        <v>0</v>
      </c>
      <c r="F210">
        <f t="shared" si="18"/>
        <v>0</v>
      </c>
      <c r="G210">
        <f t="shared" si="19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Main!T211</f>
        <v>116.40734938721877</v>
      </c>
      <c r="C211">
        <f>Main!U211</f>
        <v>209.45028057871741</v>
      </c>
      <c r="D211">
        <f t="shared" si="16"/>
        <v>165.12558082035119</v>
      </c>
      <c r="E211">
        <f t="shared" si="17"/>
        <v>0</v>
      </c>
      <c r="F211">
        <f t="shared" si="18"/>
        <v>0</v>
      </c>
      <c r="G211">
        <f t="shared" si="19"/>
        <v>0</v>
      </c>
      <c r="H211">
        <f>Main!O211</f>
        <v>4.7123889999999999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Main!W2</f>
        <v>1.0773201283364657E-3</v>
      </c>
      <c r="C2">
        <f>Main!X2</f>
        <v>313.24999995620306</v>
      </c>
      <c r="D2">
        <v>0</v>
      </c>
      <c r="E2">
        <f t="shared" ref="E2:E4" si="0" xml:space="preserve"> IF(ISBLANK(D3), 0, (D3-D2)/$A2 )</f>
        <v>7.3550000000000074E-2</v>
      </c>
      <c r="F2">
        <f xml:space="preserve"> (E3-E2)/$A2</f>
        <v>10.961249999990772</v>
      </c>
      <c r="G2">
        <f xml:space="preserve"> (F3-F2)/$A2</f>
        <v>364.43750000106502</v>
      </c>
      <c r="H2">
        <f>Main!O2</f>
        <v>6.2831039999999998</v>
      </c>
    </row>
    <row r="3" spans="1:8" x14ac:dyDescent="0.25">
      <c r="A3">
        <f>Main!$K$2</f>
        <v>0.02</v>
      </c>
      <c r="B3">
        <f>Main!W3</f>
        <v>2.5483201234741803E-3</v>
      </c>
      <c r="C3">
        <f>Main!X3</f>
        <v>313.24999983660018</v>
      </c>
      <c r="D3">
        <f>D2 + SQRT( (B3-B2)^2  + (C3-C2)^2 )</f>
        <v>1.4710000000000014E-3</v>
      </c>
      <c r="E3">
        <f t="shared" si="0"/>
        <v>0.29277499999981549</v>
      </c>
      <c r="F3">
        <f t="shared" ref="F3:G3" si="1" xml:space="preserve"> (E4-E3)/$A3</f>
        <v>18.250000000012072</v>
      </c>
      <c r="G3">
        <f t="shared" si="1"/>
        <v>367.75000000015774</v>
      </c>
      <c r="H3">
        <f>Main!O3</f>
        <v>6.2831039999999998</v>
      </c>
    </row>
    <row r="4" spans="1:8" x14ac:dyDescent="0.25">
      <c r="A4">
        <f>Main!$K$2</f>
        <v>0.02</v>
      </c>
      <c r="B4">
        <f>Main!W4</f>
        <v>8.4038201050581334E-3</v>
      </c>
      <c r="C4">
        <f>Main!X4</f>
        <v>313.24999937224351</v>
      </c>
      <c r="D4">
        <f t="shared" ref="D4" si="2">D3 + SQRT( (B4-B3)^2  + (C4-C3)^2 )</f>
        <v>7.3264999999963117E-3</v>
      </c>
      <c r="E4">
        <f t="shared" si="0"/>
        <v>0.65777500000005695</v>
      </c>
      <c r="F4">
        <f t="shared" ref="F4:G4" si="3" xml:space="preserve"> (E5-E4)/$A4</f>
        <v>25.605000000015227</v>
      </c>
      <c r="G4">
        <f t="shared" si="3"/>
        <v>364.06249999870766</v>
      </c>
      <c r="H4">
        <f>Main!O4</f>
        <v>6.2831060000000001</v>
      </c>
    </row>
    <row r="5" spans="1:8" x14ac:dyDescent="0.25">
      <c r="A5">
        <f>Main!$K$2</f>
        <v>0.02</v>
      </c>
      <c r="B5">
        <f>Main!W5</f>
        <v>2.1559320069728299E-2</v>
      </c>
      <c r="C5">
        <f>Main!X5</f>
        <v>313.24999840808937</v>
      </c>
      <c r="D5">
        <f t="shared" ref="D5:D68" si="4">D4 + SQRT( (B5-B4)^2  + (C5-C4)^2 )</f>
        <v>2.048199999999745E-2</v>
      </c>
      <c r="E5">
        <f t="shared" ref="E5:E68" si="5" xml:space="preserve"> IF(ISBLANK(D6), 0, (D6-D5)/$A5 )</f>
        <v>1.1698750000003615</v>
      </c>
      <c r="F5">
        <f t="shared" ref="F5:F68" si="6" xml:space="preserve"> (E6-E5)/$A5</f>
        <v>32.886249999989381</v>
      </c>
      <c r="G5">
        <f t="shared" ref="G5:G68" si="7" xml:space="preserve"> (F6-F5)/$A5</f>
        <v>366.34375000409062</v>
      </c>
      <c r="H5">
        <f>Main!O5</f>
        <v>6.283112</v>
      </c>
    </row>
    <row r="6" spans="1:8" x14ac:dyDescent="0.25">
      <c r="A6">
        <f>Main!$K$2</f>
        <v>0.02</v>
      </c>
      <c r="B6">
        <f>Main!W6</f>
        <v>4.4956820022891225E-2</v>
      </c>
      <c r="C6">
        <f>Main!X6</f>
        <v>313.24999692752215</v>
      </c>
      <c r="D6">
        <f t="shared" si="4"/>
        <v>4.3879500000004679E-2</v>
      </c>
      <c r="E6">
        <f t="shared" si="5"/>
        <v>1.8276000000001491</v>
      </c>
      <c r="F6">
        <f t="shared" si="6"/>
        <v>40.213125000071194</v>
      </c>
      <c r="G6">
        <f t="shared" si="7"/>
        <v>366.74123380975414</v>
      </c>
      <c r="H6">
        <f>Main!O6</f>
        <v>6.2831219999999997</v>
      </c>
    </row>
    <row r="7" spans="1:8" x14ac:dyDescent="0.25">
      <c r="A7">
        <f>Main!$K$2</f>
        <v>0.02</v>
      </c>
      <c r="B7">
        <f>Main!W7</f>
        <v>8.150881998207328E-2</v>
      </c>
      <c r="C7">
        <f>Main!X7</f>
        <v>313.24999520004616</v>
      </c>
      <c r="D7">
        <f t="shared" si="4"/>
        <v>8.0431500000007664E-2</v>
      </c>
      <c r="E7">
        <f t="shared" si="5"/>
        <v>2.631862500001573</v>
      </c>
      <c r="F7">
        <f t="shared" si="6"/>
        <v>47.547949676266278</v>
      </c>
      <c r="G7">
        <f t="shared" si="7"/>
        <v>365.70503238587332</v>
      </c>
      <c r="H7">
        <f>Main!O7</f>
        <v>6.2831380000000001</v>
      </c>
    </row>
    <row r="8" spans="1:8" x14ac:dyDescent="0.25">
      <c r="A8">
        <f>Main!$K$2</f>
        <v>0.02</v>
      </c>
      <c r="B8">
        <f>Main!W8</f>
        <v>0.13414606996663975</v>
      </c>
      <c r="C8">
        <f>Main!X8</f>
        <v>313.24999392408768</v>
      </c>
      <c r="D8">
        <f t="shared" si="4"/>
        <v>0.13306875000003912</v>
      </c>
      <c r="E8">
        <f t="shared" si="5"/>
        <v>3.5828214935268985</v>
      </c>
      <c r="F8">
        <f t="shared" si="6"/>
        <v>54.862050323983745</v>
      </c>
      <c r="G8">
        <f t="shared" si="7"/>
        <v>366.99123381503932</v>
      </c>
      <c r="H8">
        <f>Main!O8</f>
        <v>6.2831609999999998</v>
      </c>
    </row>
    <row r="9" spans="1:8" x14ac:dyDescent="0.25">
      <c r="A9">
        <f>Main!$K$2</f>
        <v>0.02</v>
      </c>
      <c r="B9">
        <f>Main!W9</f>
        <v>0.20580249983585111</v>
      </c>
      <c r="C9">
        <f>Main!X9</f>
        <v>313.24999436011143</v>
      </c>
      <c r="D9">
        <f t="shared" si="4"/>
        <v>0.20472517987057709</v>
      </c>
      <c r="E9">
        <f t="shared" si="5"/>
        <v>4.6800625000065734</v>
      </c>
      <c r="F9">
        <f t="shared" si="6"/>
        <v>62.201875000284531</v>
      </c>
      <c r="G9">
        <f t="shared" si="7"/>
        <v>365.84375000918283</v>
      </c>
      <c r="H9">
        <f>Main!O9</f>
        <v>6.0000000000000002E-6</v>
      </c>
    </row>
    <row r="10" spans="1:8" x14ac:dyDescent="0.25">
      <c r="A10">
        <f>Main!$K$2</f>
        <v>0.02</v>
      </c>
      <c r="B10">
        <f>Main!W10</f>
        <v>0.29940374974075734</v>
      </c>
      <c r="C10">
        <f>Main!X10</f>
        <v>313.2499985822443</v>
      </c>
      <c r="D10">
        <f t="shared" si="4"/>
        <v>0.29832642987070856</v>
      </c>
      <c r="E10">
        <f t="shared" si="5"/>
        <v>5.9241000000122641</v>
      </c>
      <c r="F10">
        <f t="shared" si="6"/>
        <v>69.518750000468188</v>
      </c>
      <c r="G10">
        <f t="shared" si="7"/>
        <v>368.00000000966048</v>
      </c>
      <c r="H10">
        <f>Main!O10</f>
        <v>4.5000000000000003E-5</v>
      </c>
    </row>
    <row r="11" spans="1:8" x14ac:dyDescent="0.25">
      <c r="A11">
        <f>Main!$K$2</f>
        <v>0.02</v>
      </c>
      <c r="B11">
        <f>Main!W11</f>
        <v>0.41788574922720667</v>
      </c>
      <c r="C11">
        <f>Main!X11</f>
        <v>313.25000961633424</v>
      </c>
      <c r="D11">
        <f t="shared" si="4"/>
        <v>0.41680842987095384</v>
      </c>
      <c r="E11">
        <f t="shared" si="5"/>
        <v>7.3144750000216279</v>
      </c>
      <c r="F11">
        <f t="shared" si="6"/>
        <v>76.878750000661398</v>
      </c>
      <c r="G11">
        <f t="shared" si="7"/>
        <v>367.2500000112741</v>
      </c>
      <c r="H11">
        <f>Main!O11</f>
        <v>9.2999999999999997E-5</v>
      </c>
    </row>
    <row r="12" spans="1:8" x14ac:dyDescent="0.25">
      <c r="A12">
        <f>Main!$K$2</f>
        <v>0.02</v>
      </c>
      <c r="B12">
        <f>Main!W12</f>
        <v>0.56417524755649884</v>
      </c>
      <c r="C12">
        <f>Main!X12</f>
        <v>313.25003172833522</v>
      </c>
      <c r="D12">
        <f t="shared" si="4"/>
        <v>0.5630979298713864</v>
      </c>
      <c r="E12">
        <f t="shared" si="5"/>
        <v>8.8520500000348559</v>
      </c>
      <c r="F12">
        <f t="shared" si="6"/>
        <v>84.223750000886881</v>
      </c>
      <c r="G12">
        <f t="shared" si="7"/>
        <v>371.31250000038489</v>
      </c>
      <c r="H12">
        <f>Main!O12</f>
        <v>1.5100000000000001E-4</v>
      </c>
    </row>
    <row r="13" spans="1:8" x14ac:dyDescent="0.25">
      <c r="A13">
        <f>Main!$K$2</f>
        <v>0.02</v>
      </c>
      <c r="B13">
        <f>Main!W13</f>
        <v>0.74121624330495273</v>
      </c>
      <c r="C13">
        <f>Main!X13</f>
        <v>313.25007053094788</v>
      </c>
      <c r="D13">
        <f t="shared" si="4"/>
        <v>0.74013892987208352</v>
      </c>
      <c r="E13">
        <f t="shared" si="5"/>
        <v>10.536525000052594</v>
      </c>
      <c r="F13">
        <f t="shared" si="6"/>
        <v>91.650000000894579</v>
      </c>
      <c r="G13">
        <f t="shared" si="7"/>
        <v>367.3750000090692</v>
      </c>
      <c r="H13">
        <f>Main!O13</f>
        <v>2.1900000000000001E-4</v>
      </c>
    </row>
    <row r="14" spans="1:8" x14ac:dyDescent="0.25">
      <c r="A14">
        <f>Main!$K$2</f>
        <v>0.02</v>
      </c>
      <c r="B14">
        <f>Main!W14</f>
        <v>0.9519467339998664</v>
      </c>
      <c r="C14">
        <f>Main!X14</f>
        <v>313.25013315821195</v>
      </c>
      <c r="D14">
        <f t="shared" si="4"/>
        <v>0.95086942987313539</v>
      </c>
      <c r="E14">
        <f t="shared" si="5"/>
        <v>12.369525000070485</v>
      </c>
      <c r="F14">
        <f t="shared" si="6"/>
        <v>98.997500001075963</v>
      </c>
      <c r="G14">
        <f t="shared" si="7"/>
        <v>372.71874998483054</v>
      </c>
      <c r="H14">
        <f>Main!O14</f>
        <v>2.9700000000000001E-4</v>
      </c>
    </row>
    <row r="15" spans="1:8" x14ac:dyDescent="0.25">
      <c r="A15">
        <f>Main!$K$2</f>
        <v>0.02</v>
      </c>
      <c r="B15">
        <f>Main!W15</f>
        <v>1.1993372158377724</v>
      </c>
      <c r="C15">
        <f>Main!X15</f>
        <v>313.25022795776965</v>
      </c>
      <c r="D15">
        <f t="shared" si="4"/>
        <v>1.1982599298745451</v>
      </c>
      <c r="E15">
        <f t="shared" si="5"/>
        <v>14.349475000092005</v>
      </c>
      <c r="F15">
        <f t="shared" si="6"/>
        <v>106.45187500077257</v>
      </c>
      <c r="G15">
        <f t="shared" si="7"/>
        <v>371.06249998647627</v>
      </c>
      <c r="H15">
        <f>Main!O15</f>
        <v>3.8299999999999999E-4</v>
      </c>
    </row>
    <row r="16" spans="1:8" x14ac:dyDescent="0.25">
      <c r="A16">
        <f>Main!$K$2</f>
        <v>0.02</v>
      </c>
      <c r="B16">
        <f>Main!W16</f>
        <v>1.4863266831624673</v>
      </c>
      <c r="C16">
        <f>Main!X16</f>
        <v>313.25036491029442</v>
      </c>
      <c r="D16">
        <f t="shared" si="4"/>
        <v>1.4852494298763852</v>
      </c>
      <c r="E16">
        <f t="shared" si="5"/>
        <v>16.478512500107456</v>
      </c>
      <c r="F16">
        <f t="shared" si="6"/>
        <v>113.8731250005021</v>
      </c>
      <c r="G16">
        <f t="shared" si="7"/>
        <v>374.12499996624359</v>
      </c>
      <c r="H16">
        <f>Main!O16</f>
        <v>4.7699999999999999E-4</v>
      </c>
    </row>
    <row r="17" spans="1:8" x14ac:dyDescent="0.25">
      <c r="A17">
        <f>Main!$K$2</f>
        <v>0.02</v>
      </c>
      <c r="B17">
        <f>Main!W17</f>
        <v>1.8158968784554612</v>
      </c>
      <c r="C17">
        <f>Main!X17</f>
        <v>313.25055480767952</v>
      </c>
      <c r="D17">
        <f t="shared" si="4"/>
        <v>1.8148196798785343</v>
      </c>
      <c r="E17">
        <f t="shared" si="5"/>
        <v>18.755975000117498</v>
      </c>
      <c r="F17">
        <f t="shared" si="6"/>
        <v>121.35562499982697</v>
      </c>
      <c r="G17">
        <f t="shared" si="7"/>
        <v>192.15624996067291</v>
      </c>
      <c r="H17">
        <f>Main!O17</f>
        <v>5.7600000000000001E-4</v>
      </c>
    </row>
    <row r="18" spans="1:8" x14ac:dyDescent="0.25">
      <c r="A18">
        <f>Main!$K$2</f>
        <v>0.02</v>
      </c>
      <c r="B18">
        <f>Main!W18</f>
        <v>2.19101629219286</v>
      </c>
      <c r="C18">
        <f>Main!X18</f>
        <v>313.25080920760746</v>
      </c>
      <c r="D18">
        <f t="shared" si="4"/>
        <v>2.1899391798808843</v>
      </c>
      <c r="E18">
        <f t="shared" si="5"/>
        <v>21.183087500114038</v>
      </c>
      <c r="F18">
        <f t="shared" si="6"/>
        <v>125.19874999904043</v>
      </c>
      <c r="G18">
        <f t="shared" si="7"/>
        <v>9.9374999689686661</v>
      </c>
      <c r="H18">
        <f>Main!O18</f>
        <v>6.78E-4</v>
      </c>
    </row>
    <row r="19" spans="1:8" x14ac:dyDescent="0.25">
      <c r="A19">
        <f>Main!$K$2</f>
        <v>0.02</v>
      </c>
      <c r="B19">
        <f>Main!W19</f>
        <v>2.6146779135948357</v>
      </c>
      <c r="C19">
        <f>Main!X19</f>
        <v>313.251139307659</v>
      </c>
      <c r="D19">
        <f t="shared" si="4"/>
        <v>2.6136009298831651</v>
      </c>
      <c r="E19">
        <f t="shared" si="5"/>
        <v>23.687062500094846</v>
      </c>
      <c r="F19">
        <f t="shared" si="6"/>
        <v>125.3974999984198</v>
      </c>
      <c r="G19">
        <f t="shared" si="7"/>
        <v>9.9374999967238864</v>
      </c>
      <c r="H19">
        <f>Main!O19</f>
        <v>7.7899999999999996E-4</v>
      </c>
    </row>
    <row r="20" spans="1:8" x14ac:dyDescent="0.25">
      <c r="A20">
        <f>Main!$K$2</f>
        <v>0.02</v>
      </c>
      <c r="B20">
        <f>Main!W20</f>
        <v>3.0884189826046979</v>
      </c>
      <c r="C20">
        <f>Main!X20</f>
        <v>313.2515534172494</v>
      </c>
      <c r="D20">
        <f t="shared" si="4"/>
        <v>3.087342179885062</v>
      </c>
      <c r="E20">
        <f t="shared" si="5"/>
        <v>26.195012500063243</v>
      </c>
      <c r="F20">
        <f t="shared" si="6"/>
        <v>125.59624999835428</v>
      </c>
      <c r="G20">
        <f t="shared" si="7"/>
        <v>9.937500025589685</v>
      </c>
      <c r="H20">
        <f>Main!O20</f>
        <v>8.7399999999999999E-4</v>
      </c>
    </row>
    <row r="21" spans="1:8" x14ac:dyDescent="0.25">
      <c r="A21">
        <f>Main!$K$2</f>
        <v>0.02</v>
      </c>
      <c r="B21">
        <f>Main!W21</f>
        <v>3.6123189926555419</v>
      </c>
      <c r="C21">
        <f>Main!X21</f>
        <v>313.25205483535171</v>
      </c>
      <c r="D21">
        <f t="shared" si="4"/>
        <v>3.6112424298863268</v>
      </c>
      <c r="E21">
        <f t="shared" si="5"/>
        <v>28.706937500030328</v>
      </c>
      <c r="F21">
        <f t="shared" si="6"/>
        <v>125.79499999886607</v>
      </c>
      <c r="G21">
        <f t="shared" si="7"/>
        <v>16.562500037515804</v>
      </c>
      <c r="H21">
        <f>Main!O21</f>
        <v>9.5699999999999995E-4</v>
      </c>
    </row>
    <row r="22" spans="1:8" x14ac:dyDescent="0.25">
      <c r="A22">
        <f>Main!$K$2</f>
        <v>0.02</v>
      </c>
      <c r="B22">
        <f>Main!W22</f>
        <v>4.1864574427881989</v>
      </c>
      <c r="C22">
        <f>Main!X22</f>
        <v>313.25264163304263</v>
      </c>
      <c r="D22">
        <f t="shared" si="4"/>
        <v>4.1853811798869334</v>
      </c>
      <c r="E22">
        <f t="shared" si="5"/>
        <v>31.22283750000765</v>
      </c>
      <c r="F22">
        <f t="shared" si="6"/>
        <v>126.12624999961639</v>
      </c>
      <c r="G22">
        <f t="shared" si="7"/>
        <v>-172.28124999158823</v>
      </c>
      <c r="H22">
        <f>Main!O22</f>
        <v>1.0219999999999999E-3</v>
      </c>
    </row>
    <row r="23" spans="1:8" x14ac:dyDescent="0.25">
      <c r="A23">
        <f>Main!$K$2</f>
        <v>0.02</v>
      </c>
      <c r="B23">
        <f>Main!W23</f>
        <v>4.8109138399681619</v>
      </c>
      <c r="C23">
        <f>Main!X23</f>
        <v>313.25330544157953</v>
      </c>
      <c r="D23">
        <f t="shared" si="4"/>
        <v>4.8098379298870864</v>
      </c>
      <c r="E23">
        <f t="shared" si="5"/>
        <v>33.745362499999978</v>
      </c>
      <c r="F23">
        <f t="shared" si="6"/>
        <v>122.68062499978463</v>
      </c>
      <c r="G23">
        <f t="shared" si="7"/>
        <v>-354.25000013599828</v>
      </c>
      <c r="H23">
        <f>Main!O23</f>
        <v>1.0629999999999999E-3</v>
      </c>
    </row>
    <row r="24" spans="1:8" x14ac:dyDescent="0.25">
      <c r="A24">
        <f>Main!$K$2</f>
        <v>0.02</v>
      </c>
      <c r="B24">
        <f>Main!W24</f>
        <v>5.485820703617196</v>
      </c>
      <c r="C24">
        <f>Main!X24</f>
        <v>313.25402759252381</v>
      </c>
      <c r="D24">
        <f t="shared" si="4"/>
        <v>5.4847451798870859</v>
      </c>
      <c r="E24">
        <f t="shared" si="5"/>
        <v>36.19897499999567</v>
      </c>
      <c r="F24">
        <f t="shared" si="6"/>
        <v>115.59562499706466</v>
      </c>
      <c r="G24">
        <f t="shared" si="7"/>
        <v>-352.84375046817473</v>
      </c>
      <c r="H24">
        <f>Main!O24</f>
        <v>1.07E-3</v>
      </c>
    </row>
    <row r="25" spans="1:8" x14ac:dyDescent="0.25">
      <c r="A25">
        <f>Main!$K$2</f>
        <v>0.02</v>
      </c>
      <c r="B25">
        <f>Main!W25</f>
        <v>6.2097998150870595</v>
      </c>
      <c r="C25">
        <f>Main!X25</f>
        <v>313.25477764281015</v>
      </c>
      <c r="D25">
        <f t="shared" si="4"/>
        <v>6.2087246798869993</v>
      </c>
      <c r="E25">
        <f t="shared" si="5"/>
        <v>38.510887499936963</v>
      </c>
      <c r="F25">
        <f t="shared" si="6"/>
        <v>108.53874998770117</v>
      </c>
      <c r="G25">
        <f t="shared" si="7"/>
        <v>-357.81250098489534</v>
      </c>
      <c r="H25">
        <f>Main!O25</f>
        <v>1.036E-3</v>
      </c>
    </row>
    <row r="26" spans="1:8" x14ac:dyDescent="0.25">
      <c r="A26">
        <f>Main!$K$2</f>
        <v>0.02</v>
      </c>
      <c r="B26">
        <f>Main!W26</f>
        <v>6.9800172152829827</v>
      </c>
      <c r="C26">
        <f>Main!X26</f>
        <v>313.25551170585442</v>
      </c>
      <c r="D26">
        <f t="shared" si="4"/>
        <v>6.9789424298857385</v>
      </c>
      <c r="E26">
        <f t="shared" si="5"/>
        <v>40.681662499690987</v>
      </c>
      <c r="F26">
        <f t="shared" si="6"/>
        <v>101.38249996800326</v>
      </c>
      <c r="G26">
        <f t="shared" si="7"/>
        <v>-350.81250200406089</v>
      </c>
      <c r="H26">
        <f>Main!O26</f>
        <v>9.5299999999999996E-4</v>
      </c>
    </row>
    <row r="27" spans="1:8" x14ac:dyDescent="0.25">
      <c r="A27">
        <f>Main!$K$2</f>
        <v>0.02</v>
      </c>
      <c r="B27">
        <f>Main!W27</f>
        <v>7.7936501969377563</v>
      </c>
      <c r="C27">
        <f>Main!X27</f>
        <v>313.25617250769238</v>
      </c>
      <c r="D27">
        <f t="shared" si="4"/>
        <v>7.7925756798795582</v>
      </c>
      <c r="E27">
        <f t="shared" si="5"/>
        <v>42.709312499051052</v>
      </c>
      <c r="F27">
        <f t="shared" si="6"/>
        <v>94.366249927922041</v>
      </c>
      <c r="G27">
        <f t="shared" si="7"/>
        <v>-359.20998687878125</v>
      </c>
      <c r="H27">
        <f>Main!O27</f>
        <v>8.12E-4</v>
      </c>
    </row>
    <row r="28" spans="1:8" x14ac:dyDescent="0.25">
      <c r="A28">
        <f>Main!$K$2</f>
        <v>0.02</v>
      </c>
      <c r="B28">
        <f>Main!W28</f>
        <v>8.647836289387703</v>
      </c>
      <c r="C28">
        <f>Main!X28</f>
        <v>313.2566912771299</v>
      </c>
      <c r="D28">
        <f t="shared" si="4"/>
        <v>8.6467619298605793</v>
      </c>
      <c r="E28">
        <f t="shared" si="5"/>
        <v>44.596637497609493</v>
      </c>
      <c r="F28">
        <f t="shared" si="6"/>
        <v>87.182050190346416</v>
      </c>
      <c r="G28">
        <f t="shared" si="7"/>
        <v>-356.67378710924066</v>
      </c>
      <c r="H28">
        <f>Main!O28</f>
        <v>6.0700000000000001E-4</v>
      </c>
    </row>
    <row r="29" spans="1:8" x14ac:dyDescent="0.25">
      <c r="A29">
        <f>Main!$K$2</f>
        <v>0.02</v>
      </c>
      <c r="B29">
        <f>Main!W29</f>
        <v>9.5397689911917496</v>
      </c>
      <c r="C29">
        <f>Main!X29</f>
        <v>313.2569843467632</v>
      </c>
      <c r="D29">
        <f t="shared" si="4"/>
        <v>9.5386946798127692</v>
      </c>
      <c r="E29">
        <f t="shared" si="5"/>
        <v>46.340278501416421</v>
      </c>
      <c r="F29">
        <f t="shared" si="6"/>
        <v>80.048574448161602</v>
      </c>
      <c r="G29">
        <f t="shared" si="7"/>
        <v>-357.55374063507259</v>
      </c>
      <c r="H29">
        <f>Main!O29</f>
        <v>3.28E-4</v>
      </c>
    </row>
    <row r="30" spans="1:8" x14ac:dyDescent="0.25">
      <c r="A30">
        <f>Main!$K$2</f>
        <v>0.02</v>
      </c>
      <c r="B30">
        <f>Main!W30</f>
        <v>10.466574560819819</v>
      </c>
      <c r="C30">
        <f>Main!X30</f>
        <v>313.25695710844462</v>
      </c>
      <c r="D30">
        <f t="shared" si="4"/>
        <v>10.465500249841098</v>
      </c>
      <c r="E30">
        <f t="shared" si="5"/>
        <v>47.941249990379653</v>
      </c>
      <c r="F30">
        <f t="shared" si="6"/>
        <v>72.89749963546015</v>
      </c>
      <c r="G30">
        <f t="shared" si="7"/>
        <v>-359.21875907572343</v>
      </c>
      <c r="H30">
        <f>Main!O30</f>
        <v>6.2831549999999998</v>
      </c>
    </row>
    <row r="31" spans="1:8" x14ac:dyDescent="0.25">
      <c r="A31">
        <f>Main!$K$2</f>
        <v>0.02</v>
      </c>
      <c r="B31">
        <f>Main!W31</f>
        <v>11.425399453393846</v>
      </c>
      <c r="C31">
        <f>Main!X31</f>
        <v>313.25650363690607</v>
      </c>
      <c r="D31">
        <f t="shared" si="4"/>
        <v>11.424325249648691</v>
      </c>
      <c r="E31">
        <f t="shared" si="5"/>
        <v>49.399199983088856</v>
      </c>
      <c r="F31">
        <f t="shared" si="6"/>
        <v>65.713124453945682</v>
      </c>
      <c r="G31">
        <f t="shared" si="7"/>
        <v>-360.87501150984025</v>
      </c>
      <c r="H31">
        <f>Main!O31</f>
        <v>6.2827109999999999</v>
      </c>
    </row>
    <row r="32" spans="1:8" x14ac:dyDescent="0.25">
      <c r="A32">
        <f>Main!$K$2</f>
        <v>0.02</v>
      </c>
      <c r="B32">
        <f>Main!W32</f>
        <v>12.413382950748977</v>
      </c>
      <c r="C32">
        <f>Main!X32</f>
        <v>313.25550737308271</v>
      </c>
      <c r="D32">
        <f t="shared" si="4"/>
        <v>12.412309249310468</v>
      </c>
      <c r="E32">
        <f t="shared" si="5"/>
        <v>50.71346247216777</v>
      </c>
      <c r="F32">
        <f t="shared" si="6"/>
        <v>58.495624223748877</v>
      </c>
      <c r="G32">
        <f t="shared" si="7"/>
        <v>-359.71876511476705</v>
      </c>
      <c r="H32">
        <f>Main!O32</f>
        <v>6.2821749999999996</v>
      </c>
    </row>
    <row r="33" spans="1:8" x14ac:dyDescent="0.25">
      <c r="A33">
        <f>Main!$K$2</f>
        <v>0.02</v>
      </c>
      <c r="B33">
        <f>Main!W33</f>
        <v>13.427650835055429</v>
      </c>
      <c r="C33">
        <f>Main!X33</f>
        <v>313.25384327245416</v>
      </c>
      <c r="D33">
        <f t="shared" si="4"/>
        <v>13.426578498753823</v>
      </c>
      <c r="E33">
        <f t="shared" si="5"/>
        <v>51.883374956642747</v>
      </c>
      <c r="F33">
        <f t="shared" si="6"/>
        <v>51.301248921453535</v>
      </c>
      <c r="G33">
        <f t="shared" si="7"/>
        <v>-365.59376613730876</v>
      </c>
      <c r="H33">
        <f>Main!O33</f>
        <v>6.281542</v>
      </c>
    </row>
    <row r="34" spans="1:8" x14ac:dyDescent="0.25">
      <c r="A34">
        <f>Main!$K$2</f>
        <v>0.02</v>
      </c>
      <c r="B34">
        <f>Main!W34</f>
        <v>14.465315410433409</v>
      </c>
      <c r="C34">
        <f>Main!X34</f>
        <v>313.25137998963038</v>
      </c>
      <c r="D34">
        <f t="shared" si="4"/>
        <v>14.464245997886678</v>
      </c>
      <c r="E34">
        <f t="shared" si="5"/>
        <v>52.909399935071818</v>
      </c>
      <c r="F34">
        <f t="shared" si="6"/>
        <v>43.98937359870736</v>
      </c>
      <c r="G34">
        <f t="shared" si="7"/>
        <v>-361.37502131005306</v>
      </c>
      <c r="H34">
        <f>Main!O34</f>
        <v>6.2808080000000004</v>
      </c>
    </row>
    <row r="35" spans="1:8" x14ac:dyDescent="0.25">
      <c r="A35">
        <f>Main!$K$2</f>
        <v>0.02</v>
      </c>
      <c r="B35">
        <f>Main!W35</f>
        <v>15.523497947482205</v>
      </c>
      <c r="C35">
        <f>Main!X35</f>
        <v>313.24798015423374</v>
      </c>
      <c r="D35">
        <f t="shared" si="4"/>
        <v>15.522433996588115</v>
      </c>
      <c r="E35">
        <f t="shared" si="5"/>
        <v>53.789187407045965</v>
      </c>
      <c r="F35">
        <f t="shared" si="6"/>
        <v>36.761873172506299</v>
      </c>
      <c r="G35">
        <f t="shared" si="7"/>
        <v>-367.37502119722262</v>
      </c>
      <c r="H35">
        <f>Main!O35</f>
        <v>6.2799680000000002</v>
      </c>
    </row>
    <row r="36" spans="1:8" x14ac:dyDescent="0.25">
      <c r="A36">
        <f>Main!$K$2</f>
        <v>0.02</v>
      </c>
      <c r="B36">
        <f>Main!W36</f>
        <v>16.599272392534427</v>
      </c>
      <c r="C36">
        <f>Main!X36</f>
        <v>313.24350621450338</v>
      </c>
      <c r="D36">
        <f t="shared" si="4"/>
        <v>16.598217744729034</v>
      </c>
      <c r="E36">
        <f t="shared" si="5"/>
        <v>54.524424870496091</v>
      </c>
      <c r="F36">
        <f t="shared" si="6"/>
        <v>29.414372748561846</v>
      </c>
      <c r="G36">
        <f t="shared" si="7"/>
        <v>-369.40627203652099</v>
      </c>
      <c r="H36">
        <f>Main!O36</f>
        <v>6.2790210000000002</v>
      </c>
    </row>
    <row r="37" spans="1:8" x14ac:dyDescent="0.25">
      <c r="A37">
        <f>Main!$K$2</f>
        <v>0.02</v>
      </c>
      <c r="B37">
        <f>Main!W37</f>
        <v>17.689746058510703</v>
      </c>
      <c r="C37">
        <f>Main!X37</f>
        <v>313.2378187901644</v>
      </c>
      <c r="D37">
        <f t="shared" si="4"/>
        <v>17.688706242138956</v>
      </c>
      <c r="E37">
        <f t="shared" si="5"/>
        <v>55.112712325467328</v>
      </c>
      <c r="F37">
        <f t="shared" si="6"/>
        <v>22.026247307831426</v>
      </c>
      <c r="G37">
        <f t="shared" si="7"/>
        <v>-364.43752819925732</v>
      </c>
      <c r="H37">
        <f>Main!O37</f>
        <v>6.2779629999999997</v>
      </c>
    </row>
    <row r="38" spans="1:8" x14ac:dyDescent="0.25">
      <c r="A38">
        <f>Main!$K$2</f>
        <v>0.02</v>
      </c>
      <c r="B38">
        <f>Main!W38</f>
        <v>18.791977850036844</v>
      </c>
      <c r="C38">
        <f>Main!X38</f>
        <v>313.23078304592804</v>
      </c>
      <c r="D38">
        <f t="shared" si="4"/>
        <v>18.790960488648302</v>
      </c>
      <c r="E38">
        <f t="shared" si="5"/>
        <v>55.553237271623956</v>
      </c>
      <c r="F38">
        <f t="shared" si="6"/>
        <v>14.737496743846279</v>
      </c>
      <c r="G38">
        <f t="shared" si="7"/>
        <v>-375.78126902859663</v>
      </c>
      <c r="H38">
        <f>Main!O38</f>
        <v>6.2767939999999998</v>
      </c>
    </row>
    <row r="39" spans="1:8" x14ac:dyDescent="0.25">
      <c r="A39">
        <f>Main!$K$2</f>
        <v>0.02</v>
      </c>
      <c r="B39">
        <f>Main!W39</f>
        <v>19.903009994726233</v>
      </c>
      <c r="C39">
        <f>Main!X39</f>
        <v>313.22227175872604</v>
      </c>
      <c r="D39">
        <f t="shared" si="4"/>
        <v>19.902025234080782</v>
      </c>
      <c r="E39">
        <f t="shared" si="5"/>
        <v>55.847987206500882</v>
      </c>
      <c r="F39">
        <f t="shared" si="6"/>
        <v>7.2218713632743459</v>
      </c>
      <c r="G39">
        <f t="shared" si="7"/>
        <v>-182.21877973934042</v>
      </c>
      <c r="H39">
        <f>Main!O39</f>
        <v>6.2755150000000004</v>
      </c>
    </row>
    <row r="40" spans="1:8" x14ac:dyDescent="0.25">
      <c r="A40">
        <f>Main!$K$2</f>
        <v>0.02</v>
      </c>
      <c r="B40">
        <f>Main!W40</f>
        <v>21.019923999980406</v>
      </c>
      <c r="C40">
        <f>Main!X40</f>
        <v>313.21216359993849</v>
      </c>
      <c r="D40">
        <f t="shared" si="4"/>
        <v>21.018984978210799</v>
      </c>
      <c r="E40">
        <f t="shared" si="5"/>
        <v>55.992424633766369</v>
      </c>
      <c r="F40">
        <f t="shared" si="6"/>
        <v>3.5774957684875375</v>
      </c>
      <c r="G40">
        <f t="shared" si="7"/>
        <v>1.6562174622869463</v>
      </c>
      <c r="H40">
        <f>Main!O40</f>
        <v>6.2741239999999996</v>
      </c>
    </row>
    <row r="41" spans="1:8" x14ac:dyDescent="0.25">
      <c r="A41">
        <f>Main!$K$2</f>
        <v>0.02</v>
      </c>
      <c r="B41">
        <f>Main!W41</f>
        <v>22.139710219138724</v>
      </c>
      <c r="C41">
        <f>Main!X41</f>
        <v>313.20035386114711</v>
      </c>
      <c r="D41">
        <f t="shared" si="4"/>
        <v>22.138833470886127</v>
      </c>
      <c r="E41">
        <f t="shared" si="5"/>
        <v>56.06397454913612</v>
      </c>
      <c r="F41">
        <f t="shared" si="6"/>
        <v>3.6106201177332764</v>
      </c>
      <c r="G41">
        <f t="shared" si="7"/>
        <v>1.6562145668252981</v>
      </c>
      <c r="H41">
        <f>Main!O41</f>
        <v>6.2726259999999998</v>
      </c>
    </row>
    <row r="42" spans="1:8" x14ac:dyDescent="0.25">
      <c r="A42">
        <f>Main!$K$2</f>
        <v>0.02</v>
      </c>
      <c r="B42">
        <f>Main!W42</f>
        <v>23.260906947173044</v>
      </c>
      <c r="C42">
        <f>Main!X42</f>
        <v>313.18673057433341</v>
      </c>
      <c r="D42">
        <f t="shared" si="4"/>
        <v>23.260112961868849</v>
      </c>
      <c r="E42">
        <f t="shared" si="5"/>
        <v>56.136186951490785</v>
      </c>
      <c r="F42">
        <f t="shared" si="6"/>
        <v>3.6437444090697824</v>
      </c>
      <c r="G42">
        <f t="shared" si="7"/>
        <v>1.6562115554563661</v>
      </c>
      <c r="H42">
        <f>Main!O42</f>
        <v>6.27102</v>
      </c>
    </row>
    <row r="43" spans="1:8" x14ac:dyDescent="0.25">
      <c r="A43">
        <f>Main!$K$2</f>
        <v>0.02</v>
      </c>
      <c r="B43">
        <f>Main!W43</f>
        <v>24.383522804606674</v>
      </c>
      <c r="C43">
        <f>Main!X43</f>
        <v>313.17116680809102</v>
      </c>
      <c r="D43">
        <f t="shared" si="4"/>
        <v>24.382836700898665</v>
      </c>
      <c r="E43">
        <f t="shared" si="5"/>
        <v>56.209061839672181</v>
      </c>
      <c r="F43">
        <f t="shared" si="6"/>
        <v>3.6768686401789097</v>
      </c>
      <c r="G43">
        <f t="shared" si="7"/>
        <v>3.312455046255991</v>
      </c>
      <c r="H43">
        <f>Main!O43</f>
        <v>6.2693050000000001</v>
      </c>
    </row>
    <row r="44" spans="1:8" x14ac:dyDescent="0.25">
      <c r="A44">
        <f>Main!$K$2</f>
        <v>0.02</v>
      </c>
      <c r="B44">
        <f>Main!W44</f>
        <v>25.507565747160545</v>
      </c>
      <c r="C44">
        <f>Main!X44</f>
        <v>313.1535339849118</v>
      </c>
      <c r="D44">
        <f t="shared" si="4"/>
        <v>25.507017937692108</v>
      </c>
      <c r="E44">
        <f t="shared" si="5"/>
        <v>56.282599212475759</v>
      </c>
      <c r="F44">
        <f t="shared" si="6"/>
        <v>3.7431177411040295</v>
      </c>
      <c r="G44">
        <f t="shared" si="7"/>
        <v>1.6562044291568156</v>
      </c>
      <c r="H44">
        <f>Main!O44</f>
        <v>6.2674799999999999</v>
      </c>
    </row>
    <row r="45" spans="1:8" x14ac:dyDescent="0.25">
      <c r="A45">
        <f>Main!$K$2</f>
        <v>0.02</v>
      </c>
      <c r="B45">
        <f>Main!W45</f>
        <v>26.633043013413921</v>
      </c>
      <c r="C45">
        <f>Main!X45</f>
        <v>313.13370186975243</v>
      </c>
      <c r="D45">
        <f t="shared" si="4"/>
        <v>26.632669921941623</v>
      </c>
      <c r="E45">
        <f t="shared" si="5"/>
        <v>56.35746156729784</v>
      </c>
      <c r="F45">
        <f t="shared" si="6"/>
        <v>3.7762418296871658</v>
      </c>
      <c r="G45">
        <f t="shared" si="7"/>
        <v>1.656201007893543</v>
      </c>
      <c r="H45">
        <f>Main!O45</f>
        <v>6.2655440000000002</v>
      </c>
    </row>
    <row r="46" spans="1:8" x14ac:dyDescent="0.25">
      <c r="A46">
        <f>Main!$K$2</f>
        <v>0.02</v>
      </c>
      <c r="B46">
        <f>Main!W46</f>
        <v>27.759974296616882</v>
      </c>
      <c r="C46">
        <f>Main!X46</f>
        <v>313.1115371982612</v>
      </c>
      <c r="D46">
        <f t="shared" si="4"/>
        <v>27.75981915328758</v>
      </c>
      <c r="E46">
        <f t="shared" si="5"/>
        <v>56.432986403891583</v>
      </c>
      <c r="F46">
        <f t="shared" si="6"/>
        <v>3.8093658498450367</v>
      </c>
      <c r="G46">
        <f t="shared" si="7"/>
        <v>4.9686882181987357</v>
      </c>
      <c r="H46">
        <f>Main!O46</f>
        <v>6.2634949999999998</v>
      </c>
    </row>
    <row r="47" spans="1:8" x14ac:dyDescent="0.25">
      <c r="A47">
        <f>Main!$K$2</f>
        <v>0.02</v>
      </c>
      <c r="B47">
        <f>Main!W47</f>
        <v>28.888365206955296</v>
      </c>
      <c r="C47">
        <f>Main!X47</f>
        <v>313.08690520178567</v>
      </c>
      <c r="D47">
        <f t="shared" si="4"/>
        <v>28.888478881365412</v>
      </c>
      <c r="E47">
        <f t="shared" si="5"/>
        <v>56.509173720888484</v>
      </c>
      <c r="F47">
        <f t="shared" si="6"/>
        <v>3.9087396142090114</v>
      </c>
      <c r="G47">
        <f t="shared" si="7"/>
        <v>1.6561919427005023</v>
      </c>
      <c r="H47">
        <f>Main!O47</f>
        <v>6.2613320000000003</v>
      </c>
    </row>
    <row r="48" spans="1:8" x14ac:dyDescent="0.25">
      <c r="A48">
        <f>Main!$K$2</f>
        <v>0.02</v>
      </c>
      <c r="B48">
        <f>Main!W48</f>
        <v>30.018220462135293</v>
      </c>
      <c r="C48">
        <f>Main!X48</f>
        <v>313.05966941302961</v>
      </c>
      <c r="D48">
        <f t="shared" si="4"/>
        <v>30.018662355783182</v>
      </c>
      <c r="E48">
        <f t="shared" si="5"/>
        <v>56.587348513172664</v>
      </c>
      <c r="F48">
        <f t="shared" si="6"/>
        <v>3.9418634530630214</v>
      </c>
      <c r="G48">
        <f t="shared" si="7"/>
        <v>3.3124324176903031</v>
      </c>
      <c r="H48">
        <f>Main!O48</f>
        <v>6.2590539999999999</v>
      </c>
    </row>
    <row r="49" spans="1:8" x14ac:dyDescent="0.25">
      <c r="A49">
        <f>Main!$K$2</f>
        <v>0.02</v>
      </c>
      <c r="B49">
        <f>Main!W49</f>
        <v>31.149570259847859</v>
      </c>
      <c r="C49">
        <f>Main!X49</f>
        <v>313.02968875399341</v>
      </c>
      <c r="D49">
        <f t="shared" si="4"/>
        <v>31.150409326046635</v>
      </c>
      <c r="E49">
        <f t="shared" si="5"/>
        <v>56.666185782233924</v>
      </c>
      <c r="F49">
        <f t="shared" si="6"/>
        <v>4.0081121014168275</v>
      </c>
      <c r="G49">
        <f t="shared" si="7"/>
        <v>1.6561828752870156</v>
      </c>
      <c r="H49">
        <f>Main!O49</f>
        <v>6.2566579999999998</v>
      </c>
    </row>
    <row r="50" spans="1:8" x14ac:dyDescent="0.25">
      <c r="A50">
        <f>Main!$K$2</f>
        <v>0.02</v>
      </c>
      <c r="B50">
        <f>Main!W50</f>
        <v>32.282417271025771</v>
      </c>
      <c r="C50">
        <f>Main!X50</f>
        <v>312.9968209322231</v>
      </c>
      <c r="D50">
        <f t="shared" si="4"/>
        <v>32.283733041691313</v>
      </c>
      <c r="E50">
        <f t="shared" si="5"/>
        <v>56.746348024262261</v>
      </c>
      <c r="F50">
        <f t="shared" si="6"/>
        <v>4.0412357589225678</v>
      </c>
      <c r="G50">
        <f t="shared" si="7"/>
        <v>6.6249086208003405</v>
      </c>
      <c r="H50">
        <f>Main!O50</f>
        <v>6.254143</v>
      </c>
    </row>
    <row r="51" spans="1:8" x14ac:dyDescent="0.25">
      <c r="A51">
        <f>Main!$K$2</f>
        <v>0.02</v>
      </c>
      <c r="B51">
        <f>Main!W51</f>
        <v>33.416776278028557</v>
      </c>
      <c r="C51">
        <f>Main!X51</f>
        <v>312.96092039089103</v>
      </c>
      <c r="D51">
        <f t="shared" si="4"/>
        <v>33.418660002176559</v>
      </c>
      <c r="E51">
        <f t="shared" si="5"/>
        <v>56.827172739440712</v>
      </c>
      <c r="F51">
        <f t="shared" si="6"/>
        <v>4.1737339313385746</v>
      </c>
      <c r="G51">
        <f t="shared" si="7"/>
        <v>-7.2096106862318265E-5</v>
      </c>
      <c r="H51">
        <f>Main!O51</f>
        <v>6.2515070000000001</v>
      </c>
    </row>
    <row r="52" spans="1:8" x14ac:dyDescent="0.25">
      <c r="A52">
        <f>Main!$K$2</f>
        <v>0.02</v>
      </c>
      <c r="B52">
        <f>Main!W52</f>
        <v>34.552647643028962</v>
      </c>
      <c r="C52">
        <f>Main!X52</f>
        <v>312.9218401299475</v>
      </c>
      <c r="D52">
        <f t="shared" si="4"/>
        <v>34.555203456965373</v>
      </c>
      <c r="E52">
        <f t="shared" si="5"/>
        <v>56.910647418067484</v>
      </c>
      <c r="F52">
        <f t="shared" si="6"/>
        <v>4.1737324894164374</v>
      </c>
      <c r="G52">
        <f t="shared" si="7"/>
        <v>4.9686513383662145</v>
      </c>
      <c r="H52">
        <f>Main!O52</f>
        <v>6.2487490000000001</v>
      </c>
    </row>
    <row r="53" spans="1:8" x14ac:dyDescent="0.25">
      <c r="A53">
        <f>Main!$K$2</f>
        <v>0.02</v>
      </c>
      <c r="B53">
        <f>Main!W53</f>
        <v>35.69007008351241</v>
      </c>
      <c r="C53">
        <f>Main!X53</f>
        <v>312.87942659788376</v>
      </c>
      <c r="D53">
        <f t="shared" si="4"/>
        <v>35.693416405326722</v>
      </c>
      <c r="E53">
        <f t="shared" si="5"/>
        <v>56.994122067855812</v>
      </c>
      <c r="F53">
        <f t="shared" si="6"/>
        <v>4.2731055161837617</v>
      </c>
      <c r="G53">
        <f t="shared" si="7"/>
        <v>4.9686425374062537</v>
      </c>
      <c r="H53">
        <f>Main!O53</f>
        <v>6.2458650000000002</v>
      </c>
    </row>
    <row r="54" spans="1:8" x14ac:dyDescent="0.25">
      <c r="A54">
        <f>Main!$K$2</f>
        <v>0.02</v>
      </c>
      <c r="B54">
        <f>Main!W54</f>
        <v>36.829028040442388</v>
      </c>
      <c r="C54">
        <f>Main!X54</f>
        <v>312.83352722468373</v>
      </c>
      <c r="D54">
        <f t="shared" si="4"/>
        <v>36.833298846683839</v>
      </c>
      <c r="E54">
        <f t="shared" si="5"/>
        <v>57.079584178179488</v>
      </c>
      <c r="F54">
        <f t="shared" si="6"/>
        <v>4.3724783669318867</v>
      </c>
      <c r="G54">
        <f t="shared" si="7"/>
        <v>1.6561516202884263</v>
      </c>
      <c r="H54">
        <f>Main!O54</f>
        <v>6.2428549999999996</v>
      </c>
    </row>
    <row r="55" spans="1:8" x14ac:dyDescent="0.25">
      <c r="A55">
        <f>Main!$K$2</f>
        <v>0.02</v>
      </c>
      <c r="B55">
        <f>Main!W55</f>
        <v>37.96954416388418</v>
      </c>
      <c r="C55">
        <f>Main!X55</f>
        <v>312.78398386841008</v>
      </c>
      <c r="D55">
        <f t="shared" si="4"/>
        <v>37.974890530247428</v>
      </c>
      <c r="E55">
        <f t="shared" si="5"/>
        <v>57.167033745518125</v>
      </c>
      <c r="F55">
        <f t="shared" si="6"/>
        <v>4.4056013993376553</v>
      </c>
      <c r="G55">
        <f t="shared" si="7"/>
        <v>6.6248662049517293</v>
      </c>
      <c r="H55">
        <f>Main!O55</f>
        <v>6.2397159999999996</v>
      </c>
    </row>
    <row r="56" spans="1:8" x14ac:dyDescent="0.25">
      <c r="A56">
        <f>Main!$K$2</f>
        <v>0.02</v>
      </c>
      <c r="B56">
        <f>Main!W56</f>
        <v>39.111639472660094</v>
      </c>
      <c r="C56">
        <f>Main!X56</f>
        <v>312.73063403639037</v>
      </c>
      <c r="D56">
        <f t="shared" si="4"/>
        <v>39.118231205157791</v>
      </c>
      <c r="E56">
        <f t="shared" si="5"/>
        <v>57.255145773504879</v>
      </c>
      <c r="F56">
        <f t="shared" si="6"/>
        <v>4.5380987234366899</v>
      </c>
      <c r="G56">
        <f t="shared" si="7"/>
        <v>1.6561357600863857</v>
      </c>
      <c r="H56">
        <f>Main!O56</f>
        <v>6.2364449999999998</v>
      </c>
    </row>
    <row r="57" spans="1:8" x14ac:dyDescent="0.25">
      <c r="A57">
        <f>Main!$K$2</f>
        <v>0.02</v>
      </c>
      <c r="B57">
        <f>Main!W57</f>
        <v>40.255306882026844</v>
      </c>
      <c r="C57">
        <f>Main!X57</f>
        <v>312.6733143733552</v>
      </c>
      <c r="D57">
        <f t="shared" si="4"/>
        <v>40.263334120627889</v>
      </c>
      <c r="E57">
        <f t="shared" si="5"/>
        <v>57.345907747973612</v>
      </c>
      <c r="F57">
        <f t="shared" si="6"/>
        <v>4.5712214386384176</v>
      </c>
      <c r="G57">
        <f t="shared" si="7"/>
        <v>8.2810833639257453</v>
      </c>
      <c r="H57">
        <f>Main!O57</f>
        <v>6.2330410000000001</v>
      </c>
    </row>
    <row r="58" spans="1:8" x14ac:dyDescent="0.25">
      <c r="A58">
        <f>Main!$K$2</f>
        <v>0.02</v>
      </c>
      <c r="B58">
        <f>Main!W58</f>
        <v>41.400577114918889</v>
      </c>
      <c r="C58">
        <f>Main!X58</f>
        <v>312.61185424134226</v>
      </c>
      <c r="D58">
        <f t="shared" si="4"/>
        <v>41.410252275587361</v>
      </c>
      <c r="E58">
        <f t="shared" si="5"/>
        <v>57.437332176746381</v>
      </c>
      <c r="F58">
        <f t="shared" si="6"/>
        <v>4.7368431059169325</v>
      </c>
      <c r="G58">
        <f t="shared" si="7"/>
        <v>-1.2114664826867738E-4</v>
      </c>
      <c r="H58">
        <f>Main!O58</f>
        <v>6.2294999999999998</v>
      </c>
    </row>
    <row r="59" spans="1:8" x14ac:dyDescent="0.25">
      <c r="A59">
        <f>Main!$K$2</f>
        <v>0.02</v>
      </c>
      <c r="B59">
        <f>Main!W59</f>
        <v>42.54743934475016</v>
      </c>
      <c r="C59">
        <f>Main!X59</f>
        <v>312.54608284315725</v>
      </c>
      <c r="D59">
        <f t="shared" si="4"/>
        <v>42.558998919122288</v>
      </c>
      <c r="E59">
        <f t="shared" si="5"/>
        <v>57.532069038864719</v>
      </c>
      <c r="F59">
        <f t="shared" si="6"/>
        <v>4.7368406829839671</v>
      </c>
      <c r="G59">
        <f t="shared" si="7"/>
        <v>9.9372945596698514</v>
      </c>
      <c r="H59">
        <f>Main!O59</f>
        <v>6.2258209999999998</v>
      </c>
    </row>
    <row r="60" spans="1:8" x14ac:dyDescent="0.25">
      <c r="A60">
        <f>Main!$K$2</f>
        <v>0.02</v>
      </c>
      <c r="B60">
        <f>Main!W60</f>
        <v>43.695933446007892</v>
      </c>
      <c r="C60">
        <f>Main!X60</f>
        <v>312.47581986191346</v>
      </c>
      <c r="D60">
        <f t="shared" si="4"/>
        <v>43.709640299899583</v>
      </c>
      <c r="E60">
        <f t="shared" si="5"/>
        <v>57.626805852524399</v>
      </c>
      <c r="F60">
        <f t="shared" si="6"/>
        <v>4.9355865741773641</v>
      </c>
      <c r="G60">
        <f t="shared" si="7"/>
        <v>1.6560947830868145</v>
      </c>
      <c r="H60">
        <f>Main!O60</f>
        <v>6.2219990000000003</v>
      </c>
    </row>
    <row r="61" spans="1:8" x14ac:dyDescent="0.25">
      <c r="A61">
        <f>Main!$K$2</f>
        <v>0.02</v>
      </c>
      <c r="B61">
        <f>Main!W61</f>
        <v>44.84603112348703</v>
      </c>
      <c r="C61">
        <f>Main!X61</f>
        <v>312.40088767014714</v>
      </c>
      <c r="D61">
        <f t="shared" si="4"/>
        <v>44.862176416950071</v>
      </c>
      <c r="E61">
        <f t="shared" si="5"/>
        <v>57.725517584007946</v>
      </c>
      <c r="F61">
        <f t="shared" si="6"/>
        <v>4.9687084698391004</v>
      </c>
      <c r="G61">
        <f t="shared" si="7"/>
        <v>4.9685563476842276</v>
      </c>
      <c r="H61">
        <f>Main!O61</f>
        <v>6.2180340000000003</v>
      </c>
    </row>
    <row r="62" spans="1:8" x14ac:dyDescent="0.25">
      <c r="A62">
        <f>Main!$K$2</f>
        <v>0.02</v>
      </c>
      <c r="B62">
        <f>Main!W62</f>
        <v>45.997780849969679</v>
      </c>
      <c r="C62">
        <f>Main!X62</f>
        <v>312.32109594323396</v>
      </c>
      <c r="D62">
        <f t="shared" si="4"/>
        <v>46.01668676863023</v>
      </c>
      <c r="E62">
        <f t="shared" si="5"/>
        <v>57.824891753404728</v>
      </c>
      <c r="F62">
        <f t="shared" si="6"/>
        <v>5.068079596792785</v>
      </c>
      <c r="G62">
        <f t="shared" si="7"/>
        <v>8.281009187705024</v>
      </c>
      <c r="H62">
        <f>Main!O62</f>
        <v>6.2139199999999999</v>
      </c>
    </row>
    <row r="63" spans="1:8" x14ac:dyDescent="0.25">
      <c r="A63">
        <f>Main!$K$2</f>
        <v>0.02</v>
      </c>
      <c r="B63">
        <f>Main!W63</f>
        <v>47.151162599078489</v>
      </c>
      <c r="C63">
        <f>Main!X63</f>
        <v>312.23625619229205</v>
      </c>
      <c r="D63">
        <f t="shared" si="4"/>
        <v>47.173184603698324</v>
      </c>
      <c r="E63">
        <f t="shared" si="5"/>
        <v>57.926253345340584</v>
      </c>
      <c r="F63">
        <f t="shared" si="6"/>
        <v>5.2336997805468854</v>
      </c>
      <c r="G63">
        <f t="shared" si="7"/>
        <v>3.312290008494756</v>
      </c>
      <c r="H63">
        <f>Main!O63</f>
        <v>6.2096559999999998</v>
      </c>
    </row>
    <row r="64" spans="1:8" x14ac:dyDescent="0.25">
      <c r="A64">
        <f>Main!$K$2</f>
        <v>0.02</v>
      </c>
      <c r="B64">
        <f>Main!W64</f>
        <v>48.30618012191362</v>
      </c>
      <c r="C64">
        <f>Main!X64</f>
        <v>312.14617371566521</v>
      </c>
      <c r="D64">
        <f t="shared" si="4"/>
        <v>48.331709670605136</v>
      </c>
      <c r="E64">
        <f t="shared" si="5"/>
        <v>58.030927340951521</v>
      </c>
      <c r="F64">
        <f t="shared" si="6"/>
        <v>5.2999455807167806</v>
      </c>
      <c r="G64">
        <f t="shared" si="7"/>
        <v>6.6247398393670665</v>
      </c>
      <c r="H64">
        <f>Main!O64</f>
        <v>6.2052389999999997</v>
      </c>
    </row>
    <row r="65" spans="1:8" x14ac:dyDescent="0.25">
      <c r="A65">
        <f>Main!$K$2</f>
        <v>0.02</v>
      </c>
      <c r="B65">
        <f>Main!W65</f>
        <v>49.462860561927634</v>
      </c>
      <c r="C65">
        <f>Main!X65</f>
        <v>312.05064481475404</v>
      </c>
      <c r="D65">
        <f t="shared" si="4"/>
        <v>49.492328217424166</v>
      </c>
      <c r="E65">
        <f t="shared" si="5"/>
        <v>58.136926252565857</v>
      </c>
      <c r="F65">
        <f t="shared" si="6"/>
        <v>5.4324403775041219</v>
      </c>
      <c r="G65">
        <f t="shared" si="7"/>
        <v>6.6247191794488458</v>
      </c>
      <c r="H65">
        <f>Main!O65</f>
        <v>6.2006639999999997</v>
      </c>
    </row>
    <row r="66" spans="1:8" x14ac:dyDescent="0.25">
      <c r="A66">
        <f>Main!$K$2</f>
        <v>0.02</v>
      </c>
      <c r="B66">
        <f>Main!W66</f>
        <v>50.621188479546916</v>
      </c>
      <c r="C66">
        <f>Main!X66</f>
        <v>311.94946520760766</v>
      </c>
      <c r="D66">
        <f t="shared" si="4"/>
        <v>50.655066742475483</v>
      </c>
      <c r="E66">
        <f t="shared" si="5"/>
        <v>58.245575060115939</v>
      </c>
      <c r="F66">
        <f t="shared" si="6"/>
        <v>5.5649347610930988</v>
      </c>
      <c r="G66">
        <f t="shared" si="7"/>
        <v>6.6246972689754102</v>
      </c>
      <c r="H66">
        <f>Main!O66</f>
        <v>6.1959289999999996</v>
      </c>
    </row>
    <row r="67" spans="1:8" x14ac:dyDescent="0.25">
      <c r="A67">
        <f>Main!$K$2</f>
        <v>0.02</v>
      </c>
      <c r="B67">
        <f>Main!W67</f>
        <v>51.781171537694227</v>
      </c>
      <c r="C67">
        <f>Main!X67</f>
        <v>311.84242264390213</v>
      </c>
      <c r="D67">
        <f t="shared" si="4"/>
        <v>51.819978243677802</v>
      </c>
      <c r="E67">
        <f t="shared" si="5"/>
        <v>58.356873755337801</v>
      </c>
      <c r="F67">
        <f t="shared" si="6"/>
        <v>5.697428706472607</v>
      </c>
      <c r="G67">
        <f t="shared" si="7"/>
        <v>4.9684468717003938</v>
      </c>
      <c r="H67">
        <f>Main!O67</f>
        <v>6.1910299999999996</v>
      </c>
    </row>
    <row r="68" spans="1:8" x14ac:dyDescent="0.25">
      <c r="A68">
        <f>Main!$K$2</f>
        <v>0.02</v>
      </c>
      <c r="B68">
        <f>Main!W68</f>
        <v>52.942813859743374</v>
      </c>
      <c r="C68">
        <f>Main!X68</f>
        <v>311.72929881165254</v>
      </c>
      <c r="D68">
        <f t="shared" si="4"/>
        <v>52.987115718784558</v>
      </c>
      <c r="E68">
        <f t="shared" si="5"/>
        <v>58.470822329467254</v>
      </c>
      <c r="F68">
        <f t="shared" si="6"/>
        <v>5.7967976439066149</v>
      </c>
      <c r="G68">
        <f t="shared" si="7"/>
        <v>6.6246524825785968</v>
      </c>
      <c r="H68">
        <f>Main!O68</f>
        <v>6.1859630000000001</v>
      </c>
    </row>
    <row r="69" spans="1:8" x14ac:dyDescent="0.25">
      <c r="A69">
        <f>Main!$K$2</f>
        <v>0.02</v>
      </c>
      <c r="B69">
        <f>Main!W69</f>
        <v>54.106115805603636</v>
      </c>
      <c r="C69">
        <f>Main!X69</f>
        <v>311.60986929975797</v>
      </c>
      <c r="D69">
        <f t="shared" ref="D69:D132" si="8">D68 + SQRT( (B69-B68)^2  + (C69-C68)^2 )</f>
        <v>54.156532165373903</v>
      </c>
      <c r="E69">
        <f t="shared" ref="E69:E132" si="9" xml:space="preserve"> IF(ISBLANK(D70), 0, (D70-D69)/$A69 )</f>
        <v>58.586758282345386</v>
      </c>
      <c r="F69">
        <f t="shared" ref="F69:F132" si="10" xml:space="preserve"> (E70-E69)/$A69</f>
        <v>5.9292906935581868</v>
      </c>
      <c r="G69">
        <f t="shared" ref="G69:G132" si="11" xml:space="preserve"> (F70-F69)/$A69</f>
        <v>9.9370750259453189</v>
      </c>
      <c r="H69">
        <f>Main!O69</f>
        <v>6.1807239999999997</v>
      </c>
    </row>
    <row r="70" spans="1:8" x14ac:dyDescent="0.25">
      <c r="A70">
        <f>Main!$K$2</f>
        <v>0.02</v>
      </c>
      <c r="B70">
        <f>Main!W70</f>
        <v>55.27106068267652</v>
      </c>
      <c r="C70">
        <f>Main!X70</f>
        <v>311.48390608371761</v>
      </c>
      <c r="D70">
        <f t="shared" si="8"/>
        <v>55.328267331020811</v>
      </c>
      <c r="E70">
        <f t="shared" si="9"/>
        <v>58.70534409621655</v>
      </c>
      <c r="F70">
        <f t="shared" si="10"/>
        <v>6.1280321940770932</v>
      </c>
      <c r="G70">
        <f t="shared" si="11"/>
        <v>3.3121480518261137</v>
      </c>
      <c r="H70">
        <f>Main!O70</f>
        <v>6.1753099999999996</v>
      </c>
    </row>
    <row r="71" spans="1:8" x14ac:dyDescent="0.25">
      <c r="A71">
        <f>Main!$K$2</f>
        <v>0.02</v>
      </c>
      <c r="B71">
        <f>Main!W71</f>
        <v>56.437640770890255</v>
      </c>
      <c r="C71">
        <f>Main!X71</f>
        <v>311.35117376675862</v>
      </c>
      <c r="D71">
        <f t="shared" si="8"/>
        <v>56.502374212945142</v>
      </c>
      <c r="E71">
        <f t="shared" si="9"/>
        <v>58.827904740098091</v>
      </c>
      <c r="F71">
        <f t="shared" si="10"/>
        <v>6.1942751551136155</v>
      </c>
      <c r="G71">
        <f t="shared" si="11"/>
        <v>9.9370122734754318</v>
      </c>
      <c r="H71">
        <f>Main!O71</f>
        <v>6.1697170000000003</v>
      </c>
    </row>
    <row r="72" spans="1:8" x14ac:dyDescent="0.25">
      <c r="A72">
        <f>Main!$K$2</f>
        <v>0.02</v>
      </c>
      <c r="B72">
        <f>Main!W72</f>
        <v>57.605869924039773</v>
      </c>
      <c r="C72">
        <f>Main!X72</f>
        <v>311.21142543519227</v>
      </c>
      <c r="D72">
        <f t="shared" si="8"/>
        <v>57.678932307747104</v>
      </c>
      <c r="E72">
        <f t="shared" si="9"/>
        <v>58.951790243200364</v>
      </c>
      <c r="F72">
        <f t="shared" si="10"/>
        <v>6.3930154005831241</v>
      </c>
      <c r="G72">
        <f t="shared" si="11"/>
        <v>6.6245333103509552</v>
      </c>
      <c r="H72">
        <f>Main!O72</f>
        <v>6.1639390000000001</v>
      </c>
    </row>
    <row r="73" spans="1:8" x14ac:dyDescent="0.25">
      <c r="A73">
        <f>Main!$K$2</f>
        <v>0.02</v>
      </c>
      <c r="B73">
        <f>Main!W73</f>
        <v>58.775704826766507</v>
      </c>
      <c r="C73">
        <f>Main!X73</f>
        <v>311.06441615142541</v>
      </c>
      <c r="D73">
        <f t="shared" si="8"/>
        <v>58.857968112611111</v>
      </c>
      <c r="E73">
        <f t="shared" si="9"/>
        <v>59.079650551212026</v>
      </c>
      <c r="F73">
        <f t="shared" si="10"/>
        <v>6.5255060667901432</v>
      </c>
      <c r="G73">
        <f t="shared" si="11"/>
        <v>8.2807179522248475</v>
      </c>
      <c r="H73">
        <f>Main!O73</f>
        <v>6.1579740000000003</v>
      </c>
    </row>
    <row r="74" spans="1:8" x14ac:dyDescent="0.25">
      <c r="A74">
        <f>Main!$K$2</f>
        <v>0.02</v>
      </c>
      <c r="B74">
        <f>Main!W74</f>
        <v>59.947149470705739</v>
      </c>
      <c r="C74">
        <f>Main!X74</f>
        <v>310.90988625177027</v>
      </c>
      <c r="D74">
        <f t="shared" si="8"/>
        <v>60.039561123635352</v>
      </c>
      <c r="E74">
        <f t="shared" si="9"/>
        <v>59.210160672547829</v>
      </c>
      <c r="F74">
        <f t="shared" si="10"/>
        <v>6.6911204258346402</v>
      </c>
      <c r="G74">
        <f t="shared" si="11"/>
        <v>8.2806778936017622</v>
      </c>
      <c r="H74">
        <f>Main!O74</f>
        <v>6.1518160000000002</v>
      </c>
    </row>
    <row r="75" spans="1:8" x14ac:dyDescent="0.25">
      <c r="A75">
        <f>Main!$K$2</f>
        <v>0.02</v>
      </c>
      <c r="B75">
        <f>Main!W75</f>
        <v>61.120176153794027</v>
      </c>
      <c r="C75">
        <f>Main!X75</f>
        <v>310.74757281575694</v>
      </c>
      <c r="D75">
        <f t="shared" si="8"/>
        <v>61.223764337086308</v>
      </c>
      <c r="E75">
        <f t="shared" si="9"/>
        <v>59.343983081064522</v>
      </c>
      <c r="F75">
        <f t="shared" si="10"/>
        <v>6.8567339837066754</v>
      </c>
      <c r="G75">
        <f t="shared" si="11"/>
        <v>6.6244227214795615</v>
      </c>
      <c r="H75">
        <f>Main!O75</f>
        <v>6.1454610000000001</v>
      </c>
    </row>
    <row r="76" spans="1:8" x14ac:dyDescent="0.25">
      <c r="A76">
        <f>Main!$K$2</f>
        <v>0.02</v>
      </c>
      <c r="B76">
        <f>Main!W76</f>
        <v>62.294764457759918</v>
      </c>
      <c r="C76">
        <f>Main!X76</f>
        <v>310.57720366550723</v>
      </c>
      <c r="D76">
        <f t="shared" si="8"/>
        <v>62.410643998707599</v>
      </c>
      <c r="E76">
        <f t="shared" si="9"/>
        <v>59.481117760738655</v>
      </c>
      <c r="F76">
        <f t="shared" si="10"/>
        <v>6.9892224381362666</v>
      </c>
      <c r="G76">
        <f t="shared" si="11"/>
        <v>8.2805952006381744</v>
      </c>
      <c r="H76">
        <f>Main!O76</f>
        <v>6.1389040000000001</v>
      </c>
    </row>
    <row r="77" spans="1:8" x14ac:dyDescent="0.25">
      <c r="A77">
        <f>Main!$K$2</f>
        <v>0.02</v>
      </c>
      <c r="B77">
        <f>Main!W77</f>
        <v>63.470887734589539</v>
      </c>
      <c r="C77">
        <f>Main!X77</f>
        <v>310.3984989209527</v>
      </c>
      <c r="D77">
        <f t="shared" si="8"/>
        <v>63.600266353922372</v>
      </c>
      <c r="E77">
        <f t="shared" si="9"/>
        <v>59.620902209501381</v>
      </c>
      <c r="F77">
        <f t="shared" si="10"/>
        <v>7.1548343421490301</v>
      </c>
      <c r="G77">
        <f t="shared" si="11"/>
        <v>9.9367563928254299</v>
      </c>
      <c r="H77">
        <f>Main!O77</f>
        <v>6.1321399999999997</v>
      </c>
    </row>
    <row r="78" spans="1:8" x14ac:dyDescent="0.25">
      <c r="A78">
        <f>Main!$K$2</f>
        <v>0.02</v>
      </c>
      <c r="B78">
        <f>Main!W78</f>
        <v>64.648499820590473</v>
      </c>
      <c r="C78">
        <f>Main!X78</f>
        <v>310.21117415746824</v>
      </c>
      <c r="D78">
        <f t="shared" si="8"/>
        <v>64.792684398112399</v>
      </c>
      <c r="E78">
        <f t="shared" si="9"/>
        <v>59.763998896344361</v>
      </c>
      <c r="F78">
        <f t="shared" si="10"/>
        <v>7.3535694700055387</v>
      </c>
      <c r="G78">
        <f t="shared" si="11"/>
        <v>9.936699367329993</v>
      </c>
      <c r="H78">
        <f>Main!O78</f>
        <v>6.125165</v>
      </c>
    </row>
    <row r="79" spans="1:8" x14ac:dyDescent="0.25">
      <c r="A79">
        <f>Main!$K$2</f>
        <v>0.02</v>
      </c>
      <c r="B79">
        <f>Main!W79</f>
        <v>65.827560711477389</v>
      </c>
      <c r="C79">
        <f>Main!X79</f>
        <v>310.01493542221488</v>
      </c>
      <c r="D79">
        <f t="shared" si="8"/>
        <v>65.987964376039287</v>
      </c>
      <c r="E79">
        <f t="shared" si="9"/>
        <v>59.911070285744472</v>
      </c>
      <c r="F79">
        <f t="shared" si="10"/>
        <v>7.5523034573521386</v>
      </c>
      <c r="G79">
        <f t="shared" si="11"/>
        <v>4.9680298737087014</v>
      </c>
      <c r="H79">
        <f>Main!O79</f>
        <v>6.1179740000000002</v>
      </c>
    </row>
    <row r="80" spans="1:8" x14ac:dyDescent="0.25">
      <c r="A80">
        <f>Main!$K$2</f>
        <v>0.02</v>
      </c>
      <c r="B80">
        <f>Main!W80</f>
        <v>67.008035895592585</v>
      </c>
      <c r="C80">
        <f>Main!X80</f>
        <v>309.80947769711906</v>
      </c>
      <c r="D80">
        <f t="shared" si="8"/>
        <v>67.186185781754176</v>
      </c>
      <c r="E80">
        <f t="shared" si="9"/>
        <v>60.062116354891515</v>
      </c>
      <c r="F80">
        <f t="shared" si="10"/>
        <v>7.6516640548263126</v>
      </c>
      <c r="G80">
        <f t="shared" si="11"/>
        <v>9.9365914945082068</v>
      </c>
      <c r="H80">
        <f>Main!O80</f>
        <v>6.1105609999999997</v>
      </c>
    </row>
    <row r="81" spans="1:8" x14ac:dyDescent="0.25">
      <c r="A81">
        <f>Main!$K$2</f>
        <v>0.02</v>
      </c>
      <c r="B81">
        <f>Main!W81</f>
        <v>68.189882772587524</v>
      </c>
      <c r="C81">
        <f>Main!X81</f>
        <v>309.59448679557039</v>
      </c>
      <c r="D81">
        <f t="shared" si="8"/>
        <v>68.387428108852006</v>
      </c>
      <c r="E81">
        <f t="shared" si="9"/>
        <v>60.215149635988041</v>
      </c>
      <c r="F81">
        <f t="shared" si="10"/>
        <v>7.8503958847164768</v>
      </c>
      <c r="G81">
        <f t="shared" si="11"/>
        <v>11.592722444220271</v>
      </c>
      <c r="H81">
        <f>Main!O81</f>
        <v>6.1029200000000001</v>
      </c>
    </row>
    <row r="82" spans="1:8" x14ac:dyDescent="0.25">
      <c r="A82">
        <f>Main!$K$2</f>
        <v>0.02</v>
      </c>
      <c r="B82">
        <f>Main!W82</f>
        <v>69.373011730992005</v>
      </c>
      <c r="C82">
        <f>Main!X82</f>
        <v>309.36965004132742</v>
      </c>
      <c r="D82">
        <f t="shared" si="8"/>
        <v>69.591731101571767</v>
      </c>
      <c r="E82">
        <f t="shared" si="9"/>
        <v>60.372157553682371</v>
      </c>
      <c r="F82">
        <f t="shared" si="10"/>
        <v>8.0822503336008822</v>
      </c>
      <c r="G82">
        <f t="shared" si="11"/>
        <v>4.967865736560384</v>
      </c>
      <c r="H82">
        <f>Main!O82</f>
        <v>6.0950480000000002</v>
      </c>
    </row>
    <row r="83" spans="1:8" x14ac:dyDescent="0.25">
      <c r="A83">
        <f>Main!$K$2</f>
        <v>0.02</v>
      </c>
      <c r="B83">
        <f>Main!W83</f>
        <v>70.557363378026096</v>
      </c>
      <c r="C83">
        <f>Main!X83</f>
        <v>309.13463910702376</v>
      </c>
      <c r="D83">
        <f t="shared" si="8"/>
        <v>70.799174252645415</v>
      </c>
      <c r="E83">
        <f t="shared" si="9"/>
        <v>60.533802560354388</v>
      </c>
      <c r="F83">
        <f t="shared" si="10"/>
        <v>8.1816076483320899</v>
      </c>
      <c r="G83">
        <f t="shared" si="11"/>
        <v>13.248775694307824</v>
      </c>
      <c r="H83">
        <f>Main!O83</f>
        <v>6.0869390000000001</v>
      </c>
    </row>
    <row r="84" spans="1:8" x14ac:dyDescent="0.25">
      <c r="A84">
        <f>Main!$K$2</f>
        <v>0.02</v>
      </c>
      <c r="B84">
        <f>Main!W84</f>
        <v>71.742881551108397</v>
      </c>
      <c r="C84">
        <f>Main!X84</f>
        <v>308.88911281055437</v>
      </c>
      <c r="D84">
        <f t="shared" si="8"/>
        <v>72.009850303852502</v>
      </c>
      <c r="E84">
        <f t="shared" si="9"/>
        <v>60.69743471332103</v>
      </c>
      <c r="F84">
        <f t="shared" si="10"/>
        <v>8.4465831622182463</v>
      </c>
      <c r="G84">
        <f t="shared" si="11"/>
        <v>6.6239270832824104</v>
      </c>
      <c r="H84">
        <f>Main!O84</f>
        <v>6.0785859999999996</v>
      </c>
    </row>
    <row r="85" spans="1:8" x14ac:dyDescent="0.25">
      <c r="A85">
        <f>Main!$K$2</f>
        <v>0.02</v>
      </c>
      <c r="B85">
        <f>Main!W85</f>
        <v>72.929448790255677</v>
      </c>
      <c r="C85">
        <f>Main!X85</f>
        <v>308.63273492677041</v>
      </c>
      <c r="D85">
        <f t="shared" si="8"/>
        <v>73.223798998118923</v>
      </c>
      <c r="E85">
        <f t="shared" si="9"/>
        <v>60.866366376565395</v>
      </c>
      <c r="F85">
        <f t="shared" si="10"/>
        <v>8.5790617038838946</v>
      </c>
      <c r="G85">
        <f t="shared" si="11"/>
        <v>8.280050058928623</v>
      </c>
      <c r="H85">
        <f>Main!O85</f>
        <v>6.0699860000000001</v>
      </c>
    </row>
    <row r="86" spans="1:8" x14ac:dyDescent="0.25">
      <c r="A86">
        <f>Main!$K$2</f>
        <v>0.02</v>
      </c>
      <c r="B86">
        <f>Main!W86</f>
        <v>74.117001473716485</v>
      </c>
      <c r="C86">
        <f>Main!X86</f>
        <v>308.3651448552813</v>
      </c>
      <c r="D86">
        <f t="shared" si="8"/>
        <v>74.441126325650231</v>
      </c>
      <c r="E86">
        <f t="shared" si="9"/>
        <v>61.037947610643073</v>
      </c>
      <c r="F86">
        <f t="shared" si="10"/>
        <v>8.744662705062467</v>
      </c>
      <c r="G86">
        <f t="shared" si="11"/>
        <v>11.592336791821367</v>
      </c>
      <c r="H86">
        <f>Main!O86</f>
        <v>6.0611309999999996</v>
      </c>
    </row>
    <row r="87" spans="1:8" x14ac:dyDescent="0.25">
      <c r="A87">
        <f>Main!$K$2</f>
        <v>0.02</v>
      </c>
      <c r="B87">
        <f>Main!W87</f>
        <v>75.305413445944851</v>
      </c>
      <c r="C87">
        <f>Main!X87</f>
        <v>308.08598647071773</v>
      </c>
      <c r="D87">
        <f t="shared" si="8"/>
        <v>75.661885277863092</v>
      </c>
      <c r="E87">
        <f t="shared" si="9"/>
        <v>61.212840864744322</v>
      </c>
      <c r="F87">
        <f t="shared" si="10"/>
        <v>8.9765094408988944</v>
      </c>
      <c r="G87">
        <f t="shared" si="11"/>
        <v>4.9675281328376286</v>
      </c>
      <c r="H87">
        <f>Main!O87</f>
        <v>6.0520170000000002</v>
      </c>
    </row>
    <row r="88" spans="1:8" x14ac:dyDescent="0.25">
      <c r="A88">
        <f>Main!$K$2</f>
        <v>0.02</v>
      </c>
      <c r="B88">
        <f>Main!W88</f>
        <v>76.494560096244911</v>
      </c>
      <c r="C88">
        <f>Main!X88</f>
        <v>307.79489370410687</v>
      </c>
      <c r="D88">
        <f t="shared" si="8"/>
        <v>76.886142095157979</v>
      </c>
      <c r="E88">
        <f t="shared" si="9"/>
        <v>61.3923710535623</v>
      </c>
      <c r="F88">
        <f t="shared" si="10"/>
        <v>9.0758600035556469</v>
      </c>
      <c r="G88">
        <f t="shared" si="11"/>
        <v>13.248334052917699</v>
      </c>
      <c r="H88">
        <f>Main!O88</f>
        <v>6.0426390000000003</v>
      </c>
    </row>
    <row r="89" spans="1:8" x14ac:dyDescent="0.25">
      <c r="A89">
        <f>Main!$K$2</f>
        <v>0.02</v>
      </c>
      <c r="B89">
        <f>Main!W89</f>
        <v>77.684329928841962</v>
      </c>
      <c r="C89">
        <f>Main!X89</f>
        <v>307.49148468170756</v>
      </c>
      <c r="D89">
        <f t="shared" si="8"/>
        <v>78.113989516229225</v>
      </c>
      <c r="E89">
        <f t="shared" si="9"/>
        <v>61.573888253633413</v>
      </c>
      <c r="F89">
        <f t="shared" si="10"/>
        <v>9.3408266846140009</v>
      </c>
      <c r="G89">
        <f t="shared" si="11"/>
        <v>4.9673674471506502</v>
      </c>
      <c r="H89">
        <f>Main!O89</f>
        <v>6.0329899999999999</v>
      </c>
    </row>
    <row r="90" spans="1:8" x14ac:dyDescent="0.25">
      <c r="A90">
        <f>Main!$K$2</f>
        <v>0.02</v>
      </c>
      <c r="B90">
        <f>Main!W90</f>
        <v>78.874547845566696</v>
      </c>
      <c r="C90">
        <f>Main!X90</f>
        <v>307.17538533565352</v>
      </c>
      <c r="D90">
        <f t="shared" si="8"/>
        <v>79.345467281301893</v>
      </c>
      <c r="E90">
        <f t="shared" si="9"/>
        <v>61.760704787325693</v>
      </c>
      <c r="F90">
        <f t="shared" si="10"/>
        <v>9.4401740335570139</v>
      </c>
      <c r="G90">
        <f t="shared" si="11"/>
        <v>8.2796317641964379</v>
      </c>
      <c r="H90">
        <f>Main!O90</f>
        <v>6.0230670000000002</v>
      </c>
    </row>
    <row r="91" spans="1:8" x14ac:dyDescent="0.25">
      <c r="A91">
        <f>Main!$K$2</f>
        <v>0.02</v>
      </c>
      <c r="B91">
        <f>Main!W91</f>
        <v>80.065088716074868</v>
      </c>
      <c r="C91">
        <f>Main!X91</f>
        <v>306.84619496826633</v>
      </c>
      <c r="D91">
        <f t="shared" si="8"/>
        <v>80.580681377048407</v>
      </c>
      <c r="E91">
        <f t="shared" si="9"/>
        <v>61.949508267996833</v>
      </c>
      <c r="F91">
        <f t="shared" si="10"/>
        <v>9.6057666688409427</v>
      </c>
      <c r="G91">
        <f t="shared" si="11"/>
        <v>8.2795384148681705</v>
      </c>
      <c r="H91">
        <f>Main!O91</f>
        <v>6.0128620000000002</v>
      </c>
    </row>
    <row r="92" spans="1:8" x14ac:dyDescent="0.25">
      <c r="A92">
        <f>Main!$K$2</f>
        <v>0.02</v>
      </c>
      <c r="B92">
        <f>Main!W92</f>
        <v>81.255749910201629</v>
      </c>
      <c r="C92">
        <f>Main!X92</f>
        <v>306.50352522834277</v>
      </c>
      <c r="D92">
        <f t="shared" si="8"/>
        <v>81.819671542408344</v>
      </c>
      <c r="E92">
        <f t="shared" si="9"/>
        <v>62.141623601373652</v>
      </c>
      <c r="F92">
        <f t="shared" si="10"/>
        <v>9.7713574371383061</v>
      </c>
      <c r="G92">
        <f t="shared" si="11"/>
        <v>8.2794411717657113</v>
      </c>
      <c r="H92">
        <f>Main!O92</f>
        <v>6.0023720000000003</v>
      </c>
    </row>
    <row r="93" spans="1:8" x14ac:dyDescent="0.25">
      <c r="A93">
        <f>Main!$K$2</f>
        <v>0.02</v>
      </c>
      <c r="B93">
        <f>Main!W93</f>
        <v>82.446339850520815</v>
      </c>
      <c r="C93">
        <f>Main!X93</f>
        <v>306.14697488472115</v>
      </c>
      <c r="D93">
        <f t="shared" si="8"/>
        <v>83.062504014435817</v>
      </c>
      <c r="E93">
        <f t="shared" si="9"/>
        <v>62.337050750116418</v>
      </c>
      <c r="F93">
        <f t="shared" si="10"/>
        <v>9.9369462605736203</v>
      </c>
      <c r="G93">
        <f t="shared" si="11"/>
        <v>4.9670388264644316</v>
      </c>
      <c r="H93">
        <f>Main!O93</f>
        <v>5.9915919999999998</v>
      </c>
    </row>
    <row r="94" spans="1:8" x14ac:dyDescent="0.25">
      <c r="A94">
        <f>Main!$K$2</f>
        <v>0.02</v>
      </c>
      <c r="B94">
        <f>Main!W94</f>
        <v>83.636651645310153</v>
      </c>
      <c r="C94">
        <f>Main!X94</f>
        <v>305.77613665897519</v>
      </c>
      <c r="D94">
        <f t="shared" si="8"/>
        <v>84.309245029438145</v>
      </c>
      <c r="E94">
        <f t="shared" si="9"/>
        <v>62.535789675327891</v>
      </c>
      <c r="F94">
        <f t="shared" si="10"/>
        <v>10.036287037102909</v>
      </c>
      <c r="G94">
        <f t="shared" si="11"/>
        <v>6.6231090674051529</v>
      </c>
      <c r="H94">
        <f>Main!O94</f>
        <v>5.9805169999999999</v>
      </c>
    </row>
    <row r="95" spans="1:8" x14ac:dyDescent="0.25">
      <c r="A95">
        <f>Main!$K$2</f>
        <v>0.02</v>
      </c>
      <c r="B95">
        <f>Main!W95</f>
        <v>84.826462376293506</v>
      </c>
      <c r="C95">
        <f>Main!X95</f>
        <v>305.3905975292314</v>
      </c>
      <c r="D95">
        <f t="shared" si="8"/>
        <v>85.559960822944703</v>
      </c>
      <c r="E95">
        <f t="shared" si="9"/>
        <v>62.736515416069949</v>
      </c>
      <c r="F95">
        <f t="shared" si="10"/>
        <v>10.168749218451012</v>
      </c>
      <c r="G95">
        <f t="shared" si="11"/>
        <v>4.9668757906573546</v>
      </c>
      <c r="H95">
        <f>Main!O95</f>
        <v>5.9691419999999997</v>
      </c>
    </row>
    <row r="96" spans="1:8" x14ac:dyDescent="0.25">
      <c r="A96">
        <f>Main!$K$2</f>
        <v>0.02</v>
      </c>
      <c r="B96">
        <f>Main!W96</f>
        <v>86.015507963987162</v>
      </c>
      <c r="C96">
        <f>Main!X96</f>
        <v>304.98994963268564</v>
      </c>
      <c r="D96">
        <f t="shared" si="8"/>
        <v>86.814691131266102</v>
      </c>
      <c r="E96">
        <f t="shared" si="9"/>
        <v>62.939890400438969</v>
      </c>
      <c r="F96">
        <f t="shared" si="10"/>
        <v>10.268086734264159</v>
      </c>
      <c r="G96">
        <f t="shared" si="11"/>
        <v>4.966795762229026</v>
      </c>
      <c r="H96">
        <f>Main!O96</f>
        <v>5.9574639999999999</v>
      </c>
    </row>
    <row r="97" spans="1:8" x14ac:dyDescent="0.25">
      <c r="A97">
        <f>Main!$K$2</f>
        <v>0.02</v>
      </c>
      <c r="B97">
        <f>Main!W97</f>
        <v>87.203520173721699</v>
      </c>
      <c r="C97">
        <f>Main!X97</f>
        <v>304.57377790014078</v>
      </c>
      <c r="D97">
        <f t="shared" si="8"/>
        <v>88.073488939274881</v>
      </c>
      <c r="E97">
        <f t="shared" si="9"/>
        <v>63.145252135124252</v>
      </c>
      <c r="F97">
        <f t="shared" si="10"/>
        <v>10.36742264950874</v>
      </c>
      <c r="G97">
        <f t="shared" si="11"/>
        <v>3.3105839047919972</v>
      </c>
      <c r="H97">
        <f>Main!O97</f>
        <v>5.9454789999999997</v>
      </c>
    </row>
    <row r="98" spans="1:8" x14ac:dyDescent="0.25">
      <c r="A98">
        <f>Main!$K$2</f>
        <v>0.02</v>
      </c>
      <c r="B98">
        <f>Main!W98</f>
        <v>88.390201173407561</v>
      </c>
      <c r="C98">
        <f>Main!X98</f>
        <v>304.14166986750553</v>
      </c>
      <c r="D98">
        <f t="shared" si="8"/>
        <v>89.336393981977366</v>
      </c>
      <c r="E98">
        <f t="shared" si="9"/>
        <v>63.352600588114427</v>
      </c>
      <c r="F98">
        <f t="shared" si="10"/>
        <v>10.43363432760458</v>
      </c>
      <c r="G98">
        <f t="shared" si="11"/>
        <v>3.3105164103375273</v>
      </c>
      <c r="H98">
        <f>Main!O98</f>
        <v>5.9331839999999998</v>
      </c>
    </row>
    <row r="99" spans="1:8" x14ac:dyDescent="0.25">
      <c r="A99">
        <f>Main!$K$2</f>
        <v>0.02</v>
      </c>
      <c r="B99">
        <f>Main!W99</f>
        <v>89.575235571214762</v>
      </c>
      <c r="C99">
        <f>Main!X99</f>
        <v>303.69321220336701</v>
      </c>
      <c r="D99">
        <f t="shared" si="8"/>
        <v>90.603445993739655</v>
      </c>
      <c r="E99">
        <f t="shared" si="9"/>
        <v>63.561273274666519</v>
      </c>
      <c r="F99">
        <f t="shared" si="10"/>
        <v>10.49984465581133</v>
      </c>
      <c r="G99">
        <f t="shared" si="11"/>
        <v>-1.6579075783340613</v>
      </c>
      <c r="H99">
        <f>Main!O99</f>
        <v>5.9205759999999996</v>
      </c>
    </row>
    <row r="100" spans="1:8" x14ac:dyDescent="0.25">
      <c r="A100">
        <f>Main!$K$2</f>
        <v>0.02</v>
      </c>
      <c r="B100">
        <f>Main!W100</f>
        <v>90.758277876969672</v>
      </c>
      <c r="C100">
        <f>Main!X100</f>
        <v>303.22799710589828</v>
      </c>
      <c r="D100">
        <f t="shared" si="8"/>
        <v>91.874671459232985</v>
      </c>
      <c r="E100">
        <f t="shared" si="9"/>
        <v>63.771270167782745</v>
      </c>
      <c r="F100">
        <f t="shared" si="10"/>
        <v>10.466686504244649</v>
      </c>
      <c r="G100">
        <f t="shared" si="11"/>
        <v>3.3104127652450188</v>
      </c>
      <c r="H100">
        <f>Main!O100</f>
        <v>5.9076529999999998</v>
      </c>
    </row>
    <row r="101" spans="1:8" x14ac:dyDescent="0.25">
      <c r="A101">
        <f>Main!$K$2</f>
        <v>0.02</v>
      </c>
      <c r="B101">
        <f>Main!W101</f>
        <v>91.938964524992215</v>
      </c>
      <c r="C101">
        <f>Main!X101</f>
        <v>302.74561862513218</v>
      </c>
      <c r="D101">
        <f t="shared" si="8"/>
        <v>93.15009686258864</v>
      </c>
      <c r="E101">
        <f t="shared" si="9"/>
        <v>63.980603897867638</v>
      </c>
      <c r="F101">
        <f t="shared" si="10"/>
        <v>10.532894759549549</v>
      </c>
      <c r="G101">
        <f t="shared" si="11"/>
        <v>-3.3140838624490243</v>
      </c>
      <c r="H101">
        <f>Main!O101</f>
        <v>5.8944130000000001</v>
      </c>
    </row>
    <row r="102" spans="1:8" x14ac:dyDescent="0.25">
      <c r="A102">
        <f>Main!$K$2</f>
        <v>0.02</v>
      </c>
      <c r="B102">
        <f>Main!W102</f>
        <v>93.116878062535775</v>
      </c>
      <c r="C102">
        <f>Main!X102</f>
        <v>302.24569186236994</v>
      </c>
      <c r="D102">
        <f t="shared" si="8"/>
        <v>94.429708940545993</v>
      </c>
      <c r="E102">
        <f t="shared" si="9"/>
        <v>64.191261793058629</v>
      </c>
      <c r="F102">
        <f t="shared" si="10"/>
        <v>10.466613082300569</v>
      </c>
      <c r="G102">
        <f t="shared" si="11"/>
        <v>-1.6579817874173841</v>
      </c>
      <c r="H102">
        <f>Main!O102</f>
        <v>5.8808569999999998</v>
      </c>
    </row>
    <row r="103" spans="1:8" x14ac:dyDescent="0.25">
      <c r="A103">
        <f>Main!$K$2</f>
        <v>0.02</v>
      </c>
      <c r="B103">
        <f>Main!W103</f>
        <v>94.291619270739346</v>
      </c>
      <c r="C103">
        <f>Main!X103</f>
        <v>301.72782090355645</v>
      </c>
      <c r="D103">
        <f t="shared" si="8"/>
        <v>95.713534176407165</v>
      </c>
      <c r="E103">
        <f t="shared" si="9"/>
        <v>64.400594054704641</v>
      </c>
      <c r="F103">
        <f t="shared" si="10"/>
        <v>10.433453446552221</v>
      </c>
      <c r="G103">
        <f t="shared" si="11"/>
        <v>-4.9701866355889024</v>
      </c>
      <c r="H103">
        <f>Main!O103</f>
        <v>5.8669830000000003</v>
      </c>
    </row>
    <row r="104" spans="1:8" x14ac:dyDescent="0.25">
      <c r="A104">
        <f>Main!$K$2</f>
        <v>0.02</v>
      </c>
      <c r="B104">
        <f>Main!W104</f>
        <v>95.462723160041747</v>
      </c>
      <c r="C104">
        <f>Main!X104</f>
        <v>301.19163969696643</v>
      </c>
      <c r="D104">
        <f t="shared" si="8"/>
        <v>97.001546057501258</v>
      </c>
      <c r="E104">
        <f t="shared" si="9"/>
        <v>64.609263123635685</v>
      </c>
      <c r="F104">
        <f t="shared" si="10"/>
        <v>10.334049713840443</v>
      </c>
      <c r="G104">
        <f t="shared" si="11"/>
        <v>-8.2823418185995479</v>
      </c>
      <c r="H104">
        <f>Main!O104</f>
        <v>5.8527930000000001</v>
      </c>
    </row>
    <row r="105" spans="1:8" x14ac:dyDescent="0.25">
      <c r="A105">
        <f>Main!$K$2</f>
        <v>0.02</v>
      </c>
      <c r="B105">
        <f>Main!W105</f>
        <v>96.62971965719268</v>
      </c>
      <c r="C105">
        <f>Main!X105</f>
        <v>300.63678662795706</v>
      </c>
      <c r="D105">
        <f t="shared" si="8"/>
        <v>98.293731319973972</v>
      </c>
      <c r="E105">
        <f t="shared" si="9"/>
        <v>64.815944117912494</v>
      </c>
      <c r="F105">
        <f t="shared" si="10"/>
        <v>10.168402877468452</v>
      </c>
      <c r="G105">
        <f t="shared" si="11"/>
        <v>-4.9701165938387248</v>
      </c>
      <c r="H105">
        <f>Main!O105</f>
        <v>5.8382880000000004</v>
      </c>
    </row>
    <row r="106" spans="1:8" x14ac:dyDescent="0.25">
      <c r="A106">
        <f>Main!$K$2</f>
        <v>0.02</v>
      </c>
      <c r="B106">
        <f>Main!W106</f>
        <v>97.792098393949232</v>
      </c>
      <c r="C106">
        <f>Main!X106</f>
        <v>300.06292399884205</v>
      </c>
      <c r="D106">
        <f t="shared" si="8"/>
        <v>99.590050202332222</v>
      </c>
      <c r="E106">
        <f t="shared" si="9"/>
        <v>65.019312175461863</v>
      </c>
      <c r="F106">
        <f t="shared" si="10"/>
        <v>10.069000545591678</v>
      </c>
      <c r="G106">
        <f t="shared" si="11"/>
        <v>-13.250473836379228</v>
      </c>
      <c r="H106">
        <f>Main!O106</f>
        <v>5.8234709999999996</v>
      </c>
    </row>
    <row r="107" spans="1:8" x14ac:dyDescent="0.25">
      <c r="A107">
        <f>Main!$K$2</f>
        <v>0.02</v>
      </c>
      <c r="B107">
        <f>Main!W107</f>
        <v>98.949310583357658</v>
      </c>
      <c r="C107">
        <f>Main!X107</f>
        <v>299.469742465926</v>
      </c>
      <c r="D107">
        <f t="shared" si="8"/>
        <v>100.89043644584146</v>
      </c>
      <c r="E107">
        <f t="shared" si="9"/>
        <v>65.220692186373697</v>
      </c>
      <c r="F107">
        <f t="shared" si="10"/>
        <v>9.803991068864093</v>
      </c>
      <c r="G107">
        <f t="shared" si="11"/>
        <v>-9.9382153635474424</v>
      </c>
      <c r="H107">
        <f>Main!O107</f>
        <v>5.8083470000000004</v>
      </c>
    </row>
    <row r="108" spans="1:8" x14ac:dyDescent="0.25">
      <c r="A108">
        <f>Main!$K$2</f>
        <v>0.02</v>
      </c>
      <c r="B108">
        <f>Main!W108</f>
        <v>100.10081590111221</v>
      </c>
      <c r="C108">
        <f>Main!X108</f>
        <v>298.85693664114063</v>
      </c>
      <c r="D108">
        <f t="shared" si="8"/>
        <v>102.19485028956893</v>
      </c>
      <c r="E108">
        <f t="shared" si="9"/>
        <v>65.416772007750978</v>
      </c>
      <c r="F108">
        <f t="shared" si="10"/>
        <v>9.6052267615931441</v>
      </c>
      <c r="G108">
        <f t="shared" si="11"/>
        <v>-14.906327018948673</v>
      </c>
      <c r="H108">
        <f>Main!O108</f>
        <v>5.7929190000000004</v>
      </c>
    </row>
    <row r="109" spans="1:8" x14ac:dyDescent="0.25">
      <c r="A109">
        <f>Main!$K$2</f>
        <v>0.02</v>
      </c>
      <c r="B109">
        <f>Main!W109</f>
        <v>101.24600325301421</v>
      </c>
      <c r="C109">
        <f>Main!X109</f>
        <v>298.22425381933391</v>
      </c>
      <c r="D109">
        <f t="shared" si="8"/>
        <v>103.50318572972395</v>
      </c>
      <c r="E109">
        <f t="shared" si="9"/>
        <v>65.608876542982841</v>
      </c>
      <c r="F109">
        <f t="shared" si="10"/>
        <v>9.3071002212141707</v>
      </c>
      <c r="G109">
        <f t="shared" si="11"/>
        <v>-16.562250170437665</v>
      </c>
      <c r="H109">
        <f>Main!O109</f>
        <v>5.7771949999999999</v>
      </c>
    </row>
    <row r="110" spans="1:8" x14ac:dyDescent="0.25">
      <c r="A110">
        <f>Main!$K$2</f>
        <v>0.02</v>
      </c>
      <c r="B110">
        <f>Main!W110</f>
        <v>102.38427316294053</v>
      </c>
      <c r="C110">
        <f>Main!X110</f>
        <v>297.57145102778867</v>
      </c>
      <c r="D110">
        <f t="shared" si="8"/>
        <v>104.81536326058361</v>
      </c>
      <c r="E110">
        <f t="shared" si="9"/>
        <v>65.795018547407125</v>
      </c>
      <c r="F110">
        <f t="shared" si="10"/>
        <v>8.9758552178054174</v>
      </c>
      <c r="G110">
        <f t="shared" si="11"/>
        <v>-19.874205058556527</v>
      </c>
      <c r="H110">
        <f>Main!O110</f>
        <v>5.7611809999999997</v>
      </c>
    </row>
    <row r="111" spans="1:8" x14ac:dyDescent="0.25">
      <c r="A111">
        <f>Main!$K$2</f>
        <v>0.02</v>
      </c>
      <c r="B111">
        <f>Main!W111</f>
        <v>103.51498213716737</v>
      </c>
      <c r="C111">
        <f>Main!X111</f>
        <v>296.89833068055174</v>
      </c>
      <c r="D111">
        <f t="shared" si="8"/>
        <v>106.13126363153175</v>
      </c>
      <c r="E111">
        <f t="shared" si="9"/>
        <v>65.974535651763233</v>
      </c>
      <c r="F111">
        <f t="shared" si="10"/>
        <v>8.5783711166342869</v>
      </c>
      <c r="G111">
        <f t="shared" si="11"/>
        <v>-19.874022695987037</v>
      </c>
      <c r="H111">
        <f>Main!O111</f>
        <v>5.7448860000000002</v>
      </c>
    </row>
    <row r="112" spans="1:8" x14ac:dyDescent="0.25">
      <c r="A112">
        <f>Main!$K$2</f>
        <v>0.02</v>
      </c>
      <c r="B112">
        <f>Main!W112</f>
        <v>104.63746826494756</v>
      </c>
      <c r="C112">
        <f>Main!X112</f>
        <v>296.20473091503322</v>
      </c>
      <c r="D112">
        <f t="shared" si="8"/>
        <v>107.45075434456702</v>
      </c>
      <c r="E112">
        <f t="shared" si="9"/>
        <v>66.146103074095919</v>
      </c>
      <c r="F112">
        <f t="shared" si="10"/>
        <v>8.1808906627145461</v>
      </c>
      <c r="G112">
        <f t="shared" si="11"/>
        <v>-21.529887803239944</v>
      </c>
      <c r="H112">
        <f>Main!O112</f>
        <v>5.7283200000000001</v>
      </c>
    </row>
    <row r="113" spans="1:8" x14ac:dyDescent="0.25">
      <c r="A113">
        <f>Main!$K$2</f>
        <v>0.02</v>
      </c>
      <c r="B113">
        <f>Main!W113</f>
        <v>105.7510429091769</v>
      </c>
      <c r="C113">
        <f>Main!X113</f>
        <v>295.49053605892948</v>
      </c>
      <c r="D113">
        <f t="shared" si="8"/>
        <v>108.77367640604893</v>
      </c>
      <c r="E113">
        <f t="shared" si="9"/>
        <v>66.30972088735021</v>
      </c>
      <c r="F113">
        <f t="shared" si="10"/>
        <v>7.7502929066497472</v>
      </c>
      <c r="G113">
        <f t="shared" si="11"/>
        <v>-28.153852662526901</v>
      </c>
      <c r="H113">
        <f>Main!O113</f>
        <v>5.7114950000000002</v>
      </c>
    </row>
    <row r="114" spans="1:8" x14ac:dyDescent="0.25">
      <c r="A114">
        <f>Main!$K$2</f>
        <v>0.02</v>
      </c>
      <c r="B114">
        <f>Main!W114</f>
        <v>106.85501526113508</v>
      </c>
      <c r="C114">
        <f>Main!X114</f>
        <v>294.75566417909243</v>
      </c>
      <c r="D114">
        <f t="shared" si="8"/>
        <v>110.09987082379594</v>
      </c>
      <c r="E114">
        <f t="shared" si="9"/>
        <v>66.464726745483205</v>
      </c>
      <c r="F114">
        <f t="shared" si="10"/>
        <v>7.1872158533992092</v>
      </c>
      <c r="G114">
        <f t="shared" si="11"/>
        <v>-26.497583942131087</v>
      </c>
      <c r="H114">
        <f>Main!O114</f>
        <v>5.6944229999999996</v>
      </c>
    </row>
    <row r="115" spans="1:8" x14ac:dyDescent="0.25">
      <c r="A115">
        <f>Main!$K$2</f>
        <v>0.02</v>
      </c>
      <c r="B115">
        <f>Main!W115</f>
        <v>107.94868350386584</v>
      </c>
      <c r="C115">
        <f>Main!X115</f>
        <v>294.00007584184596</v>
      </c>
      <c r="D115">
        <f t="shared" si="8"/>
        <v>111.4291653587056</v>
      </c>
      <c r="E115">
        <f t="shared" si="9"/>
        <v>66.608471062551189</v>
      </c>
      <c r="F115">
        <f t="shared" si="10"/>
        <v>6.6572641745565875</v>
      </c>
      <c r="G115">
        <f t="shared" si="11"/>
        <v>-26.497376156342511</v>
      </c>
      <c r="H115">
        <f>Main!O115</f>
        <v>5.677117</v>
      </c>
    </row>
    <row r="116" spans="1:8" x14ac:dyDescent="0.25">
      <c r="A116">
        <f>Main!$K$2</f>
        <v>0.02</v>
      </c>
      <c r="B116">
        <f>Main!W116</f>
        <v>109.03130731862939</v>
      </c>
      <c r="C116">
        <f>Main!X116</f>
        <v>293.22380202248638</v>
      </c>
      <c r="D116">
        <f t="shared" si="8"/>
        <v>112.76133477995663</v>
      </c>
      <c r="E116">
        <f t="shared" si="9"/>
        <v>66.741616346042321</v>
      </c>
      <c r="F116">
        <f t="shared" si="10"/>
        <v>6.1273166514297372</v>
      </c>
      <c r="G116">
        <f t="shared" si="11"/>
        <v>-34.777310318645505</v>
      </c>
      <c r="H116">
        <f>Main!O116</f>
        <v>5.6595940000000002</v>
      </c>
    </row>
    <row r="117" spans="1:8" x14ac:dyDescent="0.25">
      <c r="A117">
        <f>Main!$K$2</f>
        <v>0.02</v>
      </c>
      <c r="B117">
        <f>Main!W117</f>
        <v>110.1021649673805</v>
      </c>
      <c r="C117">
        <f>Main!X117</f>
        <v>292.4269072759206</v>
      </c>
      <c r="D117">
        <f t="shared" si="8"/>
        <v>114.09616710687747</v>
      </c>
      <c r="E117">
        <f t="shared" si="9"/>
        <v>66.864162679070915</v>
      </c>
      <c r="F117">
        <f t="shared" si="10"/>
        <v>5.4317704450568272</v>
      </c>
      <c r="G117">
        <f t="shared" si="11"/>
        <v>-31.465034988187313</v>
      </c>
      <c r="H117">
        <f>Main!O117</f>
        <v>5.6418699999999999</v>
      </c>
    </row>
    <row r="118" spans="1:8" x14ac:dyDescent="0.25">
      <c r="A118">
        <f>Main!$K$2</f>
        <v>0.02</v>
      </c>
      <c r="B118">
        <f>Main!W118</f>
        <v>111.16054414069986</v>
      </c>
      <c r="C118">
        <f>Main!X118</f>
        <v>291.60949671457877</v>
      </c>
      <c r="D118">
        <f t="shared" si="8"/>
        <v>115.43345036045889</v>
      </c>
      <c r="E118">
        <f t="shared" si="9"/>
        <v>66.972798087972052</v>
      </c>
      <c r="F118">
        <f t="shared" si="10"/>
        <v>4.8024697452930809</v>
      </c>
      <c r="G118">
        <f t="shared" si="11"/>
        <v>-33.120868364377998</v>
      </c>
      <c r="H118">
        <f>Main!O118</f>
        <v>5.6239610000000004</v>
      </c>
    </row>
    <row r="119" spans="1:8" x14ac:dyDescent="0.25">
      <c r="A119">
        <f>Main!$K$2</f>
        <v>0.02</v>
      </c>
      <c r="B119">
        <f>Main!W119</f>
        <v>112.20569578782144</v>
      </c>
      <c r="C119">
        <f>Main!X119</f>
        <v>290.77176148909763</v>
      </c>
      <c r="D119">
        <f t="shared" si="8"/>
        <v>116.77290632221833</v>
      </c>
      <c r="E119">
        <f t="shared" si="9"/>
        <v>67.068847482877914</v>
      </c>
      <c r="F119">
        <f t="shared" si="10"/>
        <v>4.1400523780055209</v>
      </c>
      <c r="G119">
        <f t="shared" si="11"/>
        <v>-38.088749018783119</v>
      </c>
      <c r="H119">
        <f>Main!O119</f>
        <v>5.6058880000000002</v>
      </c>
    </row>
    <row r="120" spans="1:8" x14ac:dyDescent="0.25">
      <c r="A120">
        <f>Main!$K$2</f>
        <v>0.02</v>
      </c>
      <c r="B120">
        <f>Main!W120</f>
        <v>113.23691006690214</v>
      </c>
      <c r="C120">
        <f>Main!X120</f>
        <v>289.91392162543269</v>
      </c>
      <c r="D120">
        <f t="shared" si="8"/>
        <v>118.11428327187589</v>
      </c>
      <c r="E120">
        <f t="shared" si="9"/>
        <v>67.151648530438024</v>
      </c>
      <c r="F120">
        <f t="shared" si="10"/>
        <v>3.3782773976298586</v>
      </c>
      <c r="G120">
        <f t="shared" si="11"/>
        <v>-34.776556740112596</v>
      </c>
      <c r="H120">
        <f>Main!O120</f>
        <v>5.5876700000000001</v>
      </c>
    </row>
    <row r="121" spans="1:8" x14ac:dyDescent="0.25">
      <c r="A121">
        <f>Main!$K$2</f>
        <v>0.02</v>
      </c>
      <c r="B121">
        <f>Main!W121</f>
        <v>114.25348786840931</v>
      </c>
      <c r="C121">
        <f>Main!X121</f>
        <v>289.03625019851654</v>
      </c>
      <c r="D121">
        <f t="shared" si="8"/>
        <v>119.45731624248465</v>
      </c>
      <c r="E121">
        <f t="shared" si="9"/>
        <v>67.219214078390621</v>
      </c>
      <c r="F121">
        <f t="shared" si="10"/>
        <v>2.6827462628276066</v>
      </c>
      <c r="G121">
        <f t="shared" si="11"/>
        <v>-38.08846659758558</v>
      </c>
      <c r="H121">
        <f>Main!O121</f>
        <v>5.5693270000000004</v>
      </c>
    </row>
    <row r="122" spans="1:8" x14ac:dyDescent="0.25">
      <c r="A122">
        <f>Main!$K$2</f>
        <v>0.02</v>
      </c>
      <c r="B122">
        <f>Main!W122</f>
        <v>115.25472648856797</v>
      </c>
      <c r="C122">
        <f>Main!X122</f>
        <v>288.13909339949566</v>
      </c>
      <c r="D122">
        <f t="shared" si="8"/>
        <v>120.80170052405246</v>
      </c>
      <c r="E122">
        <f t="shared" si="9"/>
        <v>67.272869003647173</v>
      </c>
      <c r="F122">
        <f t="shared" si="10"/>
        <v>1.9209769308758951</v>
      </c>
      <c r="G122">
        <f t="shared" si="11"/>
        <v>-36.432360545290976</v>
      </c>
      <c r="H122">
        <f>Main!O122</f>
        <v>5.5508819999999996</v>
      </c>
    </row>
    <row r="123" spans="1:8" x14ac:dyDescent="0.25">
      <c r="A123">
        <f>Main!$K$2</f>
        <v>0.02</v>
      </c>
      <c r="B123">
        <f>Main!W123</f>
        <v>116.23997159734074</v>
      </c>
      <c r="C123">
        <f>Main!X123</f>
        <v>287.22282507786053</v>
      </c>
      <c r="D123">
        <f t="shared" si="8"/>
        <v>122.14715790412541</v>
      </c>
      <c r="E123">
        <f t="shared" si="9"/>
        <v>67.311288542264691</v>
      </c>
      <c r="F123">
        <f t="shared" si="10"/>
        <v>1.1923297199700755</v>
      </c>
      <c r="G123">
        <f t="shared" si="11"/>
        <v>-39.744330727842225</v>
      </c>
      <c r="H123">
        <f>Main!O123</f>
        <v>5.5323560000000001</v>
      </c>
    </row>
    <row r="124" spans="1:8" x14ac:dyDescent="0.25">
      <c r="A124">
        <f>Main!$K$2</f>
        <v>0.02</v>
      </c>
      <c r="B124">
        <f>Main!W124</f>
        <v>117.20858147910323</v>
      </c>
      <c r="C124">
        <f>Main!X124</f>
        <v>286.28788191218678</v>
      </c>
      <c r="D124">
        <f t="shared" si="8"/>
        <v>123.4933836749707</v>
      </c>
      <c r="E124">
        <f t="shared" si="9"/>
        <v>67.335135136664093</v>
      </c>
      <c r="F124">
        <f t="shared" si="10"/>
        <v>0.39744310541323102</v>
      </c>
      <c r="G124">
        <f t="shared" si="11"/>
        <v>-39.744310541323102</v>
      </c>
      <c r="H124">
        <f>Main!O124</f>
        <v>5.5137720000000003</v>
      </c>
    </row>
    <row r="125" spans="1:8" x14ac:dyDescent="0.25">
      <c r="A125">
        <f>Main!$K$2</f>
        <v>0.02</v>
      </c>
      <c r="B125">
        <f>Main!W125</f>
        <v>118.15995845141498</v>
      </c>
      <c r="C125">
        <f>Main!X125</f>
        <v>285.33473448072402</v>
      </c>
      <c r="D125">
        <f t="shared" si="8"/>
        <v>124.84008637770398</v>
      </c>
      <c r="E125">
        <f t="shared" si="9"/>
        <v>67.343083998772357</v>
      </c>
      <c r="F125">
        <f t="shared" si="10"/>
        <v>-0.39744310541323102</v>
      </c>
      <c r="G125">
        <f t="shared" si="11"/>
        <v>-34.776289075111322</v>
      </c>
      <c r="H125">
        <f>Main!O125</f>
        <v>5.495152</v>
      </c>
    </row>
    <row r="126" spans="1:8" x14ac:dyDescent="0.25">
      <c r="A126">
        <f>Main!$K$2</f>
        <v>0.02</v>
      </c>
      <c r="B126">
        <f>Main!W126</f>
        <v>119.09352440976326</v>
      </c>
      <c r="C126">
        <f>Main!X126</f>
        <v>284.36391473102816</v>
      </c>
      <c r="D126">
        <f t="shared" si="8"/>
        <v>126.18694805767943</v>
      </c>
      <c r="E126">
        <f t="shared" si="9"/>
        <v>67.335135136664093</v>
      </c>
      <c r="F126">
        <f t="shared" si="10"/>
        <v>-1.0929688869154575</v>
      </c>
      <c r="G126">
        <f t="shared" si="11"/>
        <v>-38.088367793065458</v>
      </c>
      <c r="H126">
        <f>Main!O126</f>
        <v>5.4765199999999998</v>
      </c>
    </row>
    <row r="127" spans="1:8" x14ac:dyDescent="0.25">
      <c r="A127">
        <f>Main!$K$2</f>
        <v>0.02</v>
      </c>
      <c r="B127">
        <f>Main!W127</f>
        <v>120.00874290350212</v>
      </c>
      <c r="C127">
        <f>Main!X127</f>
        <v>283.37599607128561</v>
      </c>
      <c r="D127">
        <f t="shared" si="8"/>
        <v>127.53365076041271</v>
      </c>
      <c r="E127">
        <f t="shared" si="9"/>
        <v>67.313275758925784</v>
      </c>
      <c r="F127">
        <f t="shared" si="10"/>
        <v>-1.8547362427767666</v>
      </c>
      <c r="G127">
        <f t="shared" si="11"/>
        <v>-38.088457564811051</v>
      </c>
      <c r="H127">
        <f>Main!O127</f>
        <v>5.4579000000000004</v>
      </c>
    </row>
    <row r="128" spans="1:8" x14ac:dyDescent="0.25">
      <c r="A128">
        <f>Main!$K$2</f>
        <v>0.02</v>
      </c>
      <c r="B128">
        <f>Main!W128</f>
        <v>120.90514530898525</v>
      </c>
      <c r="C128">
        <f>Main!X128</f>
        <v>282.37155913209881</v>
      </c>
      <c r="D128">
        <f t="shared" si="8"/>
        <v>128.87991627559123</v>
      </c>
      <c r="E128">
        <f t="shared" si="9"/>
        <v>67.276181034070248</v>
      </c>
      <c r="F128">
        <f t="shared" si="10"/>
        <v>-2.6165053940729877</v>
      </c>
      <c r="G128">
        <f t="shared" si="11"/>
        <v>-33.120525714025462</v>
      </c>
      <c r="H128">
        <f>Main!O128</f>
        <v>5.4393130000000003</v>
      </c>
    </row>
    <row r="129" spans="1:8" x14ac:dyDescent="0.25">
      <c r="A129">
        <f>Main!$K$2</f>
        <v>0.02</v>
      </c>
      <c r="B129">
        <f>Main!W129</f>
        <v>121.78228852215985</v>
      </c>
      <c r="C129">
        <f>Main!X129</f>
        <v>281.35123879152269</v>
      </c>
      <c r="D129">
        <f t="shared" si="8"/>
        <v>130.22543989627263</v>
      </c>
      <c r="E129">
        <f t="shared" si="9"/>
        <v>67.223850926188788</v>
      </c>
      <c r="F129">
        <f t="shared" si="10"/>
        <v>-3.2789159083534969</v>
      </c>
      <c r="G129">
        <f t="shared" si="11"/>
        <v>-36.432706252753633</v>
      </c>
      <c r="H129">
        <f>Main!O129</f>
        <v>5.420782</v>
      </c>
    </row>
    <row r="130" spans="1:8" x14ac:dyDescent="0.25">
      <c r="A130">
        <f>Main!$K$2</f>
        <v>0.02</v>
      </c>
      <c r="B130">
        <f>Main!W130</f>
        <v>122.63977547187207</v>
      </c>
      <c r="C130">
        <f>Main!X130</f>
        <v>280.31570289914049</v>
      </c>
      <c r="D130">
        <f t="shared" si="8"/>
        <v>131.56991691479641</v>
      </c>
      <c r="E130">
        <f t="shared" si="9"/>
        <v>67.158272608021718</v>
      </c>
      <c r="F130">
        <f t="shared" si="10"/>
        <v>-4.0075700334085695</v>
      </c>
      <c r="G130">
        <f t="shared" si="11"/>
        <v>-31.464812447978829</v>
      </c>
      <c r="H130">
        <f>Main!O130</f>
        <v>5.4023300000000001</v>
      </c>
    </row>
    <row r="131" spans="1:8" x14ac:dyDescent="0.25">
      <c r="A131">
        <f>Main!$K$2</f>
        <v>0.02</v>
      </c>
      <c r="B131">
        <f>Main!W131</f>
        <v>123.4772789194745</v>
      </c>
      <c r="C131">
        <f>Main!X131</f>
        <v>279.26561651834538</v>
      </c>
      <c r="D131">
        <f t="shared" si="8"/>
        <v>132.91308236695684</v>
      </c>
      <c r="E131">
        <f t="shared" si="9"/>
        <v>67.078121207353547</v>
      </c>
      <c r="F131">
        <f t="shared" si="10"/>
        <v>-4.6368662823681461</v>
      </c>
      <c r="G131">
        <f t="shared" si="11"/>
        <v>-29.808963628141782</v>
      </c>
      <c r="H131">
        <f>Main!O131</f>
        <v>5.3839769999999998</v>
      </c>
    </row>
    <row r="132" spans="1:8" x14ac:dyDescent="0.25">
      <c r="A132">
        <f>Main!$K$2</f>
        <v>0.02</v>
      </c>
      <c r="B132">
        <f>Main!W132</f>
        <v>124.2945013951084</v>
      </c>
      <c r="C132">
        <f>Main!X132</f>
        <v>278.20169116231602</v>
      </c>
      <c r="D132">
        <f t="shared" si="8"/>
        <v>134.25464479110391</v>
      </c>
      <c r="E132">
        <f t="shared" si="9"/>
        <v>66.985383881706184</v>
      </c>
      <c r="F132">
        <f t="shared" si="10"/>
        <v>-5.2330455549309818</v>
      </c>
      <c r="G132">
        <f t="shared" si="11"/>
        <v>-29.809153847537573</v>
      </c>
      <c r="H132">
        <f>Main!O132</f>
        <v>5.3657450000000004</v>
      </c>
    </row>
    <row r="133" spans="1:8" x14ac:dyDescent="0.25">
      <c r="A133">
        <f>Main!$K$2</f>
        <v>0.02</v>
      </c>
      <c r="B133">
        <f>Main!W133</f>
        <v>125.09121496657741</v>
      </c>
      <c r="C133">
        <f>Main!X133</f>
        <v>277.12462842201307</v>
      </c>
      <c r="D133">
        <f t="shared" ref="D133:D196" si="12">D132 + SQRT( (B133-B132)^2  + (C133-C132)^2 )</f>
        <v>135.59435246873804</v>
      </c>
      <c r="E133">
        <f t="shared" ref="E133:E196" si="13" xml:space="preserve"> IF(ISBLANK(D134), 0, (D134-D133)/$A133 )</f>
        <v>66.880722970607565</v>
      </c>
      <c r="F133">
        <f t="shared" ref="F133:F196" si="14" xml:space="preserve"> (E134-E133)/$A133</f>
        <v>-5.8292286318817332</v>
      </c>
      <c r="G133">
        <f t="shared" ref="G133:G196" si="15" xml:space="preserve"> (F134-F133)/$A133</f>
        <v>-26.497288835969357</v>
      </c>
      <c r="H133">
        <f>Main!O133</f>
        <v>5.3476530000000002</v>
      </c>
    </row>
    <row r="134" spans="1:8" x14ac:dyDescent="0.25">
      <c r="A134">
        <f>Main!$K$2</f>
        <v>0.02</v>
      </c>
      <c r="B134">
        <f>Main!W134</f>
        <v>125.86724301568898</v>
      </c>
      <c r="C134">
        <f>Main!X134</f>
        <v>276.03513638027044</v>
      </c>
      <c r="D134">
        <f t="shared" si="12"/>
        <v>136.93196692815019</v>
      </c>
      <c r="E134">
        <f t="shared" si="13"/>
        <v>66.76413839796993</v>
      </c>
      <c r="F134">
        <f t="shared" si="14"/>
        <v>-6.3591744086011204</v>
      </c>
      <c r="G134">
        <f t="shared" si="15"/>
        <v>-24.841446567336334</v>
      </c>
      <c r="H134">
        <f>Main!O134</f>
        <v>5.3297189999999999</v>
      </c>
    </row>
    <row r="135" spans="1:8" x14ac:dyDescent="0.25">
      <c r="A135">
        <f>Main!$K$2</f>
        <v>0.02</v>
      </c>
      <c r="B135">
        <f>Main!W135</f>
        <v>126.62245245730449</v>
      </c>
      <c r="C135">
        <f>Main!X135</f>
        <v>274.9339375927193</v>
      </c>
      <c r="D135">
        <f t="shared" si="12"/>
        <v>138.26724969610959</v>
      </c>
      <c r="E135">
        <f t="shared" si="13"/>
        <v>66.636954909797907</v>
      </c>
      <c r="F135">
        <f t="shared" si="14"/>
        <v>-6.8560033399478471</v>
      </c>
      <c r="G135">
        <f t="shared" si="15"/>
        <v>-24.841644645334782</v>
      </c>
      <c r="H135">
        <f>Main!O135</f>
        <v>5.3119610000000002</v>
      </c>
    </row>
    <row r="136" spans="1:8" x14ac:dyDescent="0.25">
      <c r="A136">
        <f>Main!$K$2</f>
        <v>0.02</v>
      </c>
      <c r="B136">
        <f>Main!W136</f>
        <v>127.35676697010783</v>
      </c>
      <c r="C136">
        <f>Main!X136</f>
        <v>273.82174349988003</v>
      </c>
      <c r="D136">
        <f t="shared" si="12"/>
        <v>139.59998879430555</v>
      </c>
      <c r="E136">
        <f t="shared" si="13"/>
        <v>66.499834842998951</v>
      </c>
      <c r="F136">
        <f t="shared" si="14"/>
        <v>-7.3528362328545427</v>
      </c>
      <c r="G136">
        <f t="shared" si="15"/>
        <v>-16.561594772923627</v>
      </c>
      <c r="H136">
        <f>Main!O136</f>
        <v>5.2943949999999997</v>
      </c>
    </row>
    <row r="137" spans="1:8" x14ac:dyDescent="0.25">
      <c r="A137">
        <f>Main!$K$2</f>
        <v>0.02</v>
      </c>
      <c r="B137">
        <f>Main!W137</f>
        <v>128.07015731177464</v>
      </c>
      <c r="C137">
        <f>Main!X137</f>
        <v>272.69926168084021</v>
      </c>
      <c r="D137">
        <f t="shared" si="12"/>
        <v>140.92998549116552</v>
      </c>
      <c r="E137">
        <f t="shared" si="13"/>
        <v>66.35277811834186</v>
      </c>
      <c r="F137">
        <f t="shared" si="14"/>
        <v>-7.6840681283130152</v>
      </c>
      <c r="G137">
        <f t="shared" si="15"/>
        <v>-21.529904561390367</v>
      </c>
      <c r="H137">
        <f>Main!O137</f>
        <v>5.2770359999999998</v>
      </c>
    </row>
    <row r="138" spans="1:8" x14ac:dyDescent="0.25">
      <c r="A138">
        <f>Main!$K$2</f>
        <v>0.02</v>
      </c>
      <c r="B138">
        <f>Main!W138</f>
        <v>128.76263354909165</v>
      </c>
      <c r="C138">
        <f>Main!X138</f>
        <v>271.56720464766562</v>
      </c>
      <c r="D138">
        <f t="shared" si="12"/>
        <v>142.25704105353236</v>
      </c>
      <c r="E138">
        <f t="shared" si="13"/>
        <v>66.199096755775599</v>
      </c>
      <c r="F138">
        <f t="shared" si="14"/>
        <v>-8.1146662195408226</v>
      </c>
      <c r="G138">
        <f t="shared" si="15"/>
        <v>-16.561908168455375</v>
      </c>
      <c r="H138">
        <f>Main!O138</f>
        <v>5.2598989999999999</v>
      </c>
    </row>
    <row r="139" spans="1:8" x14ac:dyDescent="0.25">
      <c r="A139">
        <f>Main!$K$2</f>
        <v>0.02</v>
      </c>
      <c r="B139">
        <f>Main!W139</f>
        <v>129.43427381390666</v>
      </c>
      <c r="C139">
        <f>Main!X139</f>
        <v>270.42622808384345</v>
      </c>
      <c r="D139">
        <f t="shared" si="12"/>
        <v>143.58102298864787</v>
      </c>
      <c r="E139">
        <f t="shared" si="13"/>
        <v>66.036803431384783</v>
      </c>
      <c r="F139">
        <f t="shared" si="14"/>
        <v>-8.4459043829099301</v>
      </c>
      <c r="G139">
        <f t="shared" si="15"/>
        <v>-9.9377824831492489</v>
      </c>
      <c r="H139">
        <f>Main!O139</f>
        <v>5.2429940000000004</v>
      </c>
    </row>
    <row r="140" spans="1:8" x14ac:dyDescent="0.25">
      <c r="A140">
        <f>Main!$K$2</f>
        <v>0.02</v>
      </c>
      <c r="B140">
        <f>Main!W140</f>
        <v>130.08516995700992</v>
      </c>
      <c r="C140">
        <f>Main!X140</f>
        <v>269.27702054215769</v>
      </c>
      <c r="D140">
        <f t="shared" si="12"/>
        <v>144.90175905727557</v>
      </c>
      <c r="E140">
        <f t="shared" si="13"/>
        <v>65.867885343726584</v>
      </c>
      <c r="F140">
        <f t="shared" si="14"/>
        <v>-8.644660032572915</v>
      </c>
      <c r="G140">
        <f t="shared" si="15"/>
        <v>-16.562156858412891</v>
      </c>
      <c r="H140">
        <f>Main!O140</f>
        <v>5.2263339999999996</v>
      </c>
    </row>
    <row r="141" spans="1:8" x14ac:dyDescent="0.25">
      <c r="A141">
        <f>Main!$K$2</f>
        <v>0.02</v>
      </c>
      <c r="B141">
        <f>Main!W141</f>
        <v>130.71546518792729</v>
      </c>
      <c r="C141">
        <f>Main!X141</f>
        <v>268.12023220812915</v>
      </c>
      <c r="D141">
        <f t="shared" si="12"/>
        <v>146.2191167641501</v>
      </c>
      <c r="E141">
        <f t="shared" si="13"/>
        <v>65.694992143075126</v>
      </c>
      <c r="F141">
        <f t="shared" si="14"/>
        <v>-8.9759031697411729</v>
      </c>
      <c r="G141">
        <f t="shared" si="15"/>
        <v>-6.6258299469268422</v>
      </c>
      <c r="H141">
        <f>Main!O141</f>
        <v>5.2099289999999998</v>
      </c>
    </row>
    <row r="142" spans="1:8" x14ac:dyDescent="0.25">
      <c r="A142">
        <f>Main!$K$2</f>
        <v>0.02</v>
      </c>
      <c r="B142">
        <f>Main!W142</f>
        <v>131.32535300531168</v>
      </c>
      <c r="C142">
        <f>Main!X142</f>
        <v>266.95645832662228</v>
      </c>
      <c r="D142">
        <f t="shared" si="12"/>
        <v>147.5330166070116</v>
      </c>
      <c r="E142">
        <f t="shared" si="13"/>
        <v>65.515474079680303</v>
      </c>
      <c r="F142">
        <f t="shared" si="14"/>
        <v>-9.1084197686797097</v>
      </c>
      <c r="G142">
        <f t="shared" si="15"/>
        <v>-11.59413031714962</v>
      </c>
      <c r="H142">
        <f>Main!O142</f>
        <v>5.1937850000000001</v>
      </c>
    </row>
    <row r="143" spans="1:8" x14ac:dyDescent="0.25">
      <c r="A143">
        <f>Main!$K$2</f>
        <v>0.02</v>
      </c>
      <c r="B143">
        <f>Main!W143</f>
        <v>131.91502917643462</v>
      </c>
      <c r="C143">
        <f>Main!X143</f>
        <v>265.78633314068537</v>
      </c>
      <c r="D143">
        <f t="shared" si="12"/>
        <v>148.84332608860521</v>
      </c>
      <c r="E143">
        <f t="shared" si="13"/>
        <v>65.333305684306708</v>
      </c>
      <c r="F143">
        <f t="shared" si="14"/>
        <v>-9.3403023750227021</v>
      </c>
      <c r="G143">
        <f t="shared" si="15"/>
        <v>-1.6576834092063564</v>
      </c>
      <c r="H143">
        <f>Main!O143</f>
        <v>5.1779120000000001</v>
      </c>
    </row>
    <row r="144" spans="1:8" x14ac:dyDescent="0.25">
      <c r="A144">
        <f>Main!$K$2</f>
        <v>0.02</v>
      </c>
      <c r="B144">
        <f>Main!W144</f>
        <v>132.48474665160603</v>
      </c>
      <c r="C144">
        <f>Main!X144</f>
        <v>264.61040868259295</v>
      </c>
      <c r="D144">
        <f t="shared" si="12"/>
        <v>150.14999220229134</v>
      </c>
      <c r="E144">
        <f t="shared" si="13"/>
        <v>65.146499636806254</v>
      </c>
      <c r="F144">
        <f t="shared" si="14"/>
        <v>-9.3734560432068292</v>
      </c>
      <c r="G144">
        <f t="shared" si="15"/>
        <v>-8.2820607048006423</v>
      </c>
      <c r="H144">
        <f>Main!O144</f>
        <v>5.1623140000000003</v>
      </c>
    </row>
    <row r="145" spans="1:8" x14ac:dyDescent="0.25">
      <c r="A145">
        <f>Main!$K$2</f>
        <v>0.02</v>
      </c>
      <c r="B145">
        <f>Main!W145</f>
        <v>133.03476208026848</v>
      </c>
      <c r="C145">
        <f>Main!X145</f>
        <v>263.42926110747601</v>
      </c>
      <c r="D145">
        <f t="shared" si="12"/>
        <v>151.45292219502747</v>
      </c>
      <c r="E145">
        <f t="shared" si="13"/>
        <v>64.959030515942118</v>
      </c>
      <c r="F145">
        <f t="shared" si="14"/>
        <v>-9.5390972573028421</v>
      </c>
      <c r="G145">
        <f t="shared" si="15"/>
        <v>-1.6577132804229677</v>
      </c>
      <c r="H145">
        <f>Main!O145</f>
        <v>5.146998</v>
      </c>
    </row>
    <row r="146" spans="1:8" x14ac:dyDescent="0.25">
      <c r="A146">
        <f>Main!$K$2</f>
        <v>0.02</v>
      </c>
      <c r="B146">
        <f>Main!W146</f>
        <v>133.56538050286332</v>
      </c>
      <c r="C146">
        <f>Main!X146</f>
        <v>262.24337985379526</v>
      </c>
      <c r="D146">
        <f t="shared" si="12"/>
        <v>152.75210280534631</v>
      </c>
      <c r="E146">
        <f t="shared" si="13"/>
        <v>64.768248570796061</v>
      </c>
      <c r="F146">
        <f t="shared" si="14"/>
        <v>-9.5722515229113014</v>
      </c>
      <c r="G146">
        <f t="shared" si="15"/>
        <v>-1.597161514155232E-3</v>
      </c>
      <c r="H146">
        <f>Main!O146</f>
        <v>5.1319650000000001</v>
      </c>
    </row>
    <row r="147" spans="1:8" x14ac:dyDescent="0.25">
      <c r="A147">
        <f>Main!$K$2</f>
        <v>0.02</v>
      </c>
      <c r="B147">
        <f>Main!W147</f>
        <v>134.07690102054173</v>
      </c>
      <c r="C147">
        <f>Main!X147</f>
        <v>261.05328860974487</v>
      </c>
      <c r="D147">
        <f t="shared" si="12"/>
        <v>154.04746777676223</v>
      </c>
      <c r="E147">
        <f t="shared" si="13"/>
        <v>64.576803540337835</v>
      </c>
      <c r="F147">
        <f t="shared" si="14"/>
        <v>-9.5722834661415845</v>
      </c>
      <c r="G147">
        <f t="shared" si="15"/>
        <v>-1.6576838532955662</v>
      </c>
      <c r="H147">
        <f>Main!O147</f>
        <v>5.1172199999999997</v>
      </c>
    </row>
    <row r="148" spans="1:8" x14ac:dyDescent="0.25">
      <c r="A148">
        <f>Main!$K$2</f>
        <v>0.02</v>
      </c>
      <c r="B148">
        <f>Main!W148</f>
        <v>134.569656021409</v>
      </c>
      <c r="C148">
        <f>Main!X148</f>
        <v>259.85944694046236</v>
      </c>
      <c r="D148">
        <f t="shared" si="12"/>
        <v>155.33900384756899</v>
      </c>
      <c r="E148">
        <f t="shared" si="13"/>
        <v>64.385357871015003</v>
      </c>
      <c r="F148">
        <f t="shared" si="14"/>
        <v>-9.6054371432074959</v>
      </c>
      <c r="G148">
        <f t="shared" si="15"/>
        <v>1.6545620020735896</v>
      </c>
      <c r="H148">
        <f>Main!O148</f>
        <v>5.1027639999999996</v>
      </c>
    </row>
    <row r="149" spans="1:8" x14ac:dyDescent="0.25">
      <c r="A149">
        <f>Main!$K$2</f>
        <v>0.02</v>
      </c>
      <c r="B149">
        <f>Main!W149</f>
        <v>135.04399130872861</v>
      </c>
      <c r="C149">
        <f>Main!X149</f>
        <v>258.66228539811527</v>
      </c>
      <c r="D149">
        <f t="shared" si="12"/>
        <v>156.62671100498929</v>
      </c>
      <c r="E149">
        <f t="shared" si="13"/>
        <v>64.193249128150853</v>
      </c>
      <c r="F149">
        <f t="shared" si="14"/>
        <v>-9.5723459031660241</v>
      </c>
      <c r="G149">
        <f t="shared" si="15"/>
        <v>3.3107271590893106</v>
      </c>
      <c r="H149">
        <f>Main!O149</f>
        <v>5.088597</v>
      </c>
    </row>
    <row r="150" spans="1:8" x14ac:dyDescent="0.25">
      <c r="A150">
        <f>Main!$K$2</f>
        <v>0.02</v>
      </c>
      <c r="B150">
        <f>Main!W150</f>
        <v>135.50025620902278</v>
      </c>
      <c r="C150">
        <f>Main!X150</f>
        <v>257.46223055178069</v>
      </c>
      <c r="D150">
        <f t="shared" si="12"/>
        <v>157.91057598755231</v>
      </c>
      <c r="E150">
        <f t="shared" si="13"/>
        <v>64.001802210087533</v>
      </c>
      <c r="F150">
        <f t="shared" si="14"/>
        <v>-9.5061313599842379</v>
      </c>
      <c r="G150">
        <f t="shared" si="15"/>
        <v>1.6546560566155222</v>
      </c>
      <c r="H150">
        <f>Main!O150</f>
        <v>5.0747200000000001</v>
      </c>
    </row>
    <row r="151" spans="1:8" x14ac:dyDescent="0.25">
      <c r="A151">
        <f>Main!$K$2</f>
        <v>0.02</v>
      </c>
      <c r="B151">
        <f>Main!W151</f>
        <v>135.93881533185805</v>
      </c>
      <c r="C151">
        <f>Main!X151</f>
        <v>256.25966738494344</v>
      </c>
      <c r="D151">
        <f t="shared" si="12"/>
        <v>159.19061203175406</v>
      </c>
      <c r="E151">
        <f t="shared" si="13"/>
        <v>63.811679582887848</v>
      </c>
      <c r="F151">
        <f t="shared" si="14"/>
        <v>-9.4730382388519274</v>
      </c>
      <c r="G151">
        <f t="shared" si="15"/>
        <v>6.6230961159874369</v>
      </c>
      <c r="H151">
        <f>Main!O151</f>
        <v>5.0611319999999997</v>
      </c>
    </row>
    <row r="152" spans="1:8" x14ac:dyDescent="0.25">
      <c r="A152">
        <f>Main!$K$2</f>
        <v>0.02</v>
      </c>
      <c r="B152">
        <f>Main!W152</f>
        <v>136.36004086377193</v>
      </c>
      <c r="C152">
        <f>Main!X152</f>
        <v>255.05495113962277</v>
      </c>
      <c r="D152">
        <f t="shared" si="12"/>
        <v>160.46684562341181</v>
      </c>
      <c r="E152">
        <f t="shared" si="13"/>
        <v>63.622218818110809</v>
      </c>
      <c r="F152">
        <f t="shared" si="14"/>
        <v>-9.3405763165321787</v>
      </c>
      <c r="G152">
        <f t="shared" si="15"/>
        <v>3.3109044075274596</v>
      </c>
      <c r="H152">
        <f>Main!O152</f>
        <v>5.0478310000000004</v>
      </c>
    </row>
    <row r="153" spans="1:8" x14ac:dyDescent="0.25">
      <c r="A153">
        <f>Main!$K$2</f>
        <v>0.02</v>
      </c>
      <c r="B153">
        <f>Main!W153</f>
        <v>136.76430381691972</v>
      </c>
      <c r="C153">
        <f>Main!X153</f>
        <v>253.84843294429871</v>
      </c>
      <c r="D153">
        <f t="shared" si="12"/>
        <v>161.73928999977403</v>
      </c>
      <c r="E153">
        <f t="shared" si="13"/>
        <v>63.435407291780166</v>
      </c>
      <c r="F153">
        <f t="shared" si="14"/>
        <v>-9.2743582283816295</v>
      </c>
      <c r="G153">
        <f t="shared" si="15"/>
        <v>6.6232425695034181</v>
      </c>
      <c r="H153">
        <f>Main!O153</f>
        <v>5.0348160000000002</v>
      </c>
    </row>
    <row r="154" spans="1:8" x14ac:dyDescent="0.25">
      <c r="A154">
        <f>Main!$K$2</f>
        <v>0.02</v>
      </c>
      <c r="B154">
        <f>Main!W154</f>
        <v>137.15198733565171</v>
      </c>
      <c r="C154">
        <f>Main!X154</f>
        <v>252.64040900057358</v>
      </c>
      <c r="D154">
        <f t="shared" si="12"/>
        <v>163.00799814560963</v>
      </c>
      <c r="E154">
        <f t="shared" si="13"/>
        <v>63.249920127212533</v>
      </c>
      <c r="F154">
        <f t="shared" si="14"/>
        <v>-9.1418933769915611</v>
      </c>
      <c r="G154">
        <f t="shared" si="15"/>
        <v>8.2794687230602904</v>
      </c>
      <c r="H154">
        <f>Main!O154</f>
        <v>5.0220830000000003</v>
      </c>
    </row>
    <row r="155" spans="1:8" x14ac:dyDescent="0.25">
      <c r="A155">
        <f>Main!$K$2</f>
        <v>0.02</v>
      </c>
      <c r="B155">
        <f>Main!W155</f>
        <v>137.52346647988972</v>
      </c>
      <c r="C155">
        <f>Main!X155</f>
        <v>251.43118437138523</v>
      </c>
      <c r="D155">
        <f t="shared" si="12"/>
        <v>164.27299654815388</v>
      </c>
      <c r="E155">
        <f t="shared" si="13"/>
        <v>63.067082259672702</v>
      </c>
      <c r="F155">
        <f t="shared" si="14"/>
        <v>-8.9763040025303553</v>
      </c>
      <c r="G155">
        <f t="shared" si="15"/>
        <v>3.311104702419243</v>
      </c>
      <c r="H155">
        <f>Main!O155</f>
        <v>5.0096299999999996</v>
      </c>
    </row>
    <row r="156" spans="1:8" x14ac:dyDescent="0.25">
      <c r="A156">
        <f>Main!$K$2</f>
        <v>0.02</v>
      </c>
      <c r="B156">
        <f>Main!W156</f>
        <v>137.87912216185012</v>
      </c>
      <c r="C156">
        <f>Main!X156</f>
        <v>250.22102248891304</v>
      </c>
      <c r="D156">
        <f t="shared" si="12"/>
        <v>165.53433819334734</v>
      </c>
      <c r="E156">
        <f t="shared" si="13"/>
        <v>62.887556179622095</v>
      </c>
      <c r="F156">
        <f t="shared" si="14"/>
        <v>-8.9100819084819705</v>
      </c>
      <c r="G156">
        <f t="shared" si="15"/>
        <v>9.9357747309625211</v>
      </c>
      <c r="H156">
        <f>Main!O156</f>
        <v>4.9974530000000001</v>
      </c>
    </row>
    <row r="157" spans="1:8" x14ac:dyDescent="0.25">
      <c r="A157">
        <f>Main!$K$2</f>
        <v>0.02</v>
      </c>
      <c r="B157">
        <f>Main!W157</f>
        <v>138.21933453591188</v>
      </c>
      <c r="C157">
        <f>Main!X157</f>
        <v>249.01015774442945</v>
      </c>
      <c r="D157">
        <f t="shared" si="12"/>
        <v>166.79208931693978</v>
      </c>
      <c r="E157">
        <f t="shared" si="13"/>
        <v>62.709354541452456</v>
      </c>
      <c r="F157">
        <f t="shared" si="14"/>
        <v>-8.71136641386272</v>
      </c>
      <c r="G157">
        <f t="shared" si="15"/>
        <v>8.2797113698518388</v>
      </c>
      <c r="H157">
        <f>Main!O157</f>
        <v>4.9855470000000004</v>
      </c>
    </row>
    <row r="158" spans="1:8" x14ac:dyDescent="0.25">
      <c r="A158">
        <f>Main!$K$2</f>
        <v>0.02</v>
      </c>
      <c r="B158">
        <f>Main!W158</f>
        <v>138.54447135694079</v>
      </c>
      <c r="C158">
        <f>Main!X158</f>
        <v>247.7988479960936</v>
      </c>
      <c r="D158">
        <f t="shared" si="12"/>
        <v>168.04627640776883</v>
      </c>
      <c r="E158">
        <f t="shared" si="13"/>
        <v>62.535127213175201</v>
      </c>
      <c r="F158">
        <f t="shared" si="14"/>
        <v>-8.5457721864656833</v>
      </c>
      <c r="G158">
        <f t="shared" si="15"/>
        <v>8.2797914870980094</v>
      </c>
      <c r="H158">
        <f>Main!O158</f>
        <v>4.9739100000000001</v>
      </c>
    </row>
    <row r="159" spans="1:8" x14ac:dyDescent="0.25">
      <c r="A159">
        <f>Main!$K$2</f>
        <v>0.02</v>
      </c>
      <c r="B159">
        <f>Main!W159</f>
        <v>138.85490858175126</v>
      </c>
      <c r="C159">
        <f>Main!X159</f>
        <v>246.58728471517131</v>
      </c>
      <c r="D159">
        <f t="shared" si="12"/>
        <v>169.29697895203233</v>
      </c>
      <c r="E159">
        <f t="shared" si="13"/>
        <v>62.364211769445888</v>
      </c>
      <c r="F159">
        <f t="shared" si="14"/>
        <v>-8.3801763567237231</v>
      </c>
      <c r="G159">
        <f t="shared" si="15"/>
        <v>6.6237013527370436</v>
      </c>
      <c r="H159">
        <f>Main!O159</f>
        <v>4.9625360000000001</v>
      </c>
    </row>
    <row r="160" spans="1:8" x14ac:dyDescent="0.25">
      <c r="A160">
        <f>Main!$K$2</f>
        <v>0.02</v>
      </c>
      <c r="B160">
        <f>Main!W160</f>
        <v>139.15101250238624</v>
      </c>
      <c r="C160">
        <f>Main!X160</f>
        <v>245.37565753157301</v>
      </c>
      <c r="D160">
        <f t="shared" si="12"/>
        <v>170.54426318742125</v>
      </c>
      <c r="E160">
        <f t="shared" si="13"/>
        <v>62.196608242311413</v>
      </c>
      <c r="F160">
        <f t="shared" si="14"/>
        <v>-8.2477023296689822</v>
      </c>
      <c r="G160">
        <f t="shared" si="15"/>
        <v>9.9361053358393292</v>
      </c>
      <c r="H160">
        <f>Main!O160</f>
        <v>4.9514199999999997</v>
      </c>
    </row>
    <row r="161" spans="1:8" x14ac:dyDescent="0.25">
      <c r="A161">
        <f>Main!$K$2</f>
        <v>0.02</v>
      </c>
      <c r="B161">
        <f>Main!W161</f>
        <v>139.43314321003254</v>
      </c>
      <c r="C161">
        <f>Main!X161</f>
        <v>244.16414216041917</v>
      </c>
      <c r="D161">
        <f t="shared" si="12"/>
        <v>171.78819535226748</v>
      </c>
      <c r="E161">
        <f t="shared" si="13"/>
        <v>62.031654195718033</v>
      </c>
      <c r="F161">
        <f t="shared" si="14"/>
        <v>-8.0489802229521956</v>
      </c>
      <c r="G161">
        <f t="shared" si="15"/>
        <v>8.2800125582593864</v>
      </c>
      <c r="H161">
        <f>Main!O161</f>
        <v>4.9405570000000001</v>
      </c>
    </row>
    <row r="162" spans="1:8" x14ac:dyDescent="0.25">
      <c r="A162">
        <f>Main!$K$2</f>
        <v>0.02</v>
      </c>
      <c r="B162">
        <f>Main!W162</f>
        <v>139.7016525744294</v>
      </c>
      <c r="C162">
        <f>Main!X162</f>
        <v>242.95291420081205</v>
      </c>
      <c r="D162">
        <f t="shared" si="12"/>
        <v>173.02882843618184</v>
      </c>
      <c r="E162">
        <f t="shared" si="13"/>
        <v>61.870674591258989</v>
      </c>
      <c r="F162">
        <f t="shared" si="14"/>
        <v>-7.8833799717870079</v>
      </c>
      <c r="G162">
        <f t="shared" si="15"/>
        <v>9.9362572321126663</v>
      </c>
      <c r="H162">
        <f>Main!O162</f>
        <v>4.9299429999999997</v>
      </c>
    </row>
    <row r="163" spans="1:8" x14ac:dyDescent="0.25">
      <c r="A163">
        <f>Main!$K$2</f>
        <v>0.02</v>
      </c>
      <c r="B163">
        <f>Main!W163</f>
        <v>139.95689073977275</v>
      </c>
      <c r="C163">
        <f>Main!X163</f>
        <v>241.74211048893173</v>
      </c>
      <c r="D163">
        <f t="shared" si="12"/>
        <v>174.26624192800702</v>
      </c>
      <c r="E163">
        <f t="shared" si="13"/>
        <v>61.713006991823249</v>
      </c>
      <c r="F163">
        <f t="shared" si="14"/>
        <v>-7.6846548271447546</v>
      </c>
      <c r="G163">
        <f t="shared" si="15"/>
        <v>8.2801507552687781</v>
      </c>
      <c r="H163">
        <f>Main!O163</f>
        <v>4.9195719999999996</v>
      </c>
    </row>
    <row r="164" spans="1:8" x14ac:dyDescent="0.25">
      <c r="A164">
        <f>Main!$K$2</f>
        <v>0.02</v>
      </c>
      <c r="B164">
        <f>Main!W164</f>
        <v>140.19919788279847</v>
      </c>
      <c r="C164">
        <f>Main!X164</f>
        <v>240.5318686365618</v>
      </c>
      <c r="D164">
        <f t="shared" si="12"/>
        <v>175.50050206784348</v>
      </c>
      <c r="E164">
        <f t="shared" si="13"/>
        <v>61.559313895280354</v>
      </c>
      <c r="F164">
        <f t="shared" si="14"/>
        <v>-7.519051812039379</v>
      </c>
      <c r="G164">
        <f t="shared" si="15"/>
        <v>9.936395350962357</v>
      </c>
      <c r="H164">
        <f>Main!O164</f>
        <v>4.9094389999999999</v>
      </c>
    </row>
    <row r="165" spans="1:8" x14ac:dyDescent="0.25">
      <c r="A165">
        <f>Main!$K$2</f>
        <v>0.02</v>
      </c>
      <c r="B165">
        <f>Main!W165</f>
        <v>140.42890857137687</v>
      </c>
      <c r="C165">
        <f>Main!X165</f>
        <v>239.32230150305662</v>
      </c>
      <c r="D165">
        <f t="shared" si="12"/>
        <v>176.73168834574909</v>
      </c>
      <c r="E165">
        <f t="shared" si="13"/>
        <v>61.408932859039567</v>
      </c>
      <c r="F165">
        <f t="shared" si="14"/>
        <v>-7.3203239050201319</v>
      </c>
      <c r="G165">
        <f t="shared" si="15"/>
        <v>6.6240899272429488</v>
      </c>
      <c r="H165">
        <f>Main!O165</f>
        <v>4.8995379999999997</v>
      </c>
    </row>
    <row r="166" spans="1:8" x14ac:dyDescent="0.25">
      <c r="A166">
        <f>Main!$K$2</f>
        <v>0.02</v>
      </c>
      <c r="B166">
        <f>Main!W166</f>
        <v>140.64634738848292</v>
      </c>
      <c r="C166">
        <f>Main!X166</f>
        <v>238.11352394917421</v>
      </c>
      <c r="D166">
        <f t="shared" si="12"/>
        <v>177.95986700292988</v>
      </c>
      <c r="E166">
        <f t="shared" si="13"/>
        <v>61.262526380939164</v>
      </c>
      <c r="F166">
        <f t="shared" si="14"/>
        <v>-7.1878421064752729</v>
      </c>
      <c r="G166">
        <f t="shared" si="15"/>
        <v>11.592704048268843</v>
      </c>
      <c r="H166">
        <f>Main!O166</f>
        <v>4.8898640000000002</v>
      </c>
    </row>
    <row r="167" spans="1:8" x14ac:dyDescent="0.25">
      <c r="A167">
        <f>Main!$K$2</f>
        <v>0.02</v>
      </c>
      <c r="B167">
        <f>Main!W167</f>
        <v>140.85183280068944</v>
      </c>
      <c r="C167">
        <f>Main!X167</f>
        <v>236.90562718173072</v>
      </c>
      <c r="D167">
        <f t="shared" si="12"/>
        <v>179.18511753054867</v>
      </c>
      <c r="E167">
        <f t="shared" si="13"/>
        <v>61.118769538809659</v>
      </c>
      <c r="F167">
        <f t="shared" si="14"/>
        <v>-6.955988025509896</v>
      </c>
      <c r="G167">
        <f t="shared" si="15"/>
        <v>6.6241980967163272</v>
      </c>
      <c r="H167">
        <f>Main!O167</f>
        <v>4.8804109999999996</v>
      </c>
    </row>
    <row r="168" spans="1:8" x14ac:dyDescent="0.25">
      <c r="A168">
        <f>Main!$K$2</f>
        <v>0.02</v>
      </c>
      <c r="B168">
        <f>Main!W168</f>
        <v>141.04567232972798</v>
      </c>
      <c r="C168">
        <f>Main!X168</f>
        <v>235.69871880370141</v>
      </c>
      <c r="D168">
        <f t="shared" si="12"/>
        <v>180.40749292132486</v>
      </c>
      <c r="E168">
        <f t="shared" si="13"/>
        <v>60.979649778299461</v>
      </c>
      <c r="F168">
        <f t="shared" si="14"/>
        <v>-6.8235040635755695</v>
      </c>
      <c r="G168">
        <f t="shared" si="15"/>
        <v>9.9366287642510542</v>
      </c>
      <c r="H168">
        <f>Main!O168</f>
        <v>4.871175</v>
      </c>
    </row>
    <row r="169" spans="1:8" x14ac:dyDescent="0.25">
      <c r="A169">
        <f>Main!$K$2</f>
        <v>0.02</v>
      </c>
      <c r="B169">
        <f>Main!W169</f>
        <v>141.22817029947598</v>
      </c>
      <c r="C169">
        <f>Main!X169</f>
        <v>234.49285746595504</v>
      </c>
      <c r="D169">
        <f t="shared" si="12"/>
        <v>181.62708591689085</v>
      </c>
      <c r="E169">
        <f t="shared" si="13"/>
        <v>60.843179697027949</v>
      </c>
      <c r="F169">
        <f t="shared" si="14"/>
        <v>-6.6247714882905484</v>
      </c>
      <c r="G169">
        <f t="shared" si="15"/>
        <v>-187.56266173980407</v>
      </c>
      <c r="H169">
        <f>Main!O169</f>
        <v>4.8621489999999996</v>
      </c>
    </row>
    <row r="170" spans="1:8" x14ac:dyDescent="0.25">
      <c r="A170">
        <f>Main!$K$2</f>
        <v>0.02</v>
      </c>
      <c r="B170">
        <f>Main!W170</f>
        <v>141.39961809000062</v>
      </c>
      <c r="C170">
        <f>Main!X170</f>
        <v>233.28813232660494</v>
      </c>
      <c r="D170">
        <f t="shared" si="12"/>
        <v>182.84394951083141</v>
      </c>
      <c r="E170">
        <f t="shared" si="13"/>
        <v>60.710684267262138</v>
      </c>
      <c r="F170">
        <f t="shared" si="14"/>
        <v>-10.37602472308663</v>
      </c>
      <c r="G170">
        <f t="shared" si="15"/>
        <v>-386.46848057766192</v>
      </c>
      <c r="H170">
        <f>Main!O170</f>
        <v>4.8533289999999996</v>
      </c>
    </row>
    <row r="171" spans="1:8" x14ac:dyDescent="0.25">
      <c r="A171">
        <f>Main!$K$2</f>
        <v>0.02</v>
      </c>
      <c r="B171">
        <f>Main!W171</f>
        <v>141.56030239066615</v>
      </c>
      <c r="C171">
        <f>Main!X171</f>
        <v>232.08459776989321</v>
      </c>
      <c r="D171">
        <f t="shared" si="12"/>
        <v>184.05816319617665</v>
      </c>
      <c r="E171">
        <f t="shared" si="13"/>
        <v>60.503163772800406</v>
      </c>
      <c r="F171">
        <f t="shared" si="14"/>
        <v>-18.105394334639868</v>
      </c>
      <c r="G171">
        <f t="shared" si="15"/>
        <v>-390.8123909184269</v>
      </c>
      <c r="H171">
        <f>Main!O171</f>
        <v>4.8447089999999999</v>
      </c>
    </row>
    <row r="172" spans="1:8" x14ac:dyDescent="0.25">
      <c r="A172">
        <f>Main!$K$2</f>
        <v>0.02</v>
      </c>
      <c r="B172">
        <f>Main!W172</f>
        <v>141.71031856979027</v>
      </c>
      <c r="C172">
        <f>Main!X172</f>
        <v>230.88386954227119</v>
      </c>
      <c r="D172">
        <f t="shared" si="12"/>
        <v>185.26822647163266</v>
      </c>
      <c r="E172">
        <f t="shared" si="13"/>
        <v>60.141055886107608</v>
      </c>
      <c r="F172">
        <f t="shared" si="14"/>
        <v>-25.921642153008406</v>
      </c>
      <c r="G172">
        <f t="shared" si="15"/>
        <v>-389.03129165390737</v>
      </c>
      <c r="H172">
        <f>Main!O172</f>
        <v>4.8362949999999998</v>
      </c>
    </row>
    <row r="173" spans="1:8" x14ac:dyDescent="0.25">
      <c r="A173">
        <f>Main!$K$2</f>
        <v>0.02</v>
      </c>
      <c r="B173">
        <f>Main!W173</f>
        <v>141.84963196375344</v>
      </c>
      <c r="C173">
        <f>Main!X173</f>
        <v>229.68914345671817</v>
      </c>
      <c r="D173">
        <f t="shared" si="12"/>
        <v>186.47104758935481</v>
      </c>
      <c r="E173">
        <f t="shared" si="13"/>
        <v>59.62262304304744</v>
      </c>
      <c r="F173">
        <f t="shared" si="14"/>
        <v>-33.702267986086554</v>
      </c>
      <c r="G173">
        <f t="shared" si="15"/>
        <v>-384.31276469452769</v>
      </c>
      <c r="H173">
        <f>Main!O173</f>
        <v>4.8281020000000003</v>
      </c>
    </row>
    <row r="174" spans="1:8" x14ac:dyDescent="0.25">
      <c r="A174">
        <f>Main!$K$2</f>
        <v>0.02</v>
      </c>
      <c r="B174">
        <f>Main!W174</f>
        <v>141.97829330454988</v>
      </c>
      <c r="C174">
        <f>Main!X174</f>
        <v>228.50365236404906</v>
      </c>
      <c r="D174">
        <f t="shared" si="12"/>
        <v>187.66350005021576</v>
      </c>
      <c r="E174">
        <f t="shared" si="13"/>
        <v>58.948577683325709</v>
      </c>
      <c r="F174">
        <f t="shared" si="14"/>
        <v>-41.388523279977107</v>
      </c>
      <c r="G174">
        <f t="shared" si="15"/>
        <v>-385.84404381225568</v>
      </c>
      <c r="H174">
        <f>Main!O174</f>
        <v>4.820144</v>
      </c>
    </row>
    <row r="175" spans="1:8" x14ac:dyDescent="0.25">
      <c r="A175">
        <f>Main!$K$2</f>
        <v>0.02</v>
      </c>
      <c r="B175">
        <f>Main!W175</f>
        <v>142.09643871388141</v>
      </c>
      <c r="C175">
        <f>Main!X175</f>
        <v>227.33061545644185</v>
      </c>
      <c r="D175">
        <f t="shared" si="12"/>
        <v>188.84247160388227</v>
      </c>
      <c r="E175">
        <f t="shared" si="13"/>
        <v>58.120807217726167</v>
      </c>
      <c r="F175">
        <f t="shared" si="14"/>
        <v>-49.105404156222221</v>
      </c>
      <c r="G175">
        <f t="shared" si="15"/>
        <v>-381.00047678923943</v>
      </c>
      <c r="H175">
        <f>Main!O175</f>
        <v>4.8124339999999997</v>
      </c>
    </row>
    <row r="176" spans="1:8" x14ac:dyDescent="0.25">
      <c r="A176">
        <f>Main!$K$2</f>
        <v>0.02</v>
      </c>
      <c r="B176">
        <f>Main!W176</f>
        <v>142.20428292308799</v>
      </c>
      <c r="C176">
        <f>Main!X176</f>
        <v>226.17321279565493</v>
      </c>
      <c r="D176">
        <f t="shared" si="12"/>
        <v>190.0048877482368</v>
      </c>
      <c r="E176">
        <f t="shared" si="13"/>
        <v>57.138699134601723</v>
      </c>
      <c r="F176">
        <f t="shared" si="14"/>
        <v>-56.72541369200701</v>
      </c>
      <c r="G176">
        <f t="shared" si="15"/>
        <v>-380.75052082575667</v>
      </c>
      <c r="H176">
        <f>Main!O176</f>
        <v>4.8049819999999999</v>
      </c>
    </row>
    <row r="177" spans="1:8" x14ac:dyDescent="0.25">
      <c r="A177">
        <f>Main!$K$2</f>
        <v>0.02</v>
      </c>
      <c r="B177">
        <f>Main!W177</f>
        <v>142.30210921439286</v>
      </c>
      <c r="C177">
        <f>Main!X177</f>
        <v>225.03463368454874</v>
      </c>
      <c r="D177">
        <f t="shared" si="12"/>
        <v>191.14766173092883</v>
      </c>
      <c r="E177">
        <f t="shared" si="13"/>
        <v>56.004190860761582</v>
      </c>
      <c r="F177">
        <f t="shared" si="14"/>
        <v>-64.340424108522143</v>
      </c>
      <c r="G177">
        <f t="shared" si="15"/>
        <v>-376.031902604268</v>
      </c>
      <c r="H177">
        <f>Main!O177</f>
        <v>4.7977990000000004</v>
      </c>
    </row>
    <row r="178" spans="1:8" x14ac:dyDescent="0.25">
      <c r="A178">
        <f>Main!$K$2</f>
        <v>0.02</v>
      </c>
      <c r="B178">
        <f>Main!W178</f>
        <v>142.39026499320752</v>
      </c>
      <c r="C178">
        <f>Main!X178</f>
        <v>223.91802439018969</v>
      </c>
      <c r="D178">
        <f t="shared" si="12"/>
        <v>192.26774554814406</v>
      </c>
      <c r="E178">
        <f t="shared" si="13"/>
        <v>54.71738237859114</v>
      </c>
      <c r="F178">
        <f t="shared" si="14"/>
        <v>-71.861062160607503</v>
      </c>
      <c r="G178">
        <f t="shared" si="15"/>
        <v>-380.87557941324235</v>
      </c>
      <c r="H178">
        <f>Main!O178</f>
        <v>4.7908929999999996</v>
      </c>
    </row>
    <row r="179" spans="1:8" x14ac:dyDescent="0.25">
      <c r="A179">
        <f>Main!$K$2</f>
        <v>0.02</v>
      </c>
      <c r="B179">
        <f>Main!W179</f>
        <v>142.46915194876064</v>
      </c>
      <c r="C179">
        <f>Main!X179</f>
        <v>222.82652376170176</v>
      </c>
      <c r="D179">
        <f t="shared" si="12"/>
        <v>193.36209319571589</v>
      </c>
      <c r="E179">
        <f t="shared" si="13"/>
        <v>53.280161135378989</v>
      </c>
      <c r="F179">
        <f t="shared" si="14"/>
        <v>-79.47857374887235</v>
      </c>
      <c r="G179">
        <f t="shared" si="15"/>
        <v>-372.46948620150988</v>
      </c>
      <c r="H179">
        <f>Main!O179</f>
        <v>4.7842719999999996</v>
      </c>
    </row>
    <row r="180" spans="1:8" x14ac:dyDescent="0.25">
      <c r="A180">
        <f>Main!$K$2</f>
        <v>0.02</v>
      </c>
      <c r="B180">
        <f>Main!W180</f>
        <v>142.53921934306155</v>
      </c>
      <c r="C180">
        <f>Main!X180</f>
        <v>221.76322663083914</v>
      </c>
      <c r="D180">
        <f t="shared" si="12"/>
        <v>194.42769641842347</v>
      </c>
      <c r="E180">
        <f t="shared" si="13"/>
        <v>51.690589660401542</v>
      </c>
      <c r="F180">
        <f t="shared" si="14"/>
        <v>-86.927963472902547</v>
      </c>
      <c r="G180">
        <f t="shared" si="15"/>
        <v>-379.46938239485917</v>
      </c>
      <c r="H180">
        <f>Main!O180</f>
        <v>4.7779410000000002</v>
      </c>
    </row>
    <row r="181" spans="1:8" x14ac:dyDescent="0.25">
      <c r="A181">
        <f>Main!$K$2</f>
        <v>0.02</v>
      </c>
      <c r="B181">
        <f>Main!W181</f>
        <v>142.60095518588523</v>
      </c>
      <c r="C181">
        <f>Main!X181</f>
        <v>220.73125981476082</v>
      </c>
      <c r="D181">
        <f t="shared" si="12"/>
        <v>195.4615082116315</v>
      </c>
      <c r="E181">
        <f t="shared" si="13"/>
        <v>49.952030390943492</v>
      </c>
      <c r="F181">
        <f t="shared" si="14"/>
        <v>-94.517351120799731</v>
      </c>
      <c r="G181">
        <f t="shared" si="15"/>
        <v>-372.46947633562399</v>
      </c>
      <c r="H181">
        <f>Main!O181</f>
        <v>4.7719079999999998</v>
      </c>
    </row>
    <row r="182" spans="1:8" x14ac:dyDescent="0.25">
      <c r="A182">
        <f>Main!$K$2</f>
        <v>0.02</v>
      </c>
      <c r="B182">
        <f>Main!W182</f>
        <v>142.65488204976177</v>
      </c>
      <c r="C182">
        <f>Main!X182</f>
        <v>219.7336757183441</v>
      </c>
      <c r="D182">
        <f t="shared" si="12"/>
        <v>196.46054881945037</v>
      </c>
      <c r="E182">
        <f t="shared" si="13"/>
        <v>48.061683368527497</v>
      </c>
      <c r="F182">
        <f t="shared" si="14"/>
        <v>-101.96674064751221</v>
      </c>
      <c r="G182">
        <f t="shared" si="15"/>
        <v>-376.03192040336353</v>
      </c>
      <c r="H182">
        <f>Main!O182</f>
        <v>4.7661759999999997</v>
      </c>
    </row>
    <row r="183" spans="1:8" x14ac:dyDescent="0.25">
      <c r="A183">
        <f>Main!$K$2</f>
        <v>0.02</v>
      </c>
      <c r="B183">
        <f>Main!W183</f>
        <v>142.70154676878465</v>
      </c>
      <c r="C183">
        <f>Main!X183</f>
        <v>218.77357542812169</v>
      </c>
      <c r="D183">
        <f t="shared" si="12"/>
        <v>197.42178248682092</v>
      </c>
      <c r="E183">
        <f t="shared" si="13"/>
        <v>46.022348555577253</v>
      </c>
      <c r="F183">
        <f t="shared" si="14"/>
        <v>-109.48737905557948</v>
      </c>
      <c r="G183">
        <f t="shared" si="15"/>
        <v>-374.12567594685697</v>
      </c>
      <c r="H183">
        <f>Main!O183</f>
        <v>4.7607520000000001</v>
      </c>
    </row>
    <row r="184" spans="1:8" x14ac:dyDescent="0.25">
      <c r="A184">
        <f>Main!$K$2</f>
        <v>0.02</v>
      </c>
      <c r="B184">
        <f>Main!W184</f>
        <v>142.74151674131156</v>
      </c>
      <c r="C184">
        <f>Main!X184</f>
        <v>217.85399670505083</v>
      </c>
      <c r="D184">
        <f t="shared" si="12"/>
        <v>198.34222945793246</v>
      </c>
      <c r="E184">
        <f t="shared" si="13"/>
        <v>43.832600974465663</v>
      </c>
      <c r="F184">
        <f t="shared" si="14"/>
        <v>-116.96989257451662</v>
      </c>
      <c r="G184">
        <f t="shared" si="15"/>
        <v>-376.15689178593925</v>
      </c>
      <c r="H184">
        <f>Main!O184</f>
        <v>4.7556390000000004</v>
      </c>
    </row>
    <row r="185" spans="1:8" x14ac:dyDescent="0.25">
      <c r="A185">
        <f>Main!$K$2</f>
        <v>0.02</v>
      </c>
      <c r="B185">
        <f>Main!W185</f>
        <v>142.77537068754802</v>
      </c>
      <c r="C185">
        <f>Main!X185</f>
        <v>216.97799860368366</v>
      </c>
      <c r="D185">
        <f t="shared" si="12"/>
        <v>199.21888147742177</v>
      </c>
      <c r="E185">
        <f t="shared" si="13"/>
        <v>41.493203122975331</v>
      </c>
      <c r="F185">
        <f t="shared" si="14"/>
        <v>-124.49303041023541</v>
      </c>
      <c r="G185">
        <f t="shared" si="15"/>
        <v>-375.65687310348039</v>
      </c>
      <c r="H185">
        <f>Main!O185</f>
        <v>4.7508419999999996</v>
      </c>
    </row>
    <row r="186" spans="1:8" x14ac:dyDescent="0.25">
      <c r="A186">
        <f>Main!$K$2</f>
        <v>0.02</v>
      </c>
      <c r="B186">
        <f>Main!W186</f>
        <v>142.80369345201777</v>
      </c>
      <c r="C186">
        <f>Main!X186</f>
        <v>216.14861800156265</v>
      </c>
      <c r="D186">
        <f t="shared" si="12"/>
        <v>200.04874553988128</v>
      </c>
      <c r="E186">
        <f t="shared" si="13"/>
        <v>39.003342514770623</v>
      </c>
      <c r="F186">
        <f t="shared" si="14"/>
        <v>-132.00616787230501</v>
      </c>
      <c r="G186">
        <f t="shared" si="15"/>
        <v>-181.84444501656571</v>
      </c>
      <c r="H186">
        <f>Main!O186</f>
        <v>4.7463649999999999</v>
      </c>
    </row>
    <row r="187" spans="1:8" x14ac:dyDescent="0.25">
      <c r="A187">
        <f>Main!$K$2</f>
        <v>0.02</v>
      </c>
      <c r="B187">
        <f>Main!W187</f>
        <v>142.82706889018911</v>
      </c>
      <c r="C187">
        <f>Main!X187</f>
        <v>215.3689014634412</v>
      </c>
      <c r="D187">
        <f t="shared" si="12"/>
        <v>200.82881239017669</v>
      </c>
      <c r="E187">
        <f t="shared" si="13"/>
        <v>36.363219157324522</v>
      </c>
      <c r="F187">
        <f t="shared" si="14"/>
        <v>-135.64305677263633</v>
      </c>
      <c r="G187">
        <f t="shared" si="15"/>
        <v>8.6556026701600786</v>
      </c>
      <c r="H187">
        <f>Main!O187</f>
        <v>4.7422129999999996</v>
      </c>
    </row>
    <row r="188" spans="1:8" x14ac:dyDescent="0.25">
      <c r="A188">
        <f>Main!$K$2</f>
        <v>0.02</v>
      </c>
      <c r="B188">
        <f>Main!W188</f>
        <v>142.8460738450288</v>
      </c>
      <c r="C188">
        <f>Main!X188</f>
        <v>214.64188544251388</v>
      </c>
      <c r="D188">
        <f t="shared" si="12"/>
        <v>201.55607677332318</v>
      </c>
      <c r="E188">
        <f t="shared" si="13"/>
        <v>33.650358021871796</v>
      </c>
      <c r="F188">
        <f t="shared" si="14"/>
        <v>-135.46994471923313</v>
      </c>
      <c r="G188">
        <f t="shared" si="15"/>
        <v>18.468182933162325</v>
      </c>
      <c r="H188">
        <f>Main!O188</f>
        <v>4.738391</v>
      </c>
    </row>
    <row r="189" spans="1:8" x14ac:dyDescent="0.25">
      <c r="A189">
        <f>Main!$K$2</f>
        <v>0.02</v>
      </c>
      <c r="B189">
        <f>Main!W189</f>
        <v>142.86129960236732</v>
      </c>
      <c r="C189">
        <f>Main!X189</f>
        <v>213.96905053385237</v>
      </c>
      <c r="D189">
        <f t="shared" si="12"/>
        <v>202.22908393376062</v>
      </c>
      <c r="E189">
        <f t="shared" si="13"/>
        <v>30.940959127487133</v>
      </c>
      <c r="F189">
        <f t="shared" si="14"/>
        <v>-135.10058106056988</v>
      </c>
      <c r="G189">
        <f t="shared" si="15"/>
        <v>9.8120500879872452</v>
      </c>
      <c r="H189">
        <f>Main!O189</f>
        <v>4.7348939999999997</v>
      </c>
    </row>
    <row r="190" spans="1:8" x14ac:dyDescent="0.25">
      <c r="A190">
        <f>Main!$K$2</f>
        <v>0.02</v>
      </c>
      <c r="B190">
        <f>Main!W190</f>
        <v>142.87332395632595</v>
      </c>
      <c r="C190">
        <f>Main!X190</f>
        <v>213.35034818570472</v>
      </c>
      <c r="D190">
        <f t="shared" si="12"/>
        <v>202.84790311631036</v>
      </c>
      <c r="E190">
        <f t="shared" si="13"/>
        <v>28.238947506275736</v>
      </c>
      <c r="F190">
        <f t="shared" si="14"/>
        <v>-134.90434005881013</v>
      </c>
      <c r="G190">
        <f t="shared" si="15"/>
        <v>16.562098387851165</v>
      </c>
      <c r="H190">
        <f>Main!O190</f>
        <v>4.7317130000000001</v>
      </c>
    </row>
    <row r="191" spans="1:8" x14ac:dyDescent="0.25">
      <c r="A191">
        <f>Main!$K$2</f>
        <v>0.02</v>
      </c>
      <c r="B191">
        <f>Main!W191</f>
        <v>142.88266782309461</v>
      </c>
      <c r="C191">
        <f>Main!X191</f>
        <v>212.78564653469004</v>
      </c>
      <c r="D191">
        <f t="shared" si="12"/>
        <v>203.41268206643588</v>
      </c>
      <c r="E191">
        <f t="shared" si="13"/>
        <v>25.540860705099533</v>
      </c>
      <c r="F191">
        <f t="shared" si="14"/>
        <v>-134.57309809105311</v>
      </c>
      <c r="G191">
        <f t="shared" si="15"/>
        <v>199.15590909747038</v>
      </c>
      <c r="H191">
        <f>Main!O191</f>
        <v>4.7288370000000004</v>
      </c>
    </row>
    <row r="192" spans="1:8" x14ac:dyDescent="0.25">
      <c r="A192">
        <f>Main!$K$2</f>
        <v>0.02</v>
      </c>
      <c r="B192">
        <f>Main!W192</f>
        <v>142.88979714334869</v>
      </c>
      <c r="C192">
        <f>Main!X192</f>
        <v>212.27487907388655</v>
      </c>
      <c r="D192">
        <f t="shared" si="12"/>
        <v>203.92349928053787</v>
      </c>
      <c r="E192">
        <f t="shared" si="13"/>
        <v>22.849398743278471</v>
      </c>
      <c r="F192">
        <f t="shared" si="14"/>
        <v>-130.5899799091037</v>
      </c>
      <c r="G192">
        <f t="shared" si="15"/>
        <v>396.28095898081028</v>
      </c>
      <c r="H192">
        <f>Main!O192</f>
        <v>4.7262599999999999</v>
      </c>
    </row>
    <row r="193" spans="1:8" x14ac:dyDescent="0.25">
      <c r="A193">
        <f>Main!$K$2</f>
        <v>0.02</v>
      </c>
      <c r="B193">
        <f>Main!W193</f>
        <v>142.89512500480959</v>
      </c>
      <c r="C193">
        <f>Main!X193</f>
        <v>211.81792215790432</v>
      </c>
      <c r="D193">
        <f t="shared" si="12"/>
        <v>204.38048725540344</v>
      </c>
      <c r="E193">
        <f t="shared" si="13"/>
        <v>20.237599145096397</v>
      </c>
      <c r="F193">
        <f t="shared" si="14"/>
        <v>-122.6643607294875</v>
      </c>
      <c r="G193">
        <f t="shared" si="15"/>
        <v>400.99978448182583</v>
      </c>
      <c r="H193">
        <f>Main!O193</f>
        <v>4.7239719999999998</v>
      </c>
    </row>
    <row r="194" spans="1:8" x14ac:dyDescent="0.25">
      <c r="A194">
        <f>Main!$K$2</f>
        <v>0.02</v>
      </c>
      <c r="B194">
        <f>Main!W194</f>
        <v>142.89902565254141</v>
      </c>
      <c r="C194">
        <f>Main!X194</f>
        <v>211.41318897096468</v>
      </c>
      <c r="D194">
        <f t="shared" si="12"/>
        <v>204.78523923830537</v>
      </c>
      <c r="E194">
        <f t="shared" si="13"/>
        <v>17.784311930506647</v>
      </c>
      <c r="F194">
        <f t="shared" si="14"/>
        <v>-114.64436503985098</v>
      </c>
      <c r="G194">
        <f t="shared" si="15"/>
        <v>400.49984136913963</v>
      </c>
      <c r="H194">
        <f>Main!O194</f>
        <v>4.7219600000000002</v>
      </c>
    </row>
    <row r="195" spans="1:8" x14ac:dyDescent="0.25">
      <c r="A195">
        <f>Main!$K$2</f>
        <v>0.02</v>
      </c>
      <c r="B195">
        <f>Main!W195</f>
        <v>142.90182541456841</v>
      </c>
      <c r="C195">
        <f>Main!X195</f>
        <v>211.05751375160128</v>
      </c>
      <c r="D195">
        <f t="shared" si="12"/>
        <v>205.1409254769155</v>
      </c>
      <c r="E195">
        <f t="shared" si="13"/>
        <v>15.491424629709627</v>
      </c>
      <c r="F195">
        <f t="shared" si="14"/>
        <v>-106.63436821246819</v>
      </c>
      <c r="G195">
        <f t="shared" si="15"/>
        <v>395.78113868898868</v>
      </c>
      <c r="H195">
        <f>Main!O195</f>
        <v>4.7202029999999997</v>
      </c>
    </row>
    <row r="196" spans="1:8" x14ac:dyDescent="0.25">
      <c r="A196">
        <f>Main!$K$2</f>
        <v>0.02</v>
      </c>
      <c r="B196">
        <f>Main!W196</f>
        <v>142.90379019505565</v>
      </c>
      <c r="C196">
        <f>Main!X196</f>
        <v>210.74769148890729</v>
      </c>
      <c r="D196">
        <f t="shared" si="12"/>
        <v>205.45075396950969</v>
      </c>
      <c r="E196">
        <f t="shared" si="13"/>
        <v>13.358737265460263</v>
      </c>
      <c r="F196">
        <f t="shared" si="14"/>
        <v>-98.718745438688416</v>
      </c>
      <c r="G196">
        <f t="shared" si="15"/>
        <v>397.81241957115299</v>
      </c>
      <c r="H196">
        <f>Main!O196</f>
        <v>4.7186810000000001</v>
      </c>
    </row>
    <row r="197" spans="1:8" x14ac:dyDescent="0.25">
      <c r="A197">
        <f>Main!$K$2</f>
        <v>0.02</v>
      </c>
      <c r="B197">
        <f>Main!W197</f>
        <v>142.90513337789167</v>
      </c>
      <c r="C197">
        <f>Main!X197</f>
        <v>210.48052011994926</v>
      </c>
      <c r="D197">
        <f t="shared" ref="D197:D211" si="16">D196 + SQRT( (B197-B196)^2  + (C197-C196)^2 )</f>
        <v>205.7179287148189</v>
      </c>
      <c r="E197">
        <f t="shared" ref="E197:E211" si="17" xml:space="preserve"> IF(ISBLANK(D198), 0, (D198-D197)/$A197 )</f>
        <v>11.384362356686495</v>
      </c>
      <c r="F197">
        <f t="shared" ref="F197:F211" si="18" xml:space="preserve"> (E198-E197)/$A197</f>
        <v>-90.762497047265356</v>
      </c>
      <c r="G197">
        <f t="shared" ref="G197:G211" si="19" xml:space="preserve"> (F198-F197)/$A197</f>
        <v>393.74994536345298</v>
      </c>
      <c r="H197">
        <f>Main!O197</f>
        <v>4.7173740000000004</v>
      </c>
    </row>
    <row r="198" spans="1:8" x14ac:dyDescent="0.25">
      <c r="A198">
        <f>Main!$K$2</f>
        <v>0.02</v>
      </c>
      <c r="B198">
        <f>Main!W198</f>
        <v>142.90602404381698</v>
      </c>
      <c r="C198">
        <f>Main!X198</f>
        <v>210.25283461487362</v>
      </c>
      <c r="D198">
        <f t="shared" si="16"/>
        <v>205.94561596195263</v>
      </c>
      <c r="E198">
        <f t="shared" si="17"/>
        <v>9.5691124157411878</v>
      </c>
      <c r="F198">
        <f t="shared" si="18"/>
        <v>-82.887498139996296</v>
      </c>
      <c r="G198">
        <f t="shared" si="19"/>
        <v>399.34371202221541</v>
      </c>
      <c r="H198">
        <f>Main!O198</f>
        <v>4.7162649999999999</v>
      </c>
    </row>
    <row r="199" spans="1:8" x14ac:dyDescent="0.25">
      <c r="A199">
        <f>Main!$K$2</f>
        <v>0.02</v>
      </c>
      <c r="B199">
        <f>Main!W199</f>
        <v>142.90659376786152</v>
      </c>
      <c r="C199">
        <f>Main!X199</f>
        <v>210.06145321456378</v>
      </c>
      <c r="D199">
        <f t="shared" si="16"/>
        <v>206.13699821026745</v>
      </c>
      <c r="E199">
        <f t="shared" si="17"/>
        <v>7.9113624529412618</v>
      </c>
      <c r="F199">
        <f t="shared" si="18"/>
        <v>-74.900623899551988</v>
      </c>
      <c r="G199">
        <f t="shared" si="19"/>
        <v>390.68747686599181</v>
      </c>
      <c r="H199">
        <f>Main!O199</f>
        <v>4.7153359999999997</v>
      </c>
    </row>
    <row r="200" spans="1:8" x14ac:dyDescent="0.25">
      <c r="A200">
        <f>Main!$K$2</f>
        <v>0.02</v>
      </c>
      <c r="B200">
        <f>Main!W200</f>
        <v>142.90694289965481</v>
      </c>
      <c r="C200">
        <f>Main!X200</f>
        <v>209.90322635068878</v>
      </c>
      <c r="D200">
        <f t="shared" si="16"/>
        <v>206.29522545932628</v>
      </c>
      <c r="E200">
        <f t="shared" si="17"/>
        <v>6.4133499749502221</v>
      </c>
      <c r="F200">
        <f t="shared" si="18"/>
        <v>-67.086874362232152</v>
      </c>
      <c r="G200">
        <f t="shared" si="19"/>
        <v>394.37498509542479</v>
      </c>
      <c r="H200">
        <f>Main!O200</f>
        <v>4.7145710000000003</v>
      </c>
    </row>
    <row r="201" spans="1:8" x14ac:dyDescent="0.25">
      <c r="A201">
        <f>Main!$K$2</f>
        <v>0.02</v>
      </c>
      <c r="B201">
        <f>Main!W201</f>
        <v>142.90714580178931</v>
      </c>
      <c r="C201">
        <f>Main!X201</f>
        <v>209.77495951167262</v>
      </c>
      <c r="D201">
        <f t="shared" si="16"/>
        <v>206.42349245882528</v>
      </c>
      <c r="E201">
        <f t="shared" si="17"/>
        <v>5.071612487705579</v>
      </c>
      <c r="F201">
        <f t="shared" si="18"/>
        <v>-59.199374660323656</v>
      </c>
      <c r="G201">
        <f t="shared" si="19"/>
        <v>393.87499130327797</v>
      </c>
      <c r="H201">
        <f>Main!O201</f>
        <v>4.7139509999999998</v>
      </c>
    </row>
    <row r="202" spans="1:8" x14ac:dyDescent="0.25">
      <c r="A202">
        <f>Main!$K$2</f>
        <v>0.02</v>
      </c>
      <c r="B202">
        <f>Main!W202</f>
        <v>142.90725622473772</v>
      </c>
      <c r="C202">
        <f>Main!X202</f>
        <v>209.6735273220238</v>
      </c>
      <c r="D202">
        <f t="shared" si="16"/>
        <v>206.52492470857939</v>
      </c>
      <c r="E202">
        <f t="shared" si="17"/>
        <v>3.8876249944991059</v>
      </c>
      <c r="F202">
        <f t="shared" si="18"/>
        <v>-51.321874834258097</v>
      </c>
      <c r="G202">
        <f t="shared" si="19"/>
        <v>392.71874534207996</v>
      </c>
      <c r="H202">
        <f>Main!O202</f>
        <v>4.7134619999999998</v>
      </c>
    </row>
    <row r="203" spans="1:8" x14ac:dyDescent="0.25">
      <c r="A203">
        <f>Main!$K$2</f>
        <v>0.02</v>
      </c>
      <c r="B203">
        <f>Main!W203</f>
        <v>142.90731150193412</v>
      </c>
      <c r="C203">
        <f>Main!X203</f>
        <v>209.59577484178314</v>
      </c>
      <c r="D203">
        <f t="shared" si="16"/>
        <v>206.60267720846937</v>
      </c>
      <c r="E203">
        <f t="shared" si="17"/>
        <v>2.861187497813944</v>
      </c>
      <c r="F203">
        <f t="shared" si="18"/>
        <v>-43.467499927416497</v>
      </c>
      <c r="G203">
        <f t="shared" si="19"/>
        <v>393.99999771561056</v>
      </c>
      <c r="H203">
        <f>Main!O203</f>
        <v>4.7130879999999999</v>
      </c>
    </row>
    <row r="204" spans="1:8" x14ac:dyDescent="0.25">
      <c r="A204">
        <f>Main!$K$2</f>
        <v>0.02</v>
      </c>
      <c r="B204">
        <f>Main!W204</f>
        <v>142.9073362669414</v>
      </c>
      <c r="C204">
        <f>Main!X204</f>
        <v>209.53855109718569</v>
      </c>
      <c r="D204">
        <f t="shared" si="16"/>
        <v>206.65990095842565</v>
      </c>
      <c r="E204">
        <f t="shared" si="17"/>
        <v>1.991837499265614</v>
      </c>
      <c r="F204">
        <f t="shared" si="18"/>
        <v>-35.587499973104286</v>
      </c>
      <c r="G204">
        <f t="shared" si="19"/>
        <v>392.46874905529694</v>
      </c>
      <c r="H204">
        <f>Main!O204</f>
        <v>4.7128129999999997</v>
      </c>
    </row>
    <row r="205" spans="1:8" x14ac:dyDescent="0.25">
      <c r="A205">
        <f>Main!$K$2</f>
        <v>0.02</v>
      </c>
      <c r="B205">
        <f>Main!W205</f>
        <v>142.90734579137208</v>
      </c>
      <c r="C205">
        <f>Main!X205</f>
        <v>209.49871434833895</v>
      </c>
      <c r="D205">
        <f t="shared" si="16"/>
        <v>206.69973770841096</v>
      </c>
      <c r="E205">
        <f t="shared" si="17"/>
        <v>1.2800874998035283</v>
      </c>
      <c r="F205">
        <f t="shared" si="18"/>
        <v>-27.738124991998347</v>
      </c>
      <c r="G205">
        <f t="shared" si="19"/>
        <v>390.93749968088787</v>
      </c>
      <c r="H205">
        <f>Main!O205</f>
        <v>4.7126219999999996</v>
      </c>
    </row>
    <row r="206" spans="1:8" x14ac:dyDescent="0.25">
      <c r="A206">
        <f>Main!$K$2</f>
        <v>0.02</v>
      </c>
      <c r="B206">
        <f>Main!W206</f>
        <v>142.90734870829641</v>
      </c>
      <c r="C206">
        <f>Main!X206</f>
        <v>209.47311259850906</v>
      </c>
      <c r="D206">
        <f t="shared" si="16"/>
        <v>206.72533945840703</v>
      </c>
      <c r="E206">
        <f t="shared" si="17"/>
        <v>0.72532499996356137</v>
      </c>
      <c r="F206">
        <f t="shared" si="18"/>
        <v>-19.91937499838059</v>
      </c>
      <c r="G206">
        <f t="shared" si="19"/>
        <v>395.78124993155939</v>
      </c>
      <c r="H206">
        <f>Main!O206</f>
        <v>4.7124990000000002</v>
      </c>
    </row>
    <row r="207" spans="1:8" x14ac:dyDescent="0.25">
      <c r="A207">
        <f>Main!$K$2</f>
        <v>0.02</v>
      </c>
      <c r="B207">
        <f>Main!W207</f>
        <v>142.90734932130346</v>
      </c>
      <c r="C207">
        <f>Main!X207</f>
        <v>209.45860609852275</v>
      </c>
      <c r="D207">
        <f t="shared" si="16"/>
        <v>206.73984595840631</v>
      </c>
      <c r="E207">
        <f t="shared" si="17"/>
        <v>0.32693749999594957</v>
      </c>
      <c r="F207">
        <f t="shared" si="18"/>
        <v>-12.003749999749402</v>
      </c>
      <c r="G207">
        <f t="shared" si="19"/>
        <v>389.15624998381304</v>
      </c>
      <c r="H207">
        <f>Main!O207</f>
        <v>4.7124290000000002</v>
      </c>
    </row>
    <row r="208" spans="1:8" x14ac:dyDescent="0.25">
      <c r="A208">
        <f>Main!$K$2</f>
        <v>0.02</v>
      </c>
      <c r="B208">
        <f>Main!W208</f>
        <v>142.9073493866471</v>
      </c>
      <c r="C208">
        <f>Main!X208</f>
        <v>209.45206734852314</v>
      </c>
      <c r="D208">
        <f t="shared" si="16"/>
        <v>206.74638470840623</v>
      </c>
      <c r="E208">
        <f t="shared" si="17"/>
        <v>8.6862500000961518E-2</v>
      </c>
      <c r="F208">
        <f t="shared" si="18"/>
        <v>-4.2206250000731416</v>
      </c>
      <c r="G208">
        <f t="shared" si="19"/>
        <v>204.90625000491036</v>
      </c>
      <c r="H208">
        <f>Main!O208</f>
        <v>4.7123980000000003</v>
      </c>
    </row>
    <row r="209" spans="1:8" x14ac:dyDescent="0.25">
      <c r="A209">
        <f>Main!$K$2</f>
        <v>0.02</v>
      </c>
      <c r="B209">
        <f>Main!W209</f>
        <v>142.90734938721781</v>
      </c>
      <c r="C209">
        <f>Main!X209</f>
        <v>209.45033009852312</v>
      </c>
      <c r="D209">
        <f t="shared" si="16"/>
        <v>206.74812195840624</v>
      </c>
      <c r="E209">
        <f t="shared" si="17"/>
        <v>2.4499999994986865E-3</v>
      </c>
      <c r="F209">
        <f t="shared" si="18"/>
        <v>-0.12249999997493433</v>
      </c>
      <c r="G209">
        <f t="shared" si="19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Main!W210</f>
        <v>142.90734938721877</v>
      </c>
      <c r="C210">
        <f>Main!X210</f>
        <v>209.45028109852313</v>
      </c>
      <c r="D210">
        <f t="shared" si="16"/>
        <v>206.74817095840623</v>
      </c>
      <c r="E210">
        <f t="shared" si="17"/>
        <v>0</v>
      </c>
      <c r="F210">
        <f t="shared" si="18"/>
        <v>0</v>
      </c>
      <c r="G210">
        <f t="shared" si="19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Main!W211</f>
        <v>142.90734938721877</v>
      </c>
      <c r="C211">
        <f>Main!X211</f>
        <v>209.45028109852313</v>
      </c>
      <c r="D211">
        <f t="shared" si="16"/>
        <v>206.74817095840623</v>
      </c>
      <c r="E211">
        <f t="shared" si="17"/>
        <v>0</v>
      </c>
      <c r="F211">
        <f t="shared" si="18"/>
        <v>0</v>
      </c>
      <c r="G211">
        <f t="shared" si="19"/>
        <v>0</v>
      </c>
      <c r="H211">
        <f>Main!O211</f>
        <v>4.7123889999999999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3"/>
  <sheetViews>
    <sheetView workbookViewId="0">
      <selection activeCell="K3" sqref="K3"/>
    </sheetView>
  </sheetViews>
  <sheetFormatPr defaultRowHeight="15" x14ac:dyDescent="0.25"/>
  <sheetData>
    <row r="1" spans="1:11" ht="30" x14ac:dyDescent="0.25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7</v>
      </c>
      <c r="G1" s="5" t="s">
        <v>37</v>
      </c>
      <c r="H1" t="s">
        <v>35</v>
      </c>
      <c r="I1" t="s">
        <v>36</v>
      </c>
      <c r="K1" s="1" t="s">
        <v>38</v>
      </c>
    </row>
    <row r="2" spans="1:11" x14ac:dyDescent="0.25">
      <c r="A2">
        <v>0</v>
      </c>
      <c r="B2">
        <v>0</v>
      </c>
      <c r="C2">
        <v>0</v>
      </c>
      <c r="D2">
        <v>0</v>
      </c>
      <c r="E2">
        <v>0</v>
      </c>
      <c r="F2">
        <v>-4.6585582344391696E-3</v>
      </c>
      <c r="G2">
        <f>AVERAGE(A2:B2)</f>
        <v>0</v>
      </c>
      <c r="H2">
        <f>Main!Q2</f>
        <v>0</v>
      </c>
      <c r="I2">
        <f>Main!R2</f>
        <v>300</v>
      </c>
      <c r="K2">
        <v>-0.1</v>
      </c>
    </row>
    <row r="3" spans="1:11" x14ac:dyDescent="0.25">
      <c r="A3">
        <v>0</v>
      </c>
      <c r="B3">
        <v>0</v>
      </c>
      <c r="C3">
        <v>0</v>
      </c>
      <c r="D3">
        <v>0</v>
      </c>
      <c r="E3">
        <v>0</v>
      </c>
      <c r="F3">
        <v>-4.6585582344391696E-3</v>
      </c>
      <c r="G3">
        <f>G2 + AVERAGE(A3-A2,B3-B2) + $K$2*ABS( (A3-A2) - (B3-B2) )</f>
        <v>0</v>
      </c>
      <c r="H3">
        <f>H2 + ($G3-$G2)*COS($F3*PI()/180)</f>
        <v>0</v>
      </c>
      <c r="I3">
        <f>I2 + ($G3-$G2)*SIN($F3*PI()/180)</f>
        <v>300</v>
      </c>
    </row>
    <row r="4" spans="1:11" x14ac:dyDescent="0.25">
      <c r="A4">
        <v>0</v>
      </c>
      <c r="B4">
        <v>0</v>
      </c>
      <c r="C4">
        <v>0</v>
      </c>
      <c r="D4">
        <v>0</v>
      </c>
      <c r="E4">
        <v>0</v>
      </c>
      <c r="F4">
        <v>-4.6585582344391696E-3</v>
      </c>
      <c r="G4">
        <f t="shared" ref="G4:G67" si="0">G3 + AVERAGE(A4-A3,B4-B3) + $K$2*ABS( (A4-A3) - (B4-B3) )</f>
        <v>0</v>
      </c>
      <c r="H4">
        <f t="shared" ref="H4:H67" si="1">H3 + ($G4-$G3)*COS($F4*PI()/180)</f>
        <v>0</v>
      </c>
      <c r="I4">
        <f t="shared" ref="I4:I67" si="2">I3 + ($G4-$G3)*SIN($F4*PI()/180)</f>
        <v>300</v>
      </c>
    </row>
    <row r="5" spans="1:11" x14ac:dyDescent="0.25">
      <c r="A5">
        <v>0</v>
      </c>
      <c r="B5">
        <v>0</v>
      </c>
      <c r="C5">
        <v>0</v>
      </c>
      <c r="D5">
        <v>0</v>
      </c>
      <c r="E5">
        <v>0</v>
      </c>
      <c r="F5">
        <v>-4.6585582344391696E-3</v>
      </c>
      <c r="G5">
        <f t="shared" si="0"/>
        <v>0</v>
      </c>
      <c r="H5">
        <f t="shared" si="1"/>
        <v>0</v>
      </c>
      <c r="I5">
        <f t="shared" si="2"/>
        <v>300</v>
      </c>
    </row>
    <row r="6" spans="1:11" x14ac:dyDescent="0.25">
      <c r="A6">
        <v>0</v>
      </c>
      <c r="B6">
        <v>0</v>
      </c>
      <c r="C6">
        <v>0</v>
      </c>
      <c r="D6">
        <v>0</v>
      </c>
      <c r="E6">
        <v>0</v>
      </c>
      <c r="F6">
        <v>-4.6585582344391696E-3</v>
      </c>
      <c r="G6">
        <f t="shared" si="0"/>
        <v>0</v>
      </c>
      <c r="H6">
        <f t="shared" si="1"/>
        <v>0</v>
      </c>
      <c r="I6">
        <f t="shared" si="2"/>
        <v>300</v>
      </c>
    </row>
    <row r="7" spans="1:11" x14ac:dyDescent="0.25">
      <c r="A7">
        <v>0</v>
      </c>
      <c r="B7">
        <v>0</v>
      </c>
      <c r="C7">
        <v>0</v>
      </c>
      <c r="D7">
        <v>0</v>
      </c>
      <c r="E7">
        <v>0</v>
      </c>
      <c r="F7">
        <v>-4.6585582344391696E-3</v>
      </c>
      <c r="G7">
        <f t="shared" si="0"/>
        <v>0</v>
      </c>
      <c r="H7">
        <f t="shared" si="1"/>
        <v>0</v>
      </c>
      <c r="I7">
        <f t="shared" si="2"/>
        <v>300</v>
      </c>
    </row>
    <row r="8" spans="1:11" x14ac:dyDescent="0.25">
      <c r="A8">
        <v>2.38917507713188E-2</v>
      </c>
      <c r="B8">
        <v>3.3448451079846397E-2</v>
      </c>
      <c r="C8">
        <v>2.38917507713188E-2</v>
      </c>
      <c r="D8">
        <v>0.23891750771318801</v>
      </c>
      <c r="E8">
        <v>0.33448451079846397</v>
      </c>
      <c r="F8">
        <v>-4.6585582344391696E-3</v>
      </c>
      <c r="G8">
        <f t="shared" si="0"/>
        <v>2.7714430894729841E-2</v>
      </c>
      <c r="H8">
        <f t="shared" si="1"/>
        <v>2.7714430803121765E-2</v>
      </c>
      <c r="I8">
        <f t="shared" si="2"/>
        <v>299.99999774661779</v>
      </c>
    </row>
    <row r="9" spans="1:11" x14ac:dyDescent="0.25">
      <c r="A9">
        <v>8.6010302776747899E-2</v>
      </c>
      <c r="B9">
        <v>0.11468040370233</v>
      </c>
      <c r="C9">
        <v>9.0635420883672296E-2</v>
      </c>
      <c r="D9">
        <v>0.86010302776747904</v>
      </c>
      <c r="E9">
        <v>1.1468040370232999</v>
      </c>
      <c r="F9">
        <v>-2.46585391609528E-2</v>
      </c>
      <c r="G9">
        <f t="shared" si="0"/>
        <v>9.7478343146980756E-2</v>
      </c>
      <c r="H9">
        <f t="shared" si="1"/>
        <v>9.7478336594513895E-2</v>
      </c>
      <c r="I9">
        <f t="shared" si="2"/>
        <v>299.99996772213564</v>
      </c>
    </row>
    <row r="10" spans="1:11" x14ac:dyDescent="0.25">
      <c r="A10">
        <v>0.258030908330243</v>
      </c>
      <c r="B10">
        <v>0.25325255817597903</v>
      </c>
      <c r="C10">
        <v>0.224582443466458</v>
      </c>
      <c r="D10">
        <v>2.58030908330243</v>
      </c>
      <c r="E10">
        <v>2.5325255817597898</v>
      </c>
      <c r="F10">
        <v>-4.4658579692111199E-2</v>
      </c>
      <c r="G10">
        <f t="shared" si="0"/>
        <v>0.24942987805256822</v>
      </c>
      <c r="H10">
        <f t="shared" si="1"/>
        <v>0.24942982534288366</v>
      </c>
      <c r="I10">
        <f t="shared" si="2"/>
        <v>299.99984928515647</v>
      </c>
    </row>
    <row r="11" spans="1:11" x14ac:dyDescent="0.25">
      <c r="A11">
        <v>0.52084016681475098</v>
      </c>
      <c r="B11">
        <v>0.516061816660487</v>
      </c>
      <c r="C11">
        <v>0.48970426100442699</v>
      </c>
      <c r="D11">
        <v>5.20840166814751</v>
      </c>
      <c r="E11">
        <v>5.1606181666048698</v>
      </c>
      <c r="F11">
        <v>-5.4658570155368097E-2</v>
      </c>
      <c r="G11">
        <f t="shared" si="0"/>
        <v>0.5122391365370762</v>
      </c>
      <c r="H11">
        <f t="shared" si="1"/>
        <v>0.51223896424096182</v>
      </c>
      <c r="I11">
        <f t="shared" si="2"/>
        <v>299.99959857251696</v>
      </c>
    </row>
    <row r="12" spans="1:11" x14ac:dyDescent="0.25">
      <c r="A12">
        <v>0.79798447576205001</v>
      </c>
      <c r="B12">
        <v>0.78364942529925796</v>
      </c>
      <c r="C12">
        <v>0.76191700153406205</v>
      </c>
      <c r="D12">
        <v>7.8842777545352201</v>
      </c>
      <c r="E12">
        <v>7.5975767452793903</v>
      </c>
      <c r="F12">
        <v>-3.4658529624209601E-2</v>
      </c>
      <c r="G12">
        <f t="shared" si="0"/>
        <v>0.7836494252992583</v>
      </c>
      <c r="H12">
        <f t="shared" si="1"/>
        <v>0.78364920334719312</v>
      </c>
      <c r="I12">
        <f t="shared" si="2"/>
        <v>299.99943439496252</v>
      </c>
    </row>
    <row r="13" spans="1:11" x14ac:dyDescent="0.25">
      <c r="A13">
        <v>1.0177885828581801</v>
      </c>
      <c r="B13">
        <v>1.0703504345550801</v>
      </c>
      <c r="C13">
        <v>0.98172110863019602</v>
      </c>
      <c r="D13">
        <v>9.6044838100701799</v>
      </c>
      <c r="E13">
        <v>9.8911848193259999</v>
      </c>
      <c r="F13">
        <v>-3.4658529624209601E-2</v>
      </c>
      <c r="G13">
        <f t="shared" si="0"/>
        <v>1.0302122932592652</v>
      </c>
      <c r="H13">
        <f t="shared" si="1"/>
        <v>1.0302120261972167</v>
      </c>
      <c r="I13">
        <f t="shared" si="2"/>
        <v>299.99928524774759</v>
      </c>
    </row>
    <row r="14" spans="1:11" x14ac:dyDescent="0.25">
      <c r="A14">
        <v>1.3904998948907501</v>
      </c>
      <c r="B14">
        <v>1.3857215447364899</v>
      </c>
      <c r="C14">
        <v>1.2947796459742</v>
      </c>
      <c r="D14">
        <v>12.471493902628399</v>
      </c>
      <c r="E14">
        <v>12.280359896457799</v>
      </c>
      <c r="F14">
        <v>-4.4658579692111199E-2</v>
      </c>
      <c r="G14">
        <f t="shared" si="0"/>
        <v>1.3685194841811392</v>
      </c>
      <c r="H14">
        <f t="shared" si="1"/>
        <v>1.3685191143539646</v>
      </c>
      <c r="I14">
        <f t="shared" si="2"/>
        <v>299.99902155786947</v>
      </c>
    </row>
    <row r="15" spans="1:11" x14ac:dyDescent="0.25">
      <c r="A15">
        <v>1.68675760445511</v>
      </c>
      <c r="B15">
        <v>1.7632112069233301</v>
      </c>
      <c r="C15">
        <v>1.5887247827011499</v>
      </c>
      <c r="D15">
        <v>13.8094319458223</v>
      </c>
      <c r="E15">
        <v>14.096132955078099</v>
      </c>
      <c r="F15">
        <v>-3.4658529624209601E-2</v>
      </c>
      <c r="G15">
        <f t="shared" si="0"/>
        <v>1.6972699747944913</v>
      </c>
      <c r="H15">
        <f t="shared" si="1"/>
        <v>1.697269544820672</v>
      </c>
      <c r="I15">
        <f t="shared" si="2"/>
        <v>299.99882269491621</v>
      </c>
    </row>
    <row r="16" spans="1:11" x14ac:dyDescent="0.25">
      <c r="A16">
        <v>2.29360807404661</v>
      </c>
      <c r="B16">
        <v>2.4082884777489402</v>
      </c>
      <c r="C16">
        <v>2.1816998841879398</v>
      </c>
      <c r="D16">
        <v>15.672988505985099</v>
      </c>
      <c r="E16">
        <v>16.2463905244968</v>
      </c>
      <c r="F16">
        <v>2.53414727599761E-2</v>
      </c>
      <c r="G16">
        <f t="shared" si="0"/>
        <v>2.3194111648796354</v>
      </c>
      <c r="H16">
        <f t="shared" si="1"/>
        <v>2.3194106740534615</v>
      </c>
      <c r="I16">
        <f t="shared" si="2"/>
        <v>299.9990978630637</v>
      </c>
    </row>
    <row r="17" spans="1:9" x14ac:dyDescent="0.25">
      <c r="A17">
        <v>2.87178844271252</v>
      </c>
      <c r="B17">
        <v>2.9816904962605899</v>
      </c>
      <c r="C17">
        <v>2.7620395798599802</v>
      </c>
      <c r="D17">
        <v>18.539998598543399</v>
      </c>
      <c r="E17">
        <v>19.113400617054999</v>
      </c>
      <c r="F17">
        <v>5.5341444149746601E-2</v>
      </c>
      <c r="G17">
        <f t="shared" si="0"/>
        <v>2.894724523452989</v>
      </c>
      <c r="H17">
        <f t="shared" si="1"/>
        <v>2.8947237642591794</v>
      </c>
      <c r="I17">
        <f t="shared" si="2"/>
        <v>299.99965355263492</v>
      </c>
    </row>
    <row r="18" spans="1:9" x14ac:dyDescent="0.25">
      <c r="A18">
        <v>3.8035667227939598</v>
      </c>
      <c r="B18">
        <v>3.7462265209427899</v>
      </c>
      <c r="C18">
        <v>3.5473886566992499</v>
      </c>
      <c r="D18">
        <v>23.4139157558924</v>
      </c>
      <c r="E18">
        <v>22.7927302358381</v>
      </c>
      <c r="F18">
        <v>0.145341447726025</v>
      </c>
      <c r="G18">
        <f t="shared" si="0"/>
        <v>3.7261574502948851</v>
      </c>
      <c r="H18">
        <f t="shared" si="1"/>
        <v>3.7261540160585529</v>
      </c>
      <c r="I18">
        <f t="shared" si="2"/>
        <v>300.00176263530562</v>
      </c>
    </row>
    <row r="19" spans="1:9" x14ac:dyDescent="0.25">
      <c r="A19">
        <v>4.5537676970133703</v>
      </c>
      <c r="B19">
        <v>4.6445563499443798</v>
      </c>
      <c r="C19">
        <v>4.2860268218674102</v>
      </c>
      <c r="D19">
        <v>27.953348402443002</v>
      </c>
      <c r="E19">
        <v>28.096698907070898</v>
      </c>
      <c r="F19">
        <v>0.19534145964695401</v>
      </c>
      <c r="G19">
        <f t="shared" si="0"/>
        <v>4.5356099664271676</v>
      </c>
      <c r="H19">
        <f t="shared" si="1"/>
        <v>4.5356018277874552</v>
      </c>
      <c r="I19">
        <f t="shared" si="2"/>
        <v>300.00452233821983</v>
      </c>
    </row>
    <row r="20" spans="1:9" x14ac:dyDescent="0.25">
      <c r="A20">
        <v>5.8487005888188497</v>
      </c>
      <c r="B20">
        <v>5.8869273900529597</v>
      </c>
      <c r="C20">
        <v>5.5307104210294602</v>
      </c>
      <c r="D20">
        <v>35.550925147722403</v>
      </c>
      <c r="E20">
        <v>34.786389123040202</v>
      </c>
      <c r="F20">
        <v>0.20534145011021099</v>
      </c>
      <c r="G20">
        <f t="shared" si="0"/>
        <v>5.7990057472145065</v>
      </c>
      <c r="H20">
        <f t="shared" si="1"/>
        <v>5.7989894949121528</v>
      </c>
      <c r="I20">
        <f t="shared" si="2"/>
        <v>300.00905019295078</v>
      </c>
    </row>
    <row r="21" spans="1:9" x14ac:dyDescent="0.25">
      <c r="A21">
        <v>6.8425974209057197</v>
      </c>
      <c r="B21">
        <v>6.7804788689002899</v>
      </c>
      <c r="C21">
        <v>6.4242618998767798</v>
      </c>
      <c r="D21">
        <v>39.708089781931903</v>
      </c>
      <c r="E21">
        <v>37.987883726396902</v>
      </c>
      <c r="F21">
        <v>0.20534145011021099</v>
      </c>
      <c r="G21">
        <f t="shared" si="0"/>
        <v>6.7326953673576524</v>
      </c>
      <c r="H21">
        <f t="shared" si="1"/>
        <v>6.7326731188008351</v>
      </c>
      <c r="I21">
        <f t="shared" si="2"/>
        <v>300.01239642144714</v>
      </c>
    </row>
    <row r="22" spans="1:9" x14ac:dyDescent="0.25">
      <c r="A22">
        <v>8.0228499090088707</v>
      </c>
      <c r="B22">
        <v>7.9129478554607999</v>
      </c>
      <c r="C22">
        <v>7.5659811295431103</v>
      </c>
      <c r="D22">
        <v>43.817470914598701</v>
      </c>
      <c r="E22">
        <v>41.667213345180002</v>
      </c>
      <c r="F22">
        <v>0.24534144176556</v>
      </c>
      <c r="G22">
        <f t="shared" si="0"/>
        <v>7.8842777545352192</v>
      </c>
      <c r="H22">
        <f t="shared" si="1"/>
        <v>7.8842449484826318</v>
      </c>
      <c r="I22">
        <f t="shared" si="2"/>
        <v>300.0173275005281</v>
      </c>
    </row>
    <row r="23" spans="1:9" x14ac:dyDescent="0.25">
      <c r="A23">
        <v>9.5280302076019598</v>
      </c>
      <c r="B23">
        <v>9.1600972457236498</v>
      </c>
      <c r="C23">
        <v>8.8200682038583196</v>
      </c>
      <c r="D23">
        <v>47.687934539552401</v>
      </c>
      <c r="E23">
        <v>45.155408957792602</v>
      </c>
      <c r="F23">
        <v>0.275341442957653</v>
      </c>
      <c r="G23">
        <f t="shared" si="0"/>
        <v>9.2346395081301633</v>
      </c>
      <c r="H23">
        <f t="shared" si="1"/>
        <v>9.2345911095255886</v>
      </c>
      <c r="I23">
        <f t="shared" si="2"/>
        <v>300.02381679390743</v>
      </c>
    </row>
    <row r="24" spans="1:9" x14ac:dyDescent="0.25">
      <c r="A24">
        <v>10.9567569037268</v>
      </c>
      <c r="B24">
        <v>10.9041950520299</v>
      </c>
      <c r="C24">
        <v>10.2395446568773</v>
      </c>
      <c r="D24">
        <v>51.080563149079701</v>
      </c>
      <c r="E24">
        <v>50.172676619769597</v>
      </c>
      <c r="F24">
        <v>0.31534143461300301</v>
      </c>
      <c r="G24">
        <f t="shared" si="0"/>
        <v>10.789514648327568</v>
      </c>
      <c r="H24">
        <f t="shared" si="1"/>
        <v>10.789442700247356</v>
      </c>
      <c r="I24">
        <f t="shared" si="2"/>
        <v>300.0323743890068</v>
      </c>
    </row>
    <row r="25" spans="1:9" x14ac:dyDescent="0.25">
      <c r="A25">
        <v>12.4619372023199</v>
      </c>
      <c r="B25">
        <v>12.113117641058601</v>
      </c>
      <c r="C25">
        <v>11.4554049299584</v>
      </c>
      <c r="D25">
        <v>53.804222737010001</v>
      </c>
      <c r="E25">
        <v>53.3263877215837</v>
      </c>
      <c r="F25">
        <v>0.34534143580509602</v>
      </c>
      <c r="G25">
        <f t="shared" si="0"/>
        <v>12.116940321182028</v>
      </c>
      <c r="H25">
        <f t="shared" si="1"/>
        <v>12.116844261224895</v>
      </c>
      <c r="I25">
        <f t="shared" si="2"/>
        <v>300.04037519318592</v>
      </c>
    </row>
    <row r="26" spans="1:9" x14ac:dyDescent="0.25">
      <c r="A26">
        <v>13.646968040577301</v>
      </c>
      <c r="B26">
        <v>13.2838134288532</v>
      </c>
      <c r="C26">
        <v>12.626100717752999</v>
      </c>
      <c r="D26">
        <v>56.241181315684599</v>
      </c>
      <c r="E26">
        <v>56.097830811056603</v>
      </c>
      <c r="F26">
        <v>0.34534143580509602</v>
      </c>
      <c r="G26">
        <f t="shared" si="0"/>
        <v>13.293370129161747</v>
      </c>
      <c r="H26">
        <f t="shared" si="1"/>
        <v>13.29325270007539</v>
      </c>
      <c r="I26">
        <f t="shared" si="2"/>
        <v>300.04746589868955</v>
      </c>
    </row>
    <row r="27" spans="1:9" x14ac:dyDescent="0.25">
      <c r="A27">
        <v>15.3958441970378</v>
      </c>
      <c r="B27">
        <v>15.2811637933355</v>
      </c>
      <c r="C27">
        <v>14.368039186715199</v>
      </c>
      <c r="D27">
        <v>58.678139894359099</v>
      </c>
      <c r="E27">
        <v>58.534789389731202</v>
      </c>
      <c r="F27">
        <v>0.37534145189835</v>
      </c>
      <c r="G27">
        <f t="shared" si="0"/>
        <v>15.141635968830967</v>
      </c>
      <c r="H27">
        <f t="shared" si="1"/>
        <v>15.14147888084295</v>
      </c>
      <c r="I27">
        <f t="shared" si="2"/>
        <v>300.05957369838734</v>
      </c>
    </row>
    <row r="28" spans="1:9" x14ac:dyDescent="0.25">
      <c r="A28">
        <v>16.872354394705301</v>
      </c>
      <c r="B28">
        <v>16.738560590385902</v>
      </c>
      <c r="C28">
        <v>15.836998789371</v>
      </c>
      <c r="D28">
        <v>59.155974909785499</v>
      </c>
      <c r="E28">
        <v>58.343655383560602</v>
      </c>
      <c r="F28">
        <v>0.42534144891811798</v>
      </c>
      <c r="G28">
        <f t="shared" si="0"/>
        <v>16.606678126128209</v>
      </c>
      <c r="H28">
        <f t="shared" si="1"/>
        <v>16.606480669113438</v>
      </c>
      <c r="I28">
        <f t="shared" si="2"/>
        <v>300.07044949823955</v>
      </c>
    </row>
    <row r="29" spans="1:9" x14ac:dyDescent="0.25">
      <c r="A29">
        <v>18.344086242218602</v>
      </c>
      <c r="B29">
        <v>17.933148128951899</v>
      </c>
      <c r="C29">
        <v>17.0338988869904</v>
      </c>
      <c r="D29">
        <v>58.821490398987002</v>
      </c>
      <c r="E29">
        <v>58.200304878932698</v>
      </c>
      <c r="F29">
        <v>0.43534143938137498</v>
      </c>
      <c r="G29">
        <f t="shared" si="0"/>
        <v>17.912123388273127</v>
      </c>
      <c r="H29">
        <f t="shared" si="1"/>
        <v>17.911888248617238</v>
      </c>
      <c r="I29">
        <f t="shared" si="2"/>
        <v>300.08036836060609</v>
      </c>
    </row>
    <row r="30" spans="1:9" x14ac:dyDescent="0.25">
      <c r="A30">
        <v>19.514782030013201</v>
      </c>
      <c r="B30">
        <v>19.161184118597699</v>
      </c>
      <c r="C30">
        <v>18.202282112285499</v>
      </c>
      <c r="D30">
        <v>58.678139894359099</v>
      </c>
      <c r="E30">
        <v>58.773706897444399</v>
      </c>
      <c r="F30">
        <v>0.44534144474579301</v>
      </c>
      <c r="G30">
        <f t="shared" si="0"/>
        <v>19.105755256808205</v>
      </c>
      <c r="H30">
        <f t="shared" si="1"/>
        <v>19.105484061016092</v>
      </c>
      <c r="I30">
        <f t="shared" si="2"/>
        <v>300.08964597918293</v>
      </c>
    </row>
    <row r="31" spans="1:9" x14ac:dyDescent="0.25">
      <c r="A31">
        <v>20.379663407934899</v>
      </c>
      <c r="B31">
        <v>20.3939984583977</v>
      </c>
      <c r="C31">
        <v>19.069476052706701</v>
      </c>
      <c r="D31">
        <v>58.725923395901702</v>
      </c>
      <c r="E31">
        <v>59.7293769282971</v>
      </c>
      <c r="F31">
        <v>0.43534143938137498</v>
      </c>
      <c r="G31">
        <f t="shared" si="0"/>
        <v>20.117809819481224</v>
      </c>
      <c r="H31">
        <f t="shared" si="1"/>
        <v>20.1175094099871</v>
      </c>
      <c r="I31">
        <f t="shared" si="2"/>
        <v>300.09733563895315</v>
      </c>
    </row>
    <row r="32" spans="1:9" x14ac:dyDescent="0.25">
      <c r="A32">
        <v>22.138096264704</v>
      </c>
      <c r="B32">
        <v>22.204993166863702</v>
      </c>
      <c r="C32">
        <v>20.834846590082201</v>
      </c>
      <c r="D32">
        <v>58.582572891273799</v>
      </c>
      <c r="E32">
        <v>60.541696454521997</v>
      </c>
      <c r="F32">
        <v>0.405341453090443</v>
      </c>
      <c r="G32">
        <f t="shared" si="0"/>
        <v>21.897267416929086</v>
      </c>
      <c r="H32">
        <f t="shared" si="1"/>
        <v>21.896922477443489</v>
      </c>
      <c r="I32">
        <f t="shared" si="2"/>
        <v>300.10992438314628</v>
      </c>
    </row>
    <row r="33" spans="1:9" x14ac:dyDescent="0.25">
      <c r="A33">
        <v>23.9729827239413</v>
      </c>
      <c r="B33">
        <v>23.7340652162281</v>
      </c>
      <c r="C33">
        <v>22.3662311985</v>
      </c>
      <c r="D33">
        <v>59.108191408242803</v>
      </c>
      <c r="E33">
        <v>60.923964466863097</v>
      </c>
      <c r="F33">
        <v>0.41534144355370001</v>
      </c>
      <c r="G33">
        <f t="shared" si="0"/>
        <v>23.548665230242644</v>
      </c>
      <c r="H33">
        <f t="shared" si="1"/>
        <v>23.548276901213754</v>
      </c>
      <c r="I33">
        <f t="shared" si="2"/>
        <v>300.12189538607743</v>
      </c>
    </row>
    <row r="34" spans="1:9" x14ac:dyDescent="0.25">
      <c r="A34">
        <v>25.559394975156899</v>
      </c>
      <c r="B34">
        <v>25.253580565284</v>
      </c>
      <c r="C34">
        <v>23.8834339885024</v>
      </c>
      <c r="D34">
        <v>60.446129451436697</v>
      </c>
      <c r="E34">
        <v>60.923964466863097</v>
      </c>
      <c r="F34">
        <v>0.405341453090443</v>
      </c>
      <c r="G34">
        <f t="shared" si="0"/>
        <v>25.094939340162423</v>
      </c>
      <c r="H34">
        <f t="shared" si="1"/>
        <v>25.094512316436322</v>
      </c>
      <c r="I34">
        <f t="shared" si="2"/>
        <v>300.13283447743322</v>
      </c>
    </row>
    <row r="35" spans="1:9" x14ac:dyDescent="0.25">
      <c r="A35">
        <v>26.820879415882501</v>
      </c>
      <c r="B35">
        <v>26.4720598546213</v>
      </c>
      <c r="C35">
        <v>25.101913277839699</v>
      </c>
      <c r="D35">
        <v>61.497366485374698</v>
      </c>
      <c r="E35">
        <v>60.780613962235101</v>
      </c>
      <c r="F35">
        <v>0.405341453090443</v>
      </c>
      <c r="G35">
        <f t="shared" si="0"/>
        <v>26.330620690055042</v>
      </c>
      <c r="H35">
        <f t="shared" si="1"/>
        <v>26.330162744052373</v>
      </c>
      <c r="I35">
        <f t="shared" si="2"/>
        <v>300.14157628529665</v>
      </c>
    </row>
    <row r="36" spans="1:9" x14ac:dyDescent="0.25">
      <c r="A36">
        <v>28.058472105836799</v>
      </c>
      <c r="B36">
        <v>28.039358705219801</v>
      </c>
      <c r="C36">
        <v>26.3371934087406</v>
      </c>
      <c r="D36">
        <v>62.166335506971599</v>
      </c>
      <c r="E36">
        <v>60.637263457607197</v>
      </c>
      <c r="F36">
        <v>0.41534144355370001</v>
      </c>
      <c r="G36">
        <f t="shared" si="0"/>
        <v>27.700095844267022</v>
      </c>
      <c r="H36">
        <f t="shared" si="1"/>
        <v>27.699601916079434</v>
      </c>
      <c r="I36">
        <f t="shared" si="2"/>
        <v>300.15150362742651</v>
      </c>
    </row>
    <row r="37" spans="1:9" x14ac:dyDescent="0.25">
      <c r="A37">
        <v>30.060600820473301</v>
      </c>
      <c r="B37">
        <v>29.702224558903598</v>
      </c>
      <c r="C37">
        <v>28.004684383977299</v>
      </c>
      <c r="D37">
        <v>60.876180965320401</v>
      </c>
      <c r="E37">
        <v>59.681593426754503</v>
      </c>
      <c r="F37">
        <v>0.43534143938137498</v>
      </c>
      <c r="G37">
        <f t="shared" si="0"/>
        <v>29.498666842331904</v>
      </c>
      <c r="H37">
        <f t="shared" si="1"/>
        <v>29.498120997064824</v>
      </c>
      <c r="I37">
        <f t="shared" si="2"/>
        <v>300.16516929285388</v>
      </c>
    </row>
    <row r="38" spans="1:9" x14ac:dyDescent="0.25">
      <c r="A38">
        <v>31.173956406416799</v>
      </c>
      <c r="B38">
        <v>31.126172904874199</v>
      </c>
      <c r="C38">
        <v>29.1226650914736</v>
      </c>
      <c r="D38">
        <v>59.347108915955999</v>
      </c>
      <c r="E38">
        <v>58.725923395901702</v>
      </c>
      <c r="F38">
        <v>0.41534144355370001</v>
      </c>
      <c r="G38">
        <f t="shared" si="0"/>
        <v>30.736259532286244</v>
      </c>
      <c r="H38">
        <f t="shared" si="1"/>
        <v>30.735681169971382</v>
      </c>
      <c r="I38">
        <f t="shared" si="2"/>
        <v>300.1741406173885</v>
      </c>
    </row>
    <row r="39" spans="1:9" x14ac:dyDescent="0.25">
      <c r="A39">
        <v>32.554899600999001</v>
      </c>
      <c r="B39">
        <v>32.234750140663401</v>
      </c>
      <c r="C39">
        <v>30.2266172057099</v>
      </c>
      <c r="D39">
        <v>57.340201851165197</v>
      </c>
      <c r="E39">
        <v>57.626902860421097</v>
      </c>
      <c r="F39">
        <v>0.39534144772602497</v>
      </c>
      <c r="G39">
        <f t="shared" si="0"/>
        <v>31.953783151592646</v>
      </c>
      <c r="H39">
        <f t="shared" si="1"/>
        <v>31.953175806159575</v>
      </c>
      <c r="I39">
        <f t="shared" si="2"/>
        <v>300.1825414757933</v>
      </c>
    </row>
    <row r="40" spans="1:9" x14ac:dyDescent="0.25">
      <c r="A40">
        <v>33.935842795581301</v>
      </c>
      <c r="B40">
        <v>33.883280943884401</v>
      </c>
      <c r="C40">
        <v>31.6144980843445</v>
      </c>
      <c r="D40">
        <v>55.811129801800803</v>
      </c>
      <c r="E40">
        <v>56.097830811056603</v>
      </c>
      <c r="F40">
        <v>0.36534144653393202</v>
      </c>
      <c r="G40">
        <f t="shared" si="0"/>
        <v>33.441761389630429</v>
      </c>
      <c r="H40">
        <f t="shared" si="1"/>
        <v>33.441123794729741</v>
      </c>
      <c r="I40">
        <f t="shared" si="2"/>
        <v>300.19202937250606</v>
      </c>
    </row>
    <row r="41" spans="1:9" x14ac:dyDescent="0.25">
      <c r="A41">
        <v>35.890188008675104</v>
      </c>
      <c r="B41">
        <v>35.527033396951097</v>
      </c>
      <c r="C41">
        <v>33.262875658964198</v>
      </c>
      <c r="D41">
        <v>55.524428792545002</v>
      </c>
      <c r="E41">
        <v>55.189944281746499</v>
      </c>
      <c r="F41">
        <v>0.385341442361607</v>
      </c>
      <c r="G41">
        <f t="shared" si="0"/>
        <v>35.20975094670797</v>
      </c>
      <c r="H41">
        <f t="shared" si="1"/>
        <v>35.20907336707107</v>
      </c>
      <c r="I41">
        <f t="shared" si="2"/>
        <v>300.20391985581671</v>
      </c>
    </row>
    <row r="42" spans="1:9" x14ac:dyDescent="0.25">
      <c r="A42">
        <v>37.252017802640303</v>
      </c>
      <c r="B42">
        <v>36.955760093076002</v>
      </c>
      <c r="C42">
        <v>34.624705452929298</v>
      </c>
      <c r="D42">
        <v>55.237727783289202</v>
      </c>
      <c r="E42">
        <v>54.903243272490698</v>
      </c>
      <c r="F42">
        <v>0.385341442361607</v>
      </c>
      <c r="G42">
        <f t="shared" si="0"/>
        <v>36.598339501537048</v>
      </c>
      <c r="H42">
        <f t="shared" si="1"/>
        <v>36.597630517672194</v>
      </c>
      <c r="I42">
        <f t="shared" si="2"/>
        <v>300.21325870568177</v>
      </c>
    </row>
    <row r="43" spans="1:9" x14ac:dyDescent="0.25">
      <c r="A43">
        <v>38.551729044600101</v>
      </c>
      <c r="B43">
        <v>38.269806385498498</v>
      </c>
      <c r="C43">
        <v>35.926729253942497</v>
      </c>
      <c r="D43">
        <v>54.282057752436401</v>
      </c>
      <c r="E43">
        <v>54.807676269405398</v>
      </c>
      <c r="F43">
        <v>0.37534145189835</v>
      </c>
      <c r="G43">
        <f t="shared" si="0"/>
        <v>37.903784763681919</v>
      </c>
      <c r="H43">
        <f t="shared" si="1"/>
        <v>37.903047768410829</v>
      </c>
      <c r="I43">
        <f t="shared" si="2"/>
        <v>300.22181054352416</v>
      </c>
    </row>
    <row r="44" spans="1:9" x14ac:dyDescent="0.25">
      <c r="A44">
        <v>40.0855794441187</v>
      </c>
      <c r="B44">
        <v>39.899223788102503</v>
      </c>
      <c r="C44">
        <v>37.465204775014101</v>
      </c>
      <c r="D44">
        <v>52.991903210785203</v>
      </c>
      <c r="E44">
        <v>54.855459770948102</v>
      </c>
      <c r="F44">
        <v>0.35534145607067502</v>
      </c>
      <c r="G44">
        <f t="shared" si="0"/>
        <v>39.475861964434678</v>
      </c>
      <c r="H44">
        <f t="shared" si="1"/>
        <v>39.475094735625611</v>
      </c>
      <c r="I44">
        <f t="shared" si="2"/>
        <v>300.23156031262124</v>
      </c>
    </row>
    <row r="45" spans="1:9" x14ac:dyDescent="0.25">
      <c r="A45">
        <v>41.356620585152903</v>
      </c>
      <c r="B45">
        <v>41.342285534690099</v>
      </c>
      <c r="C45">
        <v>38.7431836001006</v>
      </c>
      <c r="D45">
        <v>51.845099173761902</v>
      </c>
      <c r="E45">
        <v>54.855459770948102</v>
      </c>
      <c r="F45">
        <v>0.32534145487858201</v>
      </c>
      <c r="G45">
        <f t="shared" si="0"/>
        <v>40.815711347690232</v>
      </c>
      <c r="H45">
        <f t="shared" si="1"/>
        <v>40.814922518651834</v>
      </c>
      <c r="I45">
        <f t="shared" si="2"/>
        <v>300.23916831113149</v>
      </c>
    </row>
    <row r="46" spans="1:9" x14ac:dyDescent="0.25">
      <c r="A46">
        <v>42.130713310143598</v>
      </c>
      <c r="B46">
        <v>42.125934959989401</v>
      </c>
      <c r="C46">
        <v>39.521901450090297</v>
      </c>
      <c r="D46">
        <v>51.606181666048698</v>
      </c>
      <c r="E46">
        <v>55.094377278661298</v>
      </c>
      <c r="F46">
        <v>0.30534144414974601</v>
      </c>
      <c r="G46">
        <f t="shared" si="0"/>
        <v>41.593626752804369</v>
      </c>
      <c r="H46">
        <f t="shared" si="1"/>
        <v>41.592826877192273</v>
      </c>
      <c r="I46">
        <f t="shared" si="2"/>
        <v>300.2433139688207</v>
      </c>
    </row>
    <row r="47" spans="1:9" x14ac:dyDescent="0.25">
      <c r="A47">
        <v>43.473429703491803</v>
      </c>
      <c r="B47">
        <v>43.578553406885597</v>
      </c>
      <c r="C47">
        <v>40.885430895595498</v>
      </c>
      <c r="D47">
        <v>51.892882675304499</v>
      </c>
      <c r="E47">
        <v>55.237727783289202</v>
      </c>
      <c r="F47">
        <v>0.21534144057346699</v>
      </c>
      <c r="G47">
        <f t="shared" si="0"/>
        <v>42.980303967571771</v>
      </c>
      <c r="H47">
        <f t="shared" si="1"/>
        <v>42.979494298078386</v>
      </c>
      <c r="I47">
        <f t="shared" si="2"/>
        <v>300.24852566798188</v>
      </c>
    </row>
    <row r="48" spans="1:9" x14ac:dyDescent="0.25">
      <c r="A48">
        <v>44.820924446994098</v>
      </c>
      <c r="B48">
        <v>45.198414109181002</v>
      </c>
      <c r="C48">
        <v>42.269926618413102</v>
      </c>
      <c r="D48">
        <v>52.370717690730899</v>
      </c>
      <c r="E48">
        <v>55.619995795630302</v>
      </c>
      <c r="F48">
        <v>5.5341444149746601E-2</v>
      </c>
      <c r="G48">
        <f t="shared" si="0"/>
        <v>44.436745094591309</v>
      </c>
      <c r="H48">
        <f t="shared" si="1"/>
        <v>44.435934745708757</v>
      </c>
      <c r="I48">
        <f t="shared" si="2"/>
        <v>300.24993243028513</v>
      </c>
    </row>
    <row r="49" spans="1:9" x14ac:dyDescent="0.25">
      <c r="A49">
        <v>46.4455634994438</v>
      </c>
      <c r="B49">
        <v>46.6271408053058</v>
      </c>
      <c r="C49">
        <v>43.677840269272899</v>
      </c>
      <c r="D49">
        <v>53.4219547246689</v>
      </c>
      <c r="E49">
        <v>56.097830811056603</v>
      </c>
      <c r="F49">
        <v>-3.4658529624209601E-2</v>
      </c>
      <c r="G49">
        <f t="shared" si="0"/>
        <v>45.943836733246073</v>
      </c>
      <c r="H49">
        <f t="shared" si="1"/>
        <v>45.94302610863312</v>
      </c>
      <c r="I49">
        <f t="shared" si="2"/>
        <v>300.24902078238603</v>
      </c>
    </row>
    <row r="50" spans="1:9" x14ac:dyDescent="0.25">
      <c r="A50">
        <v>47.506357233690402</v>
      </c>
      <c r="B50">
        <v>47.7643881420206</v>
      </c>
      <c r="C50">
        <v>44.787197798777903</v>
      </c>
      <c r="D50">
        <v>53.756439235467397</v>
      </c>
      <c r="E50">
        <v>56.384531820312503</v>
      </c>
      <c r="F50">
        <v>-0.244658567771182</v>
      </c>
      <c r="G50">
        <f t="shared" si="0"/>
        <v>47.035211908479958</v>
      </c>
      <c r="H50">
        <f t="shared" si="1"/>
        <v>47.034391333960301</v>
      </c>
      <c r="I50">
        <f t="shared" si="2"/>
        <v>300.24436051808561</v>
      </c>
    </row>
    <row r="51" spans="1:9" x14ac:dyDescent="0.25">
      <c r="A51">
        <v>48.2852283088354</v>
      </c>
      <c r="B51">
        <v>48.930305579661002</v>
      </c>
      <c r="C51">
        <v>45.600757287292701</v>
      </c>
      <c r="D51">
        <v>53.469738226211597</v>
      </c>
      <c r="E51">
        <v>56.862366835738797</v>
      </c>
      <c r="F51">
        <v>-0.39465854392932398</v>
      </c>
      <c r="G51">
        <f t="shared" si="0"/>
        <v>47.968901528623114</v>
      </c>
      <c r="H51">
        <f t="shared" si="1"/>
        <v>47.968058804366571</v>
      </c>
      <c r="I51">
        <f t="shared" si="2"/>
        <v>300.23792922986098</v>
      </c>
    </row>
    <row r="52" spans="1:9" x14ac:dyDescent="0.25">
      <c r="A52">
        <v>49.312573592002103</v>
      </c>
      <c r="B52">
        <v>49.799965307736997</v>
      </c>
      <c r="C52">
        <v>46.384852247687</v>
      </c>
      <c r="D52">
        <v>53.0396867123278</v>
      </c>
      <c r="E52">
        <v>57.196851346537301</v>
      </c>
      <c r="F52">
        <v>-0.76465854869769601</v>
      </c>
      <c r="G52">
        <f t="shared" si="0"/>
        <v>48.901635478735393</v>
      </c>
      <c r="H52">
        <f t="shared" si="1"/>
        <v>48.900709690797569</v>
      </c>
      <c r="I52">
        <f t="shared" si="2"/>
        <v>300.22548150992827</v>
      </c>
    </row>
    <row r="53" spans="1:9" x14ac:dyDescent="0.25">
      <c r="A53">
        <v>50.5501662819564</v>
      </c>
      <c r="B53">
        <v>51.204800253090497</v>
      </c>
      <c r="C53">
        <v>47.6663836147928</v>
      </c>
      <c r="D53">
        <v>51.749532170676602</v>
      </c>
      <c r="E53">
        <v>57.196851346537301</v>
      </c>
      <c r="F53">
        <v>-0.95465860591815499</v>
      </c>
      <c r="G53">
        <f t="shared" si="0"/>
        <v>50.206125070849374</v>
      </c>
      <c r="H53">
        <f t="shared" si="1"/>
        <v>50.205018210829905</v>
      </c>
      <c r="I53">
        <f t="shared" si="2"/>
        <v>300.20374719363451</v>
      </c>
    </row>
    <row r="54" spans="1:9" x14ac:dyDescent="0.25">
      <c r="A54">
        <v>51.778202271602197</v>
      </c>
      <c r="B54">
        <v>52.877222807082902</v>
      </c>
      <c r="C54">
        <v>48.973046667392097</v>
      </c>
      <c r="D54">
        <v>50.650511635195897</v>
      </c>
      <c r="E54">
        <v>56.862366835738797</v>
      </c>
      <c r="F54">
        <v>-1.2946585200874601</v>
      </c>
      <c r="G54">
        <f t="shared" si="0"/>
        <v>51.611915686233814</v>
      </c>
      <c r="H54">
        <f t="shared" si="1"/>
        <v>51.610449956037961</v>
      </c>
      <c r="I54">
        <f t="shared" si="2"/>
        <v>300.17198457622965</v>
      </c>
    </row>
    <row r="55" spans="1:9" x14ac:dyDescent="0.25">
      <c r="A55">
        <v>52.738650652609202</v>
      </c>
      <c r="B55">
        <v>53.718212434233301</v>
      </c>
      <c r="C55">
        <v>49.774722763065803</v>
      </c>
      <c r="D55">
        <v>49.694841604343203</v>
      </c>
      <c r="E55">
        <v>56.4323153218551</v>
      </c>
      <c r="F55">
        <v>-1.4646584771721201</v>
      </c>
      <c r="G55">
        <f t="shared" si="0"/>
        <v>52.500688814926853</v>
      </c>
      <c r="H55">
        <f t="shared" si="1"/>
        <v>52.498932706039341</v>
      </c>
      <c r="I55">
        <f t="shared" si="2"/>
        <v>300.14926724282992</v>
      </c>
    </row>
    <row r="56" spans="1:9" x14ac:dyDescent="0.25">
      <c r="A56">
        <v>53.679985632999198</v>
      </c>
      <c r="B56">
        <v>55.137382430049598</v>
      </c>
      <c r="C56">
        <v>50.813185333972598</v>
      </c>
      <c r="D56">
        <v>48.834738576575702</v>
      </c>
      <c r="E56">
        <v>56.384531820312503</v>
      </c>
      <c r="F56">
        <v>-1.88465855346606</v>
      </c>
      <c r="G56">
        <f t="shared" si="0"/>
        <v>53.633157801487364</v>
      </c>
      <c r="H56">
        <f t="shared" si="1"/>
        <v>53.63078909222525</v>
      </c>
      <c r="I56">
        <f t="shared" si="2"/>
        <v>300.11202309467802</v>
      </c>
    </row>
    <row r="57" spans="1:9" x14ac:dyDescent="0.25">
      <c r="A57">
        <v>54.893686572182197</v>
      </c>
      <c r="B57">
        <v>56.609114277562902</v>
      </c>
      <c r="C57">
        <v>52.084700304628001</v>
      </c>
      <c r="D57">
        <v>48.309120059606698</v>
      </c>
      <c r="E57">
        <v>56.766799832653597</v>
      </c>
      <c r="F57">
        <v>-2.13465855346606</v>
      </c>
      <c r="G57">
        <f t="shared" si="0"/>
        <v>54.950071104002483</v>
      </c>
      <c r="H57">
        <f t="shared" si="1"/>
        <v>54.946788516107318</v>
      </c>
      <c r="I57">
        <f t="shared" si="2"/>
        <v>300.06297044252398</v>
      </c>
    </row>
    <row r="58" spans="1:9" x14ac:dyDescent="0.25">
      <c r="A58">
        <v>56.116944211673697</v>
      </c>
      <c r="B58">
        <v>58.104737875847398</v>
      </c>
      <c r="C58">
        <v>53.442086479491799</v>
      </c>
      <c r="D58">
        <v>48.309120059606698</v>
      </c>
      <c r="E58">
        <v>57.818036866591598</v>
      </c>
      <c r="F58">
        <v>-2.7146584771721201</v>
      </c>
      <c r="G58">
        <f t="shared" si="0"/>
        <v>56.282275127011175</v>
      </c>
      <c r="H58">
        <f t="shared" si="1"/>
        <v>56.277497527264089</v>
      </c>
      <c r="I58">
        <f t="shared" si="2"/>
        <v>299.99987459046758</v>
      </c>
    </row>
    <row r="59" spans="1:9" x14ac:dyDescent="0.25">
      <c r="A59">
        <v>57.373650302245103</v>
      </c>
      <c r="B59">
        <v>59.337552215647499</v>
      </c>
      <c r="C59">
        <v>54.610149110659201</v>
      </c>
      <c r="D59">
        <v>48.786955075033099</v>
      </c>
      <c r="E59">
        <v>59.012624405157503</v>
      </c>
      <c r="F59">
        <v>-2.9946584485618901</v>
      </c>
      <c r="G59">
        <f t="shared" si="0"/>
        <v>57.524646167119798</v>
      </c>
      <c r="H59">
        <f t="shared" si="1"/>
        <v>57.518171997374232</v>
      </c>
      <c r="I59">
        <f t="shared" si="2"/>
        <v>299.93496957897008</v>
      </c>
    </row>
    <row r="60" spans="1:9" x14ac:dyDescent="0.25">
      <c r="A60">
        <v>58.133407976773</v>
      </c>
      <c r="B60">
        <v>60.551253154830498</v>
      </c>
      <c r="C60">
        <v>55.499410257588202</v>
      </c>
      <c r="D60">
        <v>49.3603570935447</v>
      </c>
      <c r="E60">
        <v>59.872727432924997</v>
      </c>
      <c r="F60">
        <v>-3.5546586297600098</v>
      </c>
      <c r="G60">
        <f t="shared" si="0"/>
        <v>58.465981147509737</v>
      </c>
      <c r="H60">
        <f t="shared" si="1"/>
        <v>58.457695948653196</v>
      </c>
      <c r="I60">
        <f t="shared" si="2"/>
        <v>299.87660614624986</v>
      </c>
    </row>
    <row r="61" spans="1:9" x14ac:dyDescent="0.25">
      <c r="A61">
        <v>59.136861509168398</v>
      </c>
      <c r="B61">
        <v>61.736283993087902</v>
      </c>
      <c r="C61">
        <v>56.569928057669799</v>
      </c>
      <c r="D61">
        <v>49.8381921089711</v>
      </c>
      <c r="E61">
        <v>60.2072119437235</v>
      </c>
      <c r="F61">
        <v>-3.8446585916130398</v>
      </c>
      <c r="G61">
        <f t="shared" si="0"/>
        <v>59.542065602249934</v>
      </c>
      <c r="H61">
        <f t="shared" si="1"/>
        <v>59.531358684699462</v>
      </c>
      <c r="I61">
        <f t="shared" si="2"/>
        <v>299.80445295533531</v>
      </c>
    </row>
    <row r="62" spans="1:9" x14ac:dyDescent="0.25">
      <c r="A62">
        <v>60.403124300048297</v>
      </c>
      <c r="B62">
        <v>63.193680790138302</v>
      </c>
      <c r="C62">
        <v>57.961069147708201</v>
      </c>
      <c r="D62">
        <v>50.2204601213122</v>
      </c>
      <c r="E62">
        <v>59.9205109344677</v>
      </c>
      <c r="F62">
        <v>-4.3846585534660596</v>
      </c>
      <c r="G62">
        <f t="shared" si="0"/>
        <v>60.884781995598033</v>
      </c>
      <c r="H62">
        <f t="shared" si="1"/>
        <v>60.870145294493184</v>
      </c>
      <c r="I62">
        <f t="shared" si="2"/>
        <v>299.70179952673811</v>
      </c>
    </row>
    <row r="63" spans="1:9" x14ac:dyDescent="0.25">
      <c r="A63">
        <v>61.416134532752203</v>
      </c>
      <c r="B63">
        <v>64.053783817905796</v>
      </c>
      <c r="C63">
        <v>58.763358144003298</v>
      </c>
      <c r="D63">
        <v>50.554944632110697</v>
      </c>
      <c r="E63">
        <v>59.490459420583903</v>
      </c>
      <c r="F63">
        <v>-4.6346585534660596</v>
      </c>
      <c r="G63">
        <f t="shared" si="0"/>
        <v>61.806047905340094</v>
      </c>
      <c r="H63">
        <f t="shared" si="1"/>
        <v>61.788398833571726</v>
      </c>
      <c r="I63">
        <f t="shared" si="2"/>
        <v>299.6273595212129</v>
      </c>
    </row>
    <row r="64" spans="1:9" x14ac:dyDescent="0.25">
      <c r="A64">
        <v>62.682397323632102</v>
      </c>
      <c r="B64">
        <v>65.8122166746749</v>
      </c>
      <c r="C64">
        <v>60.085122352166302</v>
      </c>
      <c r="D64">
        <v>50.507161130568001</v>
      </c>
      <c r="E64">
        <v>58.773706897444399</v>
      </c>
      <c r="F64">
        <v>-4.8746583245842299</v>
      </c>
      <c r="G64">
        <f t="shared" si="0"/>
        <v>63.269178722575674</v>
      </c>
      <c r="H64">
        <f t="shared" si="1"/>
        <v>63.246237474847547</v>
      </c>
      <c r="I64">
        <f t="shared" si="2"/>
        <v>299.50302817219938</v>
      </c>
    </row>
    <row r="65" spans="1:9" x14ac:dyDescent="0.25">
      <c r="A65">
        <v>63.446933348314303</v>
      </c>
      <c r="B65">
        <v>66.696211453213706</v>
      </c>
      <c r="C65">
        <v>60.905159904403099</v>
      </c>
      <c r="D65">
        <v>50.602728133653301</v>
      </c>
      <c r="E65">
        <v>58.439222386645902</v>
      </c>
      <c r="F65">
        <v>-5.1146585725395504</v>
      </c>
      <c r="G65">
        <f t="shared" si="0"/>
        <v>64.081498248800514</v>
      </c>
      <c r="H65">
        <f t="shared" si="1"/>
        <v>64.055322580344438</v>
      </c>
      <c r="I65">
        <f t="shared" si="2"/>
        <v>299.43061060009683</v>
      </c>
    </row>
    <row r="66" spans="1:9" x14ac:dyDescent="0.25">
      <c r="A66">
        <v>64.732309539811297</v>
      </c>
      <c r="B66">
        <v>68.191835051498302</v>
      </c>
      <c r="C66">
        <v>62.301539040737801</v>
      </c>
      <c r="D66">
        <v>51.032779647536998</v>
      </c>
      <c r="E66">
        <v>58.725923395901702</v>
      </c>
      <c r="F66">
        <v>-5.5946585916130402</v>
      </c>
      <c r="G66">
        <f t="shared" si="0"/>
        <v>65.450973403012554</v>
      </c>
      <c r="H66">
        <f t="shared" si="1"/>
        <v>65.418274229852344</v>
      </c>
      <c r="I66">
        <f t="shared" si="2"/>
        <v>299.29710030421012</v>
      </c>
    </row>
    <row r="67" spans="1:9" x14ac:dyDescent="0.25">
      <c r="A67">
        <v>66.027242431616799</v>
      </c>
      <c r="B67">
        <v>69.395979290372694</v>
      </c>
      <c r="C67">
        <v>63.394680334774598</v>
      </c>
      <c r="D67">
        <v>51.176130152165001</v>
      </c>
      <c r="E67">
        <v>59.155974909785499</v>
      </c>
      <c r="F67">
        <v>-6.0746586106865204</v>
      </c>
      <c r="G67">
        <f t="shared" si="0"/>
        <v>66.691433103059396</v>
      </c>
      <c r="H67">
        <f t="shared" si="1"/>
        <v>66.651768558252257</v>
      </c>
      <c r="I67">
        <f t="shared" si="2"/>
        <v>299.16582955634311</v>
      </c>
    </row>
    <row r="68" spans="1:9" x14ac:dyDescent="0.25">
      <c r="A68">
        <v>67.298283572650902</v>
      </c>
      <c r="B68">
        <v>70.891602888657303</v>
      </c>
      <c r="C68">
        <v>64.725848011198707</v>
      </c>
      <c r="D68">
        <v>51.223913653707598</v>
      </c>
      <c r="E68">
        <v>59.586026423669203</v>
      </c>
      <c r="F68">
        <v>-6.3346583627311999</v>
      </c>
      <c r="G68">
        <f t="shared" ref="G68:G131" si="3">G67 + AVERAGE(A68-A67,B68-B67) + $K$2*ABS( (A68-A67) - (B68-B67) )</f>
        <v>68.052307226993705</v>
      </c>
      <c r="H68">
        <f t="shared" ref="H68:H131" si="4">H67 + ($G68-$G67)*COS($F68*PI()/180)</f>
        <v>68.004333722394676</v>
      </c>
      <c r="I68">
        <f t="shared" ref="I68:I131" si="5">I67 + ($G68-$G67)*SIN($F68*PI()/180)</f>
        <v>299.01567677434309</v>
      </c>
    </row>
    <row r="69" spans="1:9" x14ac:dyDescent="0.25">
      <c r="A69">
        <v>68.554989663222301</v>
      </c>
      <c r="B69">
        <v>72.358556386016303</v>
      </c>
      <c r="C69">
        <v>66.100494778903993</v>
      </c>
      <c r="D69">
        <v>51.080563149079701</v>
      </c>
      <c r="E69">
        <v>59.586026423669203</v>
      </c>
      <c r="F69">
        <v>-6.8446585916130402</v>
      </c>
      <c r="G69">
        <f t="shared" si="3"/>
        <v>69.39311228028015</v>
      </c>
      <c r="H69">
        <f t="shared" si="4"/>
        <v>69.335582747804324</v>
      </c>
      <c r="I69">
        <f t="shared" si="5"/>
        <v>298.85588245884861</v>
      </c>
    </row>
    <row r="70" spans="1:9" x14ac:dyDescent="0.25">
      <c r="A70">
        <v>69.567999895926206</v>
      </c>
      <c r="B70">
        <v>73.557922274736498</v>
      </c>
      <c r="C70">
        <v>67.173631546997896</v>
      </c>
      <c r="D70">
        <v>50.793862139823901</v>
      </c>
      <c r="E70">
        <v>59.6338099252118</v>
      </c>
      <c r="F70">
        <v>-7.10465834365771</v>
      </c>
      <c r="G70">
        <f t="shared" si="3"/>
        <v>70.480664775390565</v>
      </c>
      <c r="H70">
        <f t="shared" si="4"/>
        <v>70.414784890203265</v>
      </c>
      <c r="I70">
        <f t="shared" si="5"/>
        <v>298.72137162113495</v>
      </c>
    </row>
    <row r="71" spans="1:9" x14ac:dyDescent="0.25">
      <c r="A71">
        <v>70.581010128630098</v>
      </c>
      <c r="B71">
        <v>75.072659273638095</v>
      </c>
      <c r="C71">
        <v>68.302269952917896</v>
      </c>
      <c r="D71">
        <v>50.650511635195897</v>
      </c>
      <c r="E71">
        <v>59.7293769282971</v>
      </c>
      <c r="F71">
        <v>-7.60465882049487</v>
      </c>
      <c r="G71">
        <f t="shared" si="3"/>
        <v>71.69436571457355</v>
      </c>
      <c r="H71">
        <f t="shared" si="4"/>
        <v>71.617811066223098</v>
      </c>
      <c r="I71">
        <f t="shared" si="5"/>
        <v>298.56075409536413</v>
      </c>
    </row>
    <row r="72" spans="1:9" x14ac:dyDescent="0.25">
      <c r="A72">
        <v>72.530576991569802</v>
      </c>
      <c r="B72">
        <v>77.242030243673796</v>
      </c>
      <c r="C72">
        <v>70.392902973254493</v>
      </c>
      <c r="D72">
        <v>49.885975610513697</v>
      </c>
      <c r="E72">
        <v>60.589479956064601</v>
      </c>
      <c r="F72">
        <v>-8.2146584771721205</v>
      </c>
      <c r="G72">
        <f t="shared" si="3"/>
        <v>73.73185422035165</v>
      </c>
      <c r="H72">
        <f t="shared" si="4"/>
        <v>73.634394346037652</v>
      </c>
      <c r="I72">
        <f t="shared" si="5"/>
        <v>298.26963335280141</v>
      </c>
    </row>
    <row r="73" spans="1:9" x14ac:dyDescent="0.25">
      <c r="A73">
        <v>73.729942880289997</v>
      </c>
      <c r="B73">
        <v>78.900117747203396</v>
      </c>
      <c r="C73">
        <v>71.751835712342398</v>
      </c>
      <c r="D73">
        <v>49.169223087374199</v>
      </c>
      <c r="E73">
        <v>61.736283993087902</v>
      </c>
      <c r="F73">
        <v>-8.9046590112297395</v>
      </c>
      <c r="G73">
        <f t="shared" si="3"/>
        <v>75.114708754995604</v>
      </c>
      <c r="H73">
        <f t="shared" si="4"/>
        <v>75.000581725237552</v>
      </c>
      <c r="I73">
        <f t="shared" si="5"/>
        <v>298.05558030119909</v>
      </c>
    </row>
    <row r="74" spans="1:9" x14ac:dyDescent="0.25">
      <c r="A74">
        <v>75.173004626877599</v>
      </c>
      <c r="B74">
        <v>81.031261916004993</v>
      </c>
      <c r="C74">
        <v>73.368339553346999</v>
      </c>
      <c r="D74">
        <v>48.356903561149302</v>
      </c>
      <c r="E74">
        <v>62.596387020855403</v>
      </c>
      <c r="F74">
        <v>-9.6546590112297395</v>
      </c>
      <c r="G74">
        <f t="shared" si="3"/>
        <v>76.83300347046881</v>
      </c>
      <c r="H74">
        <f t="shared" si="4"/>
        <v>76.694539363932847</v>
      </c>
      <c r="I74">
        <f t="shared" si="5"/>
        <v>297.76740631290551</v>
      </c>
    </row>
    <row r="75" spans="1:9" x14ac:dyDescent="0.25">
      <c r="A75">
        <v>76.582617922385396</v>
      </c>
      <c r="B75">
        <v>82.627230867529093</v>
      </c>
      <c r="C75">
        <v>74.969895415699398</v>
      </c>
      <c r="D75">
        <v>47.783501542637701</v>
      </c>
      <c r="E75">
        <v>62.596387020855403</v>
      </c>
      <c r="F75">
        <v>-10.4846589349357</v>
      </c>
      <c r="G75">
        <f t="shared" si="3"/>
        <v>78.317159028383131</v>
      </c>
      <c r="H75">
        <f t="shared" si="4"/>
        <v>78.153914965333058</v>
      </c>
      <c r="I75">
        <f t="shared" si="5"/>
        <v>297.49733118608754</v>
      </c>
    </row>
    <row r="76" spans="1:9" x14ac:dyDescent="0.25">
      <c r="A76">
        <v>77.504839502158305</v>
      </c>
      <c r="B76">
        <v>84.098962715042305</v>
      </c>
      <c r="C76">
        <v>75.996182208013906</v>
      </c>
      <c r="D76">
        <v>47.449017031839198</v>
      </c>
      <c r="E76">
        <v>62.118552005429002</v>
      </c>
      <c r="F76">
        <v>-10.934658744200901</v>
      </c>
      <c r="G76">
        <f t="shared" si="3"/>
        <v>79.45918471525215</v>
      </c>
      <c r="H76">
        <f t="shared" si="4"/>
        <v>79.27520620224962</v>
      </c>
      <c r="I76">
        <f t="shared" si="5"/>
        <v>297.28070101394434</v>
      </c>
    </row>
    <row r="77" spans="1:9" x14ac:dyDescent="0.25">
      <c r="A77">
        <v>78.866669296123504</v>
      </c>
      <c r="B77">
        <v>85.656704865332301</v>
      </c>
      <c r="C77">
        <v>77.577705277465299</v>
      </c>
      <c r="D77">
        <v>46.7322645086996</v>
      </c>
      <c r="E77">
        <v>61.831850996173202</v>
      </c>
      <c r="F77">
        <v>-11.884658553466</v>
      </c>
      <c r="G77">
        <f t="shared" si="3"/>
        <v>80.899379451747279</v>
      </c>
      <c r="H77">
        <f t="shared" si="4"/>
        <v>80.684529159124835</v>
      </c>
      <c r="I77">
        <f t="shared" si="5"/>
        <v>296.98410417941511</v>
      </c>
    </row>
    <row r="78" spans="1:9" x14ac:dyDescent="0.25">
      <c r="A78">
        <v>79.769777475279398</v>
      </c>
      <c r="B78">
        <v>87.247895466702204</v>
      </c>
      <c r="C78">
        <v>78.598754133754994</v>
      </c>
      <c r="D78">
        <v>45.9677284840174</v>
      </c>
      <c r="E78">
        <v>62.166335506971599</v>
      </c>
      <c r="F78">
        <v>-12.3946587823479</v>
      </c>
      <c r="G78">
        <f t="shared" si="3"/>
        <v>82.07772059978879</v>
      </c>
      <c r="H78">
        <f t="shared" si="4"/>
        <v>81.835405875894665</v>
      </c>
      <c r="I78">
        <f t="shared" si="5"/>
        <v>296.73117999321522</v>
      </c>
    </row>
    <row r="79" spans="1:9" x14ac:dyDescent="0.25">
      <c r="A79">
        <v>80.8926897615314</v>
      </c>
      <c r="B79">
        <v>88.533271658199098</v>
      </c>
      <c r="C79">
        <v>79.957547553731601</v>
      </c>
      <c r="D79">
        <v>45.394326465505799</v>
      </c>
      <c r="E79">
        <v>62.787521027025903</v>
      </c>
      <c r="F79">
        <v>-13.4146582864372</v>
      </c>
      <c r="G79">
        <f t="shared" si="3"/>
        <v>83.265618448138753</v>
      </c>
      <c r="H79">
        <f t="shared" si="4"/>
        <v>82.990893781088403</v>
      </c>
      <c r="I79">
        <f t="shared" si="5"/>
        <v>296.45559153361387</v>
      </c>
    </row>
    <row r="80" spans="1:9" x14ac:dyDescent="0.25">
      <c r="A80">
        <v>81.7862412403787</v>
      </c>
      <c r="B80">
        <v>90.114905559260393</v>
      </c>
      <c r="C80">
        <v>80.973664938091204</v>
      </c>
      <c r="D80">
        <v>45.107625456249998</v>
      </c>
      <c r="E80">
        <v>63.169789039366997</v>
      </c>
      <c r="F80">
        <v>-13.944658973082699</v>
      </c>
      <c r="G80">
        <f t="shared" si="3"/>
        <v>84.434402895871656</v>
      </c>
      <c r="H80">
        <f t="shared" si="4"/>
        <v>84.125232914465855</v>
      </c>
      <c r="I80">
        <f t="shared" si="5"/>
        <v>296.17393249195038</v>
      </c>
    </row>
    <row r="81" spans="1:9" x14ac:dyDescent="0.25">
      <c r="A81">
        <v>83.152849384498097</v>
      </c>
      <c r="B81">
        <v>91.6774260597047</v>
      </c>
      <c r="C81">
        <v>82.590029680527607</v>
      </c>
      <c r="D81">
        <v>45.107625456249998</v>
      </c>
      <c r="E81">
        <v>63.360923045537596</v>
      </c>
      <c r="F81">
        <v>-15.0246588967888</v>
      </c>
      <c r="G81">
        <f t="shared" si="3"/>
        <v>85.879375982521012</v>
      </c>
      <c r="H81">
        <f t="shared" si="4"/>
        <v>85.520808651958205</v>
      </c>
      <c r="I81">
        <f t="shared" si="5"/>
        <v>295.79934527638682</v>
      </c>
    </row>
    <row r="82" spans="1:9" x14ac:dyDescent="0.25">
      <c r="A82">
        <v>84.046400863345497</v>
      </c>
      <c r="B82">
        <v>92.924575449967506</v>
      </c>
      <c r="C82">
        <v>83.735650151338106</v>
      </c>
      <c r="D82">
        <v>45.059841954707302</v>
      </c>
      <c r="E82">
        <v>63.1220055378244</v>
      </c>
      <c r="F82">
        <v>-16.1146580957023</v>
      </c>
      <c r="G82">
        <f t="shared" si="3"/>
        <v>86.914366625934562</v>
      </c>
      <c r="H82">
        <f t="shared" si="4"/>
        <v>86.515132625940765</v>
      </c>
      <c r="I82">
        <f t="shared" si="5"/>
        <v>295.51207281561636</v>
      </c>
    </row>
    <row r="83" spans="1:9" x14ac:dyDescent="0.25">
      <c r="A83">
        <v>84.734483285559406</v>
      </c>
      <c r="B83">
        <v>94.2099516414645</v>
      </c>
      <c r="C83">
        <v>84.546298479064305</v>
      </c>
      <c r="D83">
        <v>45.107625456249998</v>
      </c>
      <c r="E83">
        <v>63.1220055378244</v>
      </c>
      <c r="F83">
        <v>-16.6446587823479</v>
      </c>
      <c r="G83">
        <f t="shared" si="3"/>
        <v>87.841366555861711</v>
      </c>
      <c r="H83">
        <f t="shared" si="4"/>
        <v>87.403290893235635</v>
      </c>
      <c r="I83">
        <f t="shared" si="5"/>
        <v>295.24654736990408</v>
      </c>
    </row>
    <row r="84" spans="1:9" x14ac:dyDescent="0.25">
      <c r="A84">
        <v>85.632813114561003</v>
      </c>
      <c r="B84">
        <v>95.1656216723173</v>
      </c>
      <c r="C84">
        <v>85.712885378810597</v>
      </c>
      <c r="D84">
        <v>45.107625456249998</v>
      </c>
      <c r="E84">
        <v>63.0264385347391</v>
      </c>
      <c r="F84">
        <v>-17.804658629759999</v>
      </c>
      <c r="G84">
        <f t="shared" si="3"/>
        <v>88.762632465603787</v>
      </c>
      <c r="H84">
        <f t="shared" si="4"/>
        <v>88.280432342911666</v>
      </c>
      <c r="I84">
        <f t="shared" si="5"/>
        <v>294.9648493867499</v>
      </c>
    </row>
    <row r="85" spans="1:9" x14ac:dyDescent="0.25">
      <c r="A85">
        <v>86.741390350350201</v>
      </c>
      <c r="B85">
        <v>96.828487526000998</v>
      </c>
      <c r="C85">
        <v>86.962528992539703</v>
      </c>
      <c r="D85">
        <v>44.964274951622002</v>
      </c>
      <c r="E85">
        <v>63.982108565591901</v>
      </c>
      <c r="F85">
        <v>-18.414659240111501</v>
      </c>
      <c r="G85">
        <f t="shared" si="3"/>
        <v>90.092925148550776</v>
      </c>
      <c r="H85">
        <f t="shared" si="4"/>
        <v>89.542607683221675</v>
      </c>
      <c r="I85">
        <f t="shared" si="5"/>
        <v>294.54462083867685</v>
      </c>
    </row>
    <row r="86" spans="1:9" x14ac:dyDescent="0.25">
      <c r="A86">
        <v>87.400802671638601</v>
      </c>
      <c r="B86">
        <v>97.922729711327406</v>
      </c>
      <c r="C86">
        <v>87.929511943617399</v>
      </c>
      <c r="D86">
        <v>44.820924446994098</v>
      </c>
      <c r="E86">
        <v>64.985562097987298</v>
      </c>
      <c r="F86">
        <v>-19.744659163817602</v>
      </c>
      <c r="G86">
        <f t="shared" si="3"/>
        <v>90.926269415454385</v>
      </c>
      <c r="H86">
        <f t="shared" si="4"/>
        <v>90.326957565758264</v>
      </c>
      <c r="I86">
        <f t="shared" si="5"/>
        <v>294.26309299112717</v>
      </c>
    </row>
    <row r="87" spans="1:9" x14ac:dyDescent="0.25">
      <c r="A87">
        <v>88.471153106193697</v>
      </c>
      <c r="B87">
        <v>99.905745025346903</v>
      </c>
      <c r="C87">
        <v>89.161741401643297</v>
      </c>
      <c r="D87">
        <v>44.247522428482498</v>
      </c>
      <c r="E87">
        <v>66.657984651979604</v>
      </c>
      <c r="F87">
        <v>-20.444658019408401</v>
      </c>
      <c r="G87">
        <f t="shared" si="3"/>
        <v>92.361685801795247</v>
      </c>
      <c r="H87">
        <f t="shared" si="4"/>
        <v>91.671957099024581</v>
      </c>
      <c r="I87">
        <f t="shared" si="5"/>
        <v>293.76169847810445</v>
      </c>
    </row>
    <row r="88" spans="1:9" x14ac:dyDescent="0.25">
      <c r="A88">
        <v>89.517611789977494</v>
      </c>
      <c r="B88">
        <v>101.24368306853999</v>
      </c>
      <c r="C88">
        <v>90.550459486968606</v>
      </c>
      <c r="D88">
        <v>43.291852397629697</v>
      </c>
      <c r="E88">
        <v>67.279170172033901</v>
      </c>
      <c r="F88">
        <v>-21.924659468993401</v>
      </c>
      <c r="G88">
        <f t="shared" si="3"/>
        <v>93.524736229342764</v>
      </c>
      <c r="H88">
        <f t="shared" si="4"/>
        <v>92.750890646610969</v>
      </c>
      <c r="I88">
        <f t="shared" si="5"/>
        <v>293.32743047685278</v>
      </c>
    </row>
    <row r="89" spans="1:9" x14ac:dyDescent="0.25">
      <c r="A89">
        <v>90.559292123606994</v>
      </c>
      <c r="B89">
        <v>102.873100471144</v>
      </c>
      <c r="C89">
        <v>91.770206702307405</v>
      </c>
      <c r="D89">
        <v>42.575099874490199</v>
      </c>
      <c r="E89">
        <v>67.279170172033901</v>
      </c>
      <c r="F89">
        <v>-22.694658019408401</v>
      </c>
      <c r="G89">
        <f t="shared" si="3"/>
        <v>94.801511390562069</v>
      </c>
      <c r="H89">
        <f t="shared" si="4"/>
        <v>93.928810297767981</v>
      </c>
      <c r="I89">
        <f t="shared" si="5"/>
        <v>292.83482504882267</v>
      </c>
    </row>
    <row r="90" spans="1:9" x14ac:dyDescent="0.25">
      <c r="A90">
        <v>91.175699293506995</v>
      </c>
      <c r="B90">
        <v>104.191925113721</v>
      </c>
      <c r="C90">
        <v>92.7543111476582</v>
      </c>
      <c r="D90">
        <v>42.097264859063799</v>
      </c>
      <c r="E90">
        <v>66.7057681535222</v>
      </c>
      <c r="F90">
        <v>-24.284658171996298</v>
      </c>
      <c r="G90">
        <f t="shared" si="3"/>
        <v>95.698885549532875</v>
      </c>
      <c r="H90">
        <f t="shared" si="4"/>
        <v>94.746778898341788</v>
      </c>
      <c r="I90">
        <f t="shared" si="5"/>
        <v>292.46576170783106</v>
      </c>
    </row>
    <row r="91" spans="1:9" x14ac:dyDescent="0.25">
      <c r="A91">
        <v>92.408513633307095</v>
      </c>
      <c r="B91">
        <v>106.19405382835799</v>
      </c>
      <c r="C91">
        <v>94.364073219665897</v>
      </c>
      <c r="D91">
        <v>41.571646342094802</v>
      </c>
      <c r="E91">
        <v>66.180149636553196</v>
      </c>
      <c r="F91">
        <v>-25.914659240111501</v>
      </c>
      <c r="G91">
        <f t="shared" si="3"/>
        <v>97.239425639267722</v>
      </c>
      <c r="H91">
        <f t="shared" si="4"/>
        <v>96.132411508955727</v>
      </c>
      <c r="I91">
        <f t="shared" si="5"/>
        <v>291.79249650266786</v>
      </c>
    </row>
    <row r="92" spans="1:9" x14ac:dyDescent="0.25">
      <c r="A92">
        <v>93.2733950112288</v>
      </c>
      <c r="B92">
        <v>107.55588362232299</v>
      </c>
      <c r="C92">
        <v>95.409334093486194</v>
      </c>
      <c r="D92">
        <v>41.714996846722698</v>
      </c>
      <c r="E92">
        <v>66.466850645809004</v>
      </c>
      <c r="F92">
        <v>-26.694658019408401</v>
      </c>
      <c r="G92">
        <f t="shared" si="3"/>
        <v>98.30308638360674</v>
      </c>
      <c r="H92">
        <f t="shared" si="4"/>
        <v>97.082700139926217</v>
      </c>
      <c r="I92">
        <f t="shared" si="5"/>
        <v>291.31466212038038</v>
      </c>
    </row>
    <row r="93" spans="1:9" x14ac:dyDescent="0.25">
      <c r="A93">
        <v>94.353302146092403</v>
      </c>
      <c r="B93">
        <v>108.917713416288</v>
      </c>
      <c r="C93">
        <v>96.664995936956004</v>
      </c>
      <c r="D93">
        <v>42.097264859063799</v>
      </c>
      <c r="E93">
        <v>66.944685661235397</v>
      </c>
      <c r="F93">
        <v>-27.454658248290201</v>
      </c>
      <c r="G93">
        <f t="shared" si="3"/>
        <v>99.495762582110913</v>
      </c>
      <c r="H93">
        <f t="shared" si="4"/>
        <v>98.14105233381099</v>
      </c>
      <c r="I93">
        <f t="shared" si="5"/>
        <v>290.76478290802766</v>
      </c>
    </row>
    <row r="94" spans="1:9" x14ac:dyDescent="0.25">
      <c r="A94">
        <v>95.418874230493202</v>
      </c>
      <c r="B94">
        <v>110.60447102074301</v>
      </c>
      <c r="C94">
        <v>98.089015281136795</v>
      </c>
      <c r="D94">
        <v>42.431749369862203</v>
      </c>
      <c r="E94">
        <v>67.374737175119193</v>
      </c>
      <c r="F94">
        <v>-29.004659392699399</v>
      </c>
      <c r="G94">
        <f t="shared" si="3"/>
        <v>100.8098088745334</v>
      </c>
      <c r="H94">
        <f t="shared" si="4"/>
        <v>99.290291306441148</v>
      </c>
      <c r="I94">
        <f t="shared" si="5"/>
        <v>290.12762716378825</v>
      </c>
    </row>
    <row r="95" spans="1:9" x14ac:dyDescent="0.25">
      <c r="A95">
        <v>96.470111264431296</v>
      </c>
      <c r="B95">
        <v>112.253001823964</v>
      </c>
      <c r="C95">
        <v>99.487136503908701</v>
      </c>
      <c r="D95">
        <v>42.575099874490199</v>
      </c>
      <c r="E95">
        <v>67.326953673576497</v>
      </c>
      <c r="F95">
        <v>-30.504659392699399</v>
      </c>
      <c r="G95">
        <f t="shared" si="3"/>
        <v>102.09996341618466</v>
      </c>
      <c r="H95">
        <f t="shared" si="4"/>
        <v>100.40187282761266</v>
      </c>
      <c r="I95">
        <f t="shared" si="5"/>
        <v>289.47273384183927</v>
      </c>
    </row>
    <row r="96" spans="1:9" x14ac:dyDescent="0.25">
      <c r="A96">
        <v>97.301544191273194</v>
      </c>
      <c r="B96">
        <v>113.89675427703099</v>
      </c>
      <c r="C96">
        <v>100.48276106841</v>
      </c>
      <c r="D96">
        <v>42.431749369862203</v>
      </c>
      <c r="E96">
        <v>66.801335156607493</v>
      </c>
      <c r="F96">
        <v>-31.214658477172101</v>
      </c>
      <c r="G96">
        <f t="shared" si="3"/>
        <v>103.2563241535166</v>
      </c>
      <c r="H96">
        <f t="shared" si="4"/>
        <v>101.39082918775932</v>
      </c>
      <c r="I96">
        <f t="shared" si="5"/>
        <v>288.87345471441341</v>
      </c>
    </row>
    <row r="97" spans="1:9" x14ac:dyDescent="0.25">
      <c r="A97">
        <v>98.338446174748398</v>
      </c>
      <c r="B97">
        <v>115.225135619916</v>
      </c>
      <c r="C97">
        <v>101.836484138432</v>
      </c>
      <c r="D97">
        <v>42.049481357521103</v>
      </c>
      <c r="E97">
        <v>65.750098122669499</v>
      </c>
      <c r="F97">
        <v>-32.584659316405499</v>
      </c>
      <c r="G97">
        <f t="shared" si="3"/>
        <v>104.40981788075572</v>
      </c>
      <c r="H97">
        <f t="shared" si="4"/>
        <v>102.36275910378596</v>
      </c>
      <c r="I97">
        <f t="shared" si="5"/>
        <v>288.25224620102</v>
      </c>
    </row>
    <row r="98" spans="1:9" x14ac:dyDescent="0.25">
      <c r="A98">
        <v>99.561703814239905</v>
      </c>
      <c r="B98">
        <v>117.012238577611</v>
      </c>
      <c r="C98">
        <v>103.353437163663</v>
      </c>
      <c r="D98">
        <v>41.428295837466898</v>
      </c>
      <c r="E98">
        <v>64.077675568677193</v>
      </c>
      <c r="F98">
        <v>-33.8546597741691</v>
      </c>
      <c r="G98">
        <f t="shared" si="3"/>
        <v>105.85861364752861</v>
      </c>
      <c r="H98">
        <f t="shared" si="4"/>
        <v>103.56591645838111</v>
      </c>
      <c r="I98">
        <f t="shared" si="5"/>
        <v>287.44513929738042</v>
      </c>
    </row>
    <row r="99" spans="1:9" x14ac:dyDescent="0.25">
      <c r="A99">
        <v>100.36924499030999</v>
      </c>
      <c r="B99">
        <v>118.651212680523</v>
      </c>
      <c r="C99">
        <v>104.297419489295</v>
      </c>
      <c r="D99">
        <v>41.141594828210998</v>
      </c>
      <c r="E99">
        <v>63.982108565591901</v>
      </c>
      <c r="F99">
        <v>-34.444659926756998</v>
      </c>
      <c r="G99">
        <f t="shared" si="3"/>
        <v>106.99872799433547</v>
      </c>
      <c r="H99">
        <f t="shared" si="4"/>
        <v>104.50613783678698</v>
      </c>
      <c r="I99">
        <f t="shared" si="5"/>
        <v>286.80027924792518</v>
      </c>
    </row>
    <row r="100" spans="1:9" x14ac:dyDescent="0.25">
      <c r="A100">
        <v>101.387033573168</v>
      </c>
      <c r="B100">
        <v>119.993929073871</v>
      </c>
      <c r="C100">
        <v>105.58346514289801</v>
      </c>
      <c r="D100">
        <v>40.854893818955198</v>
      </c>
      <c r="E100">
        <v>64.125459070219804</v>
      </c>
      <c r="F100">
        <v>-35.6046597741691</v>
      </c>
      <c r="G100">
        <f t="shared" si="3"/>
        <v>108.14648770138947</v>
      </c>
      <c r="H100">
        <f t="shared" si="4"/>
        <v>105.43932778646753</v>
      </c>
      <c r="I100">
        <f t="shared" si="5"/>
        <v>286.1320660611712</v>
      </c>
    </row>
    <row r="101" spans="1:9" x14ac:dyDescent="0.25">
      <c r="A101">
        <v>102.419157206489</v>
      </c>
      <c r="B101">
        <v>121.996057788508</v>
      </c>
      <c r="C101">
        <v>106.763592555641</v>
      </c>
      <c r="D101">
        <v>40.807110317412601</v>
      </c>
      <c r="E101">
        <v>65.320046608785702</v>
      </c>
      <c r="F101">
        <v>-36.244659163817602</v>
      </c>
      <c r="G101">
        <f t="shared" si="3"/>
        <v>109.56661336723687</v>
      </c>
      <c r="H101">
        <f t="shared" si="4"/>
        <v>106.58465873804974</v>
      </c>
      <c r="I101">
        <f t="shared" si="5"/>
        <v>285.29243881164541</v>
      </c>
    </row>
    <row r="102" spans="1:9" x14ac:dyDescent="0.25">
      <c r="A102">
        <v>103.24103343302301</v>
      </c>
      <c r="B102">
        <v>123.013846371366</v>
      </c>
      <c r="C102">
        <v>107.74734824673099</v>
      </c>
      <c r="D102">
        <v>40.854893818955198</v>
      </c>
      <c r="E102">
        <v>66.3235001411811</v>
      </c>
      <c r="F102">
        <v>-36.944659926756998</v>
      </c>
      <c r="G102">
        <f t="shared" si="3"/>
        <v>110.46685453630046</v>
      </c>
      <c r="H102">
        <f t="shared" si="4"/>
        <v>107.30414625367948</v>
      </c>
      <c r="I102">
        <f t="shared" si="5"/>
        <v>284.75135482802557</v>
      </c>
    </row>
    <row r="103" spans="1:9" x14ac:dyDescent="0.25">
      <c r="A103">
        <v>104.058131309402</v>
      </c>
      <c r="B103">
        <v>124.729274076747</v>
      </c>
      <c r="C103">
        <v>108.932143398561</v>
      </c>
      <c r="D103">
        <v>40.950460822040498</v>
      </c>
      <c r="E103">
        <v>67.804788689002905</v>
      </c>
      <c r="F103">
        <v>-38.534660079344903</v>
      </c>
      <c r="G103">
        <f t="shared" si="3"/>
        <v>111.64328434428025</v>
      </c>
      <c r="H103">
        <f t="shared" si="4"/>
        <v>108.22438662977892</v>
      </c>
      <c r="I103">
        <f t="shared" si="5"/>
        <v>284.01845323620051</v>
      </c>
    </row>
    <row r="104" spans="1:9" x14ac:dyDescent="0.25">
      <c r="A104">
        <v>105.281388948893</v>
      </c>
      <c r="B104">
        <v>126.83174814462301</v>
      </c>
      <c r="C104">
        <v>110.56009925835799</v>
      </c>
      <c r="D104">
        <v>40.998244323583101</v>
      </c>
      <c r="E104">
        <v>68.378190707514506</v>
      </c>
      <c r="F104">
        <v>-40.284660079344903</v>
      </c>
      <c r="G104">
        <f t="shared" si="3"/>
        <v>113.21822855512525</v>
      </c>
      <c r="H104">
        <f t="shared" si="4"/>
        <v>109.42581938479472</v>
      </c>
      <c r="I104">
        <f t="shared" si="5"/>
        <v>283.00011704296696</v>
      </c>
    </row>
    <row r="105" spans="1:9" x14ac:dyDescent="0.25">
      <c r="A105">
        <v>106.079373424655</v>
      </c>
      <c r="B105">
        <v>127.868650128098</v>
      </c>
      <c r="C105">
        <v>111.56390154501401</v>
      </c>
      <c r="D105">
        <v>40.711543314327301</v>
      </c>
      <c r="E105">
        <v>68.808242221398302</v>
      </c>
      <c r="F105">
        <v>-41.174659468993397</v>
      </c>
      <c r="G105">
        <f t="shared" si="3"/>
        <v>114.11178003397245</v>
      </c>
      <c r="H105">
        <f t="shared" si="4"/>
        <v>110.09840108509076</v>
      </c>
      <c r="I105">
        <f t="shared" si="5"/>
        <v>282.41184151077402</v>
      </c>
    </row>
    <row r="106" spans="1:9" x14ac:dyDescent="0.25">
      <c r="A106">
        <v>107.07327025674201</v>
      </c>
      <c r="B106">
        <v>129.57929948332401</v>
      </c>
      <c r="C106">
        <v>112.980996628749</v>
      </c>
      <c r="D106">
        <v>40.4248423050715</v>
      </c>
      <c r="E106">
        <v>69.047159729111499</v>
      </c>
      <c r="F106">
        <v>-43.004657485350798</v>
      </c>
      <c r="G106">
        <f t="shared" si="3"/>
        <v>115.39237787531506</v>
      </c>
      <c r="H106">
        <f t="shared" si="4"/>
        <v>111.03490005900608</v>
      </c>
      <c r="I106">
        <f t="shared" si="5"/>
        <v>281.53839975363911</v>
      </c>
    </row>
    <row r="107" spans="1:9" x14ac:dyDescent="0.25">
      <c r="A107">
        <v>107.861698032196</v>
      </c>
      <c r="B107">
        <v>130.94112927729</v>
      </c>
      <c r="C107">
        <v>113.97755527037199</v>
      </c>
      <c r="D107">
        <v>40.090357794272997</v>
      </c>
      <c r="E107">
        <v>69.094943230654096</v>
      </c>
      <c r="F107">
        <v>-43.904659011229697</v>
      </c>
      <c r="G107">
        <f t="shared" si="3"/>
        <v>116.41016645817386</v>
      </c>
      <c r="H107">
        <f t="shared" si="4"/>
        <v>111.76821136439486</v>
      </c>
      <c r="I107">
        <f t="shared" si="5"/>
        <v>280.83260365788146</v>
      </c>
    </row>
    <row r="108" spans="1:9" x14ac:dyDescent="0.25">
      <c r="A108">
        <v>108.45421345132399</v>
      </c>
      <c r="B108">
        <v>132.28862402079201</v>
      </c>
      <c r="C108">
        <v>114.771263272016</v>
      </c>
      <c r="D108">
        <v>39.803656785017203</v>
      </c>
      <c r="E108">
        <v>68.617108215227702</v>
      </c>
      <c r="F108">
        <v>-44.774657943114498</v>
      </c>
      <c r="G108">
        <f t="shared" si="3"/>
        <v>117.30467360705146</v>
      </c>
      <c r="H108">
        <f t="shared" si="4"/>
        <v>112.40320618207619</v>
      </c>
      <c r="I108">
        <f t="shared" si="5"/>
        <v>280.20258411777894</v>
      </c>
    </row>
    <row r="109" spans="1:9" x14ac:dyDescent="0.25">
      <c r="A109">
        <v>109.247419576932</v>
      </c>
      <c r="B109">
        <v>133.287299203033</v>
      </c>
      <c r="C109">
        <v>115.758724578658</v>
      </c>
      <c r="D109">
        <v>39.6603062803893</v>
      </c>
      <c r="E109">
        <v>68.043706196716101</v>
      </c>
      <c r="F109">
        <v>-45.614658095702303</v>
      </c>
      <c r="G109">
        <f t="shared" si="3"/>
        <v>118.18006735531266</v>
      </c>
      <c r="H109">
        <f t="shared" si="4"/>
        <v>113.01552706736335</v>
      </c>
      <c r="I109">
        <f t="shared" si="5"/>
        <v>279.5769825289575</v>
      </c>
    </row>
    <row r="110" spans="1:9" x14ac:dyDescent="0.25">
      <c r="A110">
        <v>110.035847352386</v>
      </c>
      <c r="B110">
        <v>135.01228360872199</v>
      </c>
      <c r="C110">
        <v>116.933350543076</v>
      </c>
      <c r="D110">
        <v>39.564739277304</v>
      </c>
      <c r="E110">
        <v>67.852572190545501</v>
      </c>
      <c r="F110">
        <v>-47.284660079344903</v>
      </c>
      <c r="G110">
        <f t="shared" si="3"/>
        <v>119.34311778286065</v>
      </c>
      <c r="H110">
        <f t="shared" si="4"/>
        <v>113.80448977516438</v>
      </c>
      <c r="I110">
        <f t="shared" si="5"/>
        <v>278.72245099488822</v>
      </c>
    </row>
    <row r="111" spans="1:9" x14ac:dyDescent="0.25">
      <c r="A111">
        <v>111.044079234935</v>
      </c>
      <c r="B111">
        <v>136.441010304847</v>
      </c>
      <c r="C111">
        <v>118.135837606659</v>
      </c>
      <c r="D111">
        <v>39.708089781931903</v>
      </c>
      <c r="E111">
        <v>68.617108215227702</v>
      </c>
      <c r="F111">
        <v>-48.124660231932801</v>
      </c>
      <c r="G111">
        <f t="shared" si="3"/>
        <v>120.51954759084006</v>
      </c>
      <c r="H111">
        <f t="shared" si="4"/>
        <v>114.58977095416186</v>
      </c>
      <c r="I111">
        <f t="shared" si="5"/>
        <v>277.84648263757452</v>
      </c>
    </row>
    <row r="112" spans="1:9" x14ac:dyDescent="0.25">
      <c r="A112">
        <v>112.080981218411</v>
      </c>
      <c r="B112">
        <v>138.29501016470201</v>
      </c>
      <c r="C112">
        <v>119.572812582062</v>
      </c>
      <c r="D112">
        <v>40.233708298900901</v>
      </c>
      <c r="E112">
        <v>69.381644239909903</v>
      </c>
      <c r="F112">
        <v>-49.8546597741691</v>
      </c>
      <c r="G112">
        <f t="shared" si="3"/>
        <v>121.88328872486765</v>
      </c>
      <c r="H112">
        <f t="shared" si="4"/>
        <v>115.46901405450613</v>
      </c>
      <c r="I112">
        <f t="shared" si="5"/>
        <v>276.80402330928598</v>
      </c>
    </row>
    <row r="113" spans="1:9" x14ac:dyDescent="0.25">
      <c r="A113">
        <v>112.740393539699</v>
      </c>
      <c r="B113">
        <v>139.26023689586299</v>
      </c>
      <c r="C113">
        <v>120.428792257488</v>
      </c>
      <c r="D113">
        <v>40.902677320497801</v>
      </c>
      <c r="E113">
        <v>69.716128750708407</v>
      </c>
      <c r="F113">
        <v>-50.704658248290201</v>
      </c>
      <c r="G113">
        <f t="shared" si="3"/>
        <v>122.66502681010485</v>
      </c>
      <c r="H113">
        <f t="shared" si="4"/>
        <v>115.96410282074113</v>
      </c>
      <c r="I113">
        <f t="shared" si="5"/>
        <v>276.19904269186242</v>
      </c>
    </row>
    <row r="114" spans="1:9" x14ac:dyDescent="0.25">
      <c r="A114">
        <v>113.590939867158</v>
      </c>
      <c r="B114">
        <v>140.63162339013701</v>
      </c>
      <c r="C114">
        <v>121.464343309223</v>
      </c>
      <c r="D114">
        <v>41.523862840552098</v>
      </c>
      <c r="E114">
        <v>69.955046258421604</v>
      </c>
      <c r="F114">
        <v>-51.504657485350798</v>
      </c>
      <c r="G114">
        <f t="shared" si="3"/>
        <v>123.72390920428985</v>
      </c>
      <c r="H114">
        <f t="shared" si="4"/>
        <v>116.62320524449238</v>
      </c>
      <c r="I114">
        <f t="shared" si="5"/>
        <v>275.37029911287055</v>
      </c>
    </row>
    <row r="115" spans="1:9" x14ac:dyDescent="0.25">
      <c r="A115">
        <v>114.446264544771</v>
      </c>
      <c r="B115">
        <v>141.97911813363899</v>
      </c>
      <c r="C115">
        <v>122.67580263242699</v>
      </c>
      <c r="D115">
        <v>42.097264859063799</v>
      </c>
      <c r="E115">
        <v>69.668345249165796</v>
      </c>
      <c r="F115">
        <v>-53.044658400878099</v>
      </c>
      <c r="G115">
        <f t="shared" si="3"/>
        <v>124.77610190825844</v>
      </c>
      <c r="H115">
        <f t="shared" si="4"/>
        <v>117.25577545413992</v>
      </c>
      <c r="I115">
        <f t="shared" si="5"/>
        <v>274.52948735263453</v>
      </c>
    </row>
    <row r="116" spans="1:9" x14ac:dyDescent="0.25">
      <c r="A116">
        <v>115.712527335651</v>
      </c>
      <c r="B116">
        <v>143.966911797813</v>
      </c>
      <c r="C116">
        <v>124.115507517724</v>
      </c>
      <c r="D116">
        <v>42.479532871404899</v>
      </c>
      <c r="E116">
        <v>68.234840202886602</v>
      </c>
      <c r="F116">
        <v>-53.794658400878099</v>
      </c>
      <c r="G116">
        <f t="shared" si="3"/>
        <v>126.33097704845605</v>
      </c>
      <c r="H116">
        <f t="shared" si="4"/>
        <v>118.1742104962802</v>
      </c>
      <c r="I116">
        <f t="shared" si="5"/>
        <v>273.2748504430175</v>
      </c>
    </row>
    <row r="117" spans="1:9" x14ac:dyDescent="0.25">
      <c r="A117">
        <v>116.539181912339</v>
      </c>
      <c r="B117">
        <v>145.64889105211401</v>
      </c>
      <c r="C117">
        <v>125.293671511624</v>
      </c>
      <c r="D117">
        <v>42.383965868319599</v>
      </c>
      <c r="E117">
        <v>67.326953673576497</v>
      </c>
      <c r="F117">
        <v>-55.314658858641799</v>
      </c>
      <c r="G117">
        <f t="shared" si="3"/>
        <v>127.49976149618927</v>
      </c>
      <c r="H117">
        <f t="shared" si="4"/>
        <v>118.83932968376486</v>
      </c>
      <c r="I117">
        <f t="shared" si="5"/>
        <v>272.31377107496155</v>
      </c>
    </row>
    <row r="118" spans="1:9" x14ac:dyDescent="0.25">
      <c r="A118">
        <v>118.77067143438001</v>
      </c>
      <c r="B118">
        <v>149.01762791087</v>
      </c>
      <c r="C118">
        <v>128.04086208853801</v>
      </c>
      <c r="D118">
        <v>41.093811326668401</v>
      </c>
      <c r="E118">
        <v>66.466850645809004</v>
      </c>
      <c r="F118">
        <v>-57.544658400878099</v>
      </c>
      <c r="G118">
        <f t="shared" si="3"/>
        <v>130.18614995291628</v>
      </c>
      <c r="H118">
        <f t="shared" si="4"/>
        <v>120.28095876060776</v>
      </c>
      <c r="I118">
        <f t="shared" si="5"/>
        <v>270.04696968418261</v>
      </c>
    </row>
    <row r="119" spans="1:9" x14ac:dyDescent="0.25">
      <c r="A119">
        <v>119.798016717547</v>
      </c>
      <c r="B119">
        <v>150.900297871649</v>
      </c>
      <c r="C119">
        <v>129.40815415905701</v>
      </c>
      <c r="D119">
        <v>40.854893818955198</v>
      </c>
      <c r="E119">
        <v>65.989015630382696</v>
      </c>
      <c r="F119">
        <v>-59.014659621581302</v>
      </c>
      <c r="G119">
        <f t="shared" si="3"/>
        <v>131.55562510712809</v>
      </c>
      <c r="H119">
        <f t="shared" si="4"/>
        <v>120.98599023995074</v>
      </c>
      <c r="I119">
        <f t="shared" si="5"/>
        <v>268.87291993602929</v>
      </c>
    </row>
    <row r="120" spans="1:9" x14ac:dyDescent="0.25">
      <c r="A120">
        <v>121.045166107809</v>
      </c>
      <c r="B120">
        <v>152.52971527425299</v>
      </c>
      <c r="C120">
        <v>130.99756250977501</v>
      </c>
      <c r="D120">
        <v>40.998244323583101</v>
      </c>
      <c r="E120">
        <v>65.558964116498899</v>
      </c>
      <c r="F120">
        <v>-60.494659163817602</v>
      </c>
      <c r="G120">
        <f t="shared" si="3"/>
        <v>132.9556817023269</v>
      </c>
      <c r="H120">
        <f t="shared" si="4"/>
        <v>121.67552467700445</v>
      </c>
      <c r="I120">
        <f t="shared" si="5"/>
        <v>267.65443697353999</v>
      </c>
    </row>
    <row r="121" spans="1:9" x14ac:dyDescent="0.25">
      <c r="A121">
        <v>121.666351627864</v>
      </c>
      <c r="B121">
        <v>153.85331826698399</v>
      </c>
      <c r="C121">
        <v>131.79219012424599</v>
      </c>
      <c r="D121">
        <v>41.141594828210998</v>
      </c>
      <c r="E121">
        <v>65.558964116498899</v>
      </c>
      <c r="F121">
        <v>-61.244659163817602</v>
      </c>
      <c r="G121">
        <f t="shared" si="3"/>
        <v>133.85783421145229</v>
      </c>
      <c r="H121">
        <f t="shared" si="4"/>
        <v>122.10952362758817</v>
      </c>
      <c r="I121">
        <f t="shared" si="5"/>
        <v>266.86353618291361</v>
      </c>
    </row>
    <row r="122" spans="1:9" x14ac:dyDescent="0.25">
      <c r="A122">
        <v>122.722367011956</v>
      </c>
      <c r="B122">
        <v>155.196034660333</v>
      </c>
      <c r="C122">
        <v>133.204340153929</v>
      </c>
      <c r="D122">
        <v>41.380512335924202</v>
      </c>
      <c r="E122">
        <v>65.702314621126803</v>
      </c>
      <c r="F122">
        <v>-62.784660079344903</v>
      </c>
      <c r="G122">
        <f t="shared" si="3"/>
        <v>135.0285299992471</v>
      </c>
      <c r="H122">
        <f t="shared" si="4"/>
        <v>122.64492499854798</v>
      </c>
      <c r="I122">
        <f t="shared" si="5"/>
        <v>265.82244348793643</v>
      </c>
    </row>
    <row r="123" spans="1:9" x14ac:dyDescent="0.25">
      <c r="A123">
        <v>123.572913339415</v>
      </c>
      <c r="B123">
        <v>156.55308610414301</v>
      </c>
      <c r="C123">
        <v>134.23064163108</v>
      </c>
      <c r="D123">
        <v>41.858347351350602</v>
      </c>
      <c r="E123">
        <v>66.275716639638503</v>
      </c>
      <c r="F123">
        <v>-63.5446622155754</v>
      </c>
      <c r="G123">
        <f t="shared" si="3"/>
        <v>136.08167837324649</v>
      </c>
      <c r="H123">
        <f t="shared" si="4"/>
        <v>123.11410267694735</v>
      </c>
      <c r="I123">
        <f t="shared" si="5"/>
        <v>264.8795788084891</v>
      </c>
    </row>
    <row r="124" spans="1:9" x14ac:dyDescent="0.25">
      <c r="A124">
        <v>124.423459666874</v>
      </c>
      <c r="B124">
        <v>157.91013754795401</v>
      </c>
      <c r="C124">
        <v>135.43500954885499</v>
      </c>
      <c r="D124">
        <v>42.097264859063799</v>
      </c>
      <c r="E124">
        <v>66.944685661235397</v>
      </c>
      <c r="F124">
        <v>-65.074660994872303</v>
      </c>
      <c r="G124">
        <f t="shared" si="3"/>
        <v>137.13482674724628</v>
      </c>
      <c r="H124">
        <f t="shared" si="4"/>
        <v>123.55793827509076</v>
      </c>
      <c r="I124">
        <f t="shared" si="5"/>
        <v>263.92452307216837</v>
      </c>
    </row>
    <row r="125" spans="1:9" x14ac:dyDescent="0.25">
      <c r="A125">
        <v>124.843954480449</v>
      </c>
      <c r="B125">
        <v>158.57910656955099</v>
      </c>
      <c r="C125">
        <v>136.028946456847</v>
      </c>
      <c r="D125">
        <v>42.192831862149099</v>
      </c>
      <c r="E125">
        <v>67.040252664320704</v>
      </c>
      <c r="F125">
        <v>-65.824660994872303</v>
      </c>
      <c r="G125">
        <f t="shared" si="3"/>
        <v>137.65471124403007</v>
      </c>
      <c r="H125">
        <f t="shared" si="4"/>
        <v>123.77084678371315</v>
      </c>
      <c r="I125">
        <f t="shared" si="5"/>
        <v>263.45023428150142</v>
      </c>
    </row>
    <row r="126" spans="1:9" x14ac:dyDescent="0.25">
      <c r="A126">
        <v>126.091103870712</v>
      </c>
      <c r="B126">
        <v>160.519116732182</v>
      </c>
      <c r="C126">
        <v>137.636854838907</v>
      </c>
      <c r="D126">
        <v>42.192831862149099</v>
      </c>
      <c r="E126">
        <v>66.657984651979604</v>
      </c>
      <c r="F126">
        <v>-67.384658553465997</v>
      </c>
      <c r="G126">
        <f t="shared" si="3"/>
        <v>139.17900494324027</v>
      </c>
      <c r="H126">
        <f t="shared" si="4"/>
        <v>124.35700250344703</v>
      </c>
      <c r="I126">
        <f t="shared" si="5"/>
        <v>262.04314766239258</v>
      </c>
    </row>
    <row r="127" spans="1:9" x14ac:dyDescent="0.25">
      <c r="A127">
        <v>127.12800585418699</v>
      </c>
      <c r="B127">
        <v>162.16286918524901</v>
      </c>
      <c r="C127">
        <v>138.85413631828101</v>
      </c>
      <c r="D127">
        <v>41.953914354435902</v>
      </c>
      <c r="E127">
        <v>65.558964116498899</v>
      </c>
      <c r="F127">
        <v>-68.1646573327629</v>
      </c>
      <c r="G127">
        <f t="shared" si="3"/>
        <v>140.45864711455206</v>
      </c>
      <c r="H127">
        <f t="shared" si="4"/>
        <v>124.83295324932551</v>
      </c>
      <c r="I127">
        <f t="shared" si="5"/>
        <v>260.8553114051175</v>
      </c>
    </row>
    <row r="128" spans="1:9" x14ac:dyDescent="0.25">
      <c r="A128">
        <v>127.739634673933</v>
      </c>
      <c r="B128">
        <v>163.03730726347899</v>
      </c>
      <c r="C128">
        <v>139.64614463392499</v>
      </c>
      <c r="D128">
        <v>41.667213345180002</v>
      </c>
      <c r="E128">
        <v>64.842211593359394</v>
      </c>
      <c r="F128">
        <v>-68.944656112059803</v>
      </c>
      <c r="G128">
        <f t="shared" si="3"/>
        <v>141.17539963769167</v>
      </c>
      <c r="H128">
        <f t="shared" si="4"/>
        <v>125.09046061181375</v>
      </c>
      <c r="I128">
        <f t="shared" si="5"/>
        <v>260.18641370165955</v>
      </c>
    </row>
    <row r="129" spans="1:9" x14ac:dyDescent="0.25">
      <c r="A129">
        <v>128.561510900466</v>
      </c>
      <c r="B129">
        <v>164.30834840451399</v>
      </c>
      <c r="C129">
        <v>140.81028070308599</v>
      </c>
      <c r="D129">
        <v>41.380512335924202</v>
      </c>
      <c r="E129">
        <v>63.982108565591901</v>
      </c>
      <c r="F129">
        <v>-70.424659468993397</v>
      </c>
      <c r="G129">
        <f t="shared" si="3"/>
        <v>142.17694183002547</v>
      </c>
      <c r="H129">
        <f t="shared" si="4"/>
        <v>125.42602340492058</v>
      </c>
      <c r="I129">
        <f t="shared" si="5"/>
        <v>259.24275890518624</v>
      </c>
    </row>
    <row r="130" spans="1:9" x14ac:dyDescent="0.25">
      <c r="A130">
        <v>129.18747477067501</v>
      </c>
      <c r="B130">
        <v>165.58894624585599</v>
      </c>
      <c r="C130">
        <v>141.600436210955</v>
      </c>
      <c r="D130">
        <v>41.284945332838902</v>
      </c>
      <c r="E130">
        <v>63.552057051708097</v>
      </c>
      <c r="F130">
        <v>-71.134658553465997</v>
      </c>
      <c r="G130">
        <f t="shared" si="3"/>
        <v>143.06475928868767</v>
      </c>
      <c r="H130">
        <f t="shared" si="4"/>
        <v>125.71309480002648</v>
      </c>
      <c r="I130">
        <f t="shared" si="5"/>
        <v>258.40263400136695</v>
      </c>
    </row>
    <row r="131" spans="1:9" x14ac:dyDescent="0.25">
      <c r="A131">
        <v>130.21004170368701</v>
      </c>
      <c r="B131">
        <v>167.189693547535</v>
      </c>
      <c r="C131">
        <v>142.78488172635201</v>
      </c>
      <c r="D131">
        <v>41.189378329753701</v>
      </c>
      <c r="E131">
        <v>63.456490048622797</v>
      </c>
      <c r="F131">
        <v>-71.834655501708198</v>
      </c>
      <c r="G131">
        <f t="shared" si="3"/>
        <v>144.31859836916647</v>
      </c>
      <c r="H131">
        <f t="shared" si="4"/>
        <v>126.10399200821215</v>
      </c>
      <c r="I131">
        <f t="shared" si="5"/>
        <v>257.21128526469556</v>
      </c>
    </row>
    <row r="132" spans="1:9" x14ac:dyDescent="0.25">
      <c r="A132">
        <v>130.821670523433</v>
      </c>
      <c r="B132">
        <v>168.15014192854201</v>
      </c>
      <c r="C132">
        <v>143.727206876693</v>
      </c>
      <c r="D132">
        <v>41.093811326668401</v>
      </c>
      <c r="E132">
        <v>63.695407556336001</v>
      </c>
      <c r="F132">
        <v>-73.264655806883994</v>
      </c>
      <c r="G132">
        <f t="shared" ref="G132:G195" si="6">G131 + AVERAGE(A132-A131,B132-B131) + $K$2*ABS( (A132-A131) - (B132-B131) )</f>
        <v>145.06975501341688</v>
      </c>
      <c r="H132">
        <f t="shared" ref="H132:H195" si="7">H131 + ($G132-$G131)*COS($F132*PI()/180)</f>
        <v>126.3202885551007</v>
      </c>
      <c r="I132">
        <f t="shared" ref="I132:I195" si="8">I131 + ($G132-$G131)*SIN($F132*PI()/180)</f>
        <v>256.49194382420598</v>
      </c>
    </row>
    <row r="133" spans="1:9" x14ac:dyDescent="0.25">
      <c r="A133">
        <v>132.07359826384999</v>
      </c>
      <c r="B133">
        <v>169.76044593052899</v>
      </c>
      <c r="C133">
        <v>145.145639310045</v>
      </c>
      <c r="D133">
        <v>41.284945332838902</v>
      </c>
      <c r="E133">
        <v>63.456490048622797</v>
      </c>
      <c r="F133">
        <v>-73.984657027587104</v>
      </c>
      <c r="G133">
        <f t="shared" si="6"/>
        <v>146.46503325846186</v>
      </c>
      <c r="H133">
        <f t="shared" si="7"/>
        <v>126.70523850853222</v>
      </c>
      <c r="I133">
        <f t="shared" si="8"/>
        <v>255.15081932795334</v>
      </c>
    </row>
    <row r="134" spans="1:9" x14ac:dyDescent="0.25">
      <c r="A134">
        <v>132.76168068606401</v>
      </c>
      <c r="B134">
        <v>170.62532730845001</v>
      </c>
      <c r="C134">
        <v>146.00253948047001</v>
      </c>
      <c r="D134">
        <v>42.001697855978499</v>
      </c>
      <c r="E134">
        <v>63.169789039366997</v>
      </c>
      <c r="F134">
        <v>-74.714660384520698</v>
      </c>
      <c r="G134">
        <f t="shared" si="6"/>
        <v>147.22383526295869</v>
      </c>
      <c r="H134">
        <f t="shared" si="7"/>
        <v>126.90527862645118</v>
      </c>
      <c r="I134">
        <f t="shared" si="8"/>
        <v>254.41886001675402</v>
      </c>
    </row>
    <row r="135" spans="1:9" x14ac:dyDescent="0.25">
      <c r="A135">
        <v>133.44498475812401</v>
      </c>
      <c r="B135">
        <v>171.55710558853201</v>
      </c>
      <c r="C135">
        <v>146.84309778870801</v>
      </c>
      <c r="D135">
        <v>42.575099874490199</v>
      </c>
      <c r="E135">
        <v>62.9308715316538</v>
      </c>
      <c r="F135">
        <v>-75.394660689696494</v>
      </c>
      <c r="G135">
        <f t="shared" si="6"/>
        <v>148.0065290182275</v>
      </c>
      <c r="H135">
        <f t="shared" si="7"/>
        <v>127.10264232104633</v>
      </c>
      <c r="I135">
        <f t="shared" si="8"/>
        <v>253.66145848084818</v>
      </c>
    </row>
    <row r="136" spans="1:9" x14ac:dyDescent="0.25">
      <c r="A136">
        <v>133.90848472308701</v>
      </c>
      <c r="B136">
        <v>172.48888386861299</v>
      </c>
      <c r="C136">
        <v>147.46847633605699</v>
      </c>
      <c r="D136">
        <v>43.1485018930018</v>
      </c>
      <c r="E136">
        <v>62.500820017770103</v>
      </c>
      <c r="F136">
        <v>-76.094657637938695</v>
      </c>
      <c r="G136">
        <f t="shared" si="6"/>
        <v>148.6573403092377</v>
      </c>
      <c r="H136">
        <f t="shared" si="7"/>
        <v>127.2590443486429</v>
      </c>
      <c r="I136">
        <f t="shared" si="8"/>
        <v>253.02971981472899</v>
      </c>
    </row>
    <row r="137" spans="1:9" x14ac:dyDescent="0.25">
      <c r="A137">
        <v>135.284649567515</v>
      </c>
      <c r="B137">
        <v>174.09440952044599</v>
      </c>
      <c r="C137">
        <v>149.142961794603</v>
      </c>
      <c r="D137">
        <v>44.629790440823598</v>
      </c>
      <c r="E137">
        <v>62.739737525483299</v>
      </c>
      <c r="F137">
        <v>-77.384658553465997</v>
      </c>
      <c r="G137">
        <f t="shared" si="6"/>
        <v>150.12524947662772</v>
      </c>
      <c r="H137">
        <f t="shared" si="7"/>
        <v>127.57964238073026</v>
      </c>
      <c r="I137">
        <f t="shared" si="8"/>
        <v>251.59724844484776</v>
      </c>
    </row>
    <row r="138" spans="1:9" x14ac:dyDescent="0.25">
      <c r="A138">
        <v>136.431453604539</v>
      </c>
      <c r="B138">
        <v>175.72382692305001</v>
      </c>
      <c r="C138">
        <v>150.43314526484099</v>
      </c>
      <c r="D138">
        <v>45.824377979389503</v>
      </c>
      <c r="E138">
        <v>63.265356042452296</v>
      </c>
      <c r="F138">
        <v>-78.004661300048099</v>
      </c>
      <c r="G138">
        <f t="shared" si="6"/>
        <v>151.46509885988374</v>
      </c>
      <c r="H138">
        <f t="shared" si="7"/>
        <v>127.85810610901906</v>
      </c>
      <c r="I138">
        <f t="shared" si="8"/>
        <v>250.2866553265082</v>
      </c>
    </row>
    <row r="139" spans="1:9" x14ac:dyDescent="0.25">
      <c r="A139">
        <v>137.114757676598</v>
      </c>
      <c r="B139">
        <v>177.02353816501</v>
      </c>
      <c r="C139">
        <v>151.38008117926699</v>
      </c>
      <c r="D139">
        <v>45.824377979389503</v>
      </c>
      <c r="E139">
        <v>63.982108565591901</v>
      </c>
      <c r="F139">
        <v>-79.144660689696494</v>
      </c>
      <c r="G139">
        <f t="shared" si="6"/>
        <v>152.39496579990313</v>
      </c>
      <c r="H139">
        <f t="shared" si="7"/>
        <v>128.03322792406848</v>
      </c>
      <c r="I139">
        <f t="shared" si="8"/>
        <v>249.37342760242464</v>
      </c>
    </row>
    <row r="140" spans="1:9" x14ac:dyDescent="0.25">
      <c r="A140">
        <v>138.017865855754</v>
      </c>
      <c r="B140">
        <v>178.28502260573501</v>
      </c>
      <c r="C140">
        <v>152.408067878125</v>
      </c>
      <c r="D140">
        <v>45.728810976304302</v>
      </c>
      <c r="E140">
        <v>64.221026073305097</v>
      </c>
      <c r="F140">
        <v>-79.684661605223795</v>
      </c>
      <c r="G140">
        <f t="shared" si="6"/>
        <v>153.44142448368675</v>
      </c>
      <c r="H140">
        <f t="shared" si="7"/>
        <v>128.22061267629473</v>
      </c>
      <c r="I140">
        <f t="shared" si="8"/>
        <v>248.34388268766898</v>
      </c>
    </row>
    <row r="141" spans="1:9" x14ac:dyDescent="0.25">
      <c r="A141">
        <v>139.59949975681599</v>
      </c>
      <c r="B141">
        <v>180.10079566435499</v>
      </c>
      <c r="C141">
        <v>154.23945705424501</v>
      </c>
      <c r="D141">
        <v>45.489893468591099</v>
      </c>
      <c r="E141">
        <v>63.4087065470802</v>
      </c>
      <c r="F141">
        <v>-80.764655806883994</v>
      </c>
      <c r="G141">
        <f t="shared" si="6"/>
        <v>155.11671404777192</v>
      </c>
      <c r="H141">
        <f t="shared" si="7"/>
        <v>128.48948005673248</v>
      </c>
      <c r="I141">
        <f t="shared" si="8"/>
        <v>246.69030914673732</v>
      </c>
    </row>
    <row r="142" spans="1:9" x14ac:dyDescent="0.25">
      <c r="A142">
        <v>140.49782958581699</v>
      </c>
      <c r="B142">
        <v>181.524744010326</v>
      </c>
      <c r="C142">
        <v>155.36673171820499</v>
      </c>
      <c r="D142">
        <v>45.155408957792602</v>
      </c>
      <c r="E142">
        <v>61.354015980746802</v>
      </c>
      <c r="F142">
        <v>-81.754661300048099</v>
      </c>
      <c r="G142">
        <f t="shared" si="6"/>
        <v>156.22529128356095</v>
      </c>
      <c r="H142">
        <f t="shared" si="7"/>
        <v>128.64846345543558</v>
      </c>
      <c r="I142">
        <f t="shared" si="8"/>
        <v>245.59319121021161</v>
      </c>
    </row>
    <row r="143" spans="1:9" x14ac:dyDescent="0.25">
      <c r="A143">
        <v>141.878772780399</v>
      </c>
      <c r="B143">
        <v>182.99647585783899</v>
      </c>
      <c r="C143">
        <v>156.93499181016699</v>
      </c>
      <c r="D143">
        <v>45.346542963963202</v>
      </c>
      <c r="E143">
        <v>59.7293769282971</v>
      </c>
      <c r="F143">
        <v>-82.564658858641806</v>
      </c>
      <c r="G143">
        <f t="shared" si="6"/>
        <v>157.64254993931533</v>
      </c>
      <c r="H143">
        <f t="shared" si="7"/>
        <v>128.83186700618259</v>
      </c>
      <c r="I143">
        <f t="shared" si="8"/>
        <v>244.18784953115841</v>
      </c>
    </row>
    <row r="144" spans="1:9" x14ac:dyDescent="0.25">
      <c r="A144">
        <v>142.815329410635</v>
      </c>
      <c r="B144">
        <v>184.200620096714</v>
      </c>
      <c r="C144">
        <v>157.96405124362701</v>
      </c>
      <c r="D144">
        <v>45.633243973219002</v>
      </c>
      <c r="E144">
        <v>59.155974909785499</v>
      </c>
      <c r="F144">
        <v>-82.964660384520698</v>
      </c>
      <c r="G144">
        <f t="shared" si="6"/>
        <v>158.68614161300692</v>
      </c>
      <c r="H144">
        <f t="shared" si="7"/>
        <v>128.9596876957855</v>
      </c>
      <c r="I144">
        <f t="shared" si="8"/>
        <v>243.15211527339349</v>
      </c>
    </row>
    <row r="145" spans="1:9" x14ac:dyDescent="0.25">
      <c r="A145">
        <v>143.52730358362001</v>
      </c>
      <c r="B145">
        <v>185.41432103589699</v>
      </c>
      <c r="C145">
        <v>158.77083951076801</v>
      </c>
      <c r="D145">
        <v>46.015511985560103</v>
      </c>
      <c r="E145">
        <v>59.060407906700199</v>
      </c>
      <c r="F145">
        <v>-83.374656417235599</v>
      </c>
      <c r="G145">
        <f t="shared" si="6"/>
        <v>159.59880649247111</v>
      </c>
      <c r="H145">
        <f t="shared" si="7"/>
        <v>129.0649878088191</v>
      </c>
      <c r="I145">
        <f t="shared" si="8"/>
        <v>242.24554532661469</v>
      </c>
    </row>
    <row r="146" spans="1:9" x14ac:dyDescent="0.25">
      <c r="A146">
        <v>144.75056122311199</v>
      </c>
      <c r="B146">
        <v>186.642357025542</v>
      </c>
      <c r="C146">
        <v>160.08891300875899</v>
      </c>
      <c r="D146">
        <v>47.0189655179555</v>
      </c>
      <c r="E146">
        <v>59.681593426754503</v>
      </c>
      <c r="F146">
        <v>-83.784660079344903</v>
      </c>
      <c r="G146">
        <f t="shared" si="6"/>
        <v>160.8239754720243</v>
      </c>
      <c r="H146">
        <f t="shared" si="7"/>
        <v>129.1976313630031</v>
      </c>
      <c r="I146">
        <f t="shared" si="8"/>
        <v>241.02757787385053</v>
      </c>
    </row>
    <row r="147" spans="1:9" x14ac:dyDescent="0.25">
      <c r="A147">
        <v>146.03115906445501</v>
      </c>
      <c r="B147">
        <v>188.21921257644999</v>
      </c>
      <c r="C147">
        <v>161.545265999794</v>
      </c>
      <c r="D147">
        <v>48.404687062691998</v>
      </c>
      <c r="E147">
        <v>60.446129451436697</v>
      </c>
      <c r="F147">
        <v>-84.5446622155754</v>
      </c>
      <c r="G147">
        <f t="shared" si="6"/>
        <v>162.22307639719332</v>
      </c>
      <c r="H147">
        <f t="shared" si="7"/>
        <v>129.33064362134979</v>
      </c>
      <c r="I147">
        <f t="shared" si="8"/>
        <v>239.63481402526085</v>
      </c>
    </row>
    <row r="148" spans="1:9" x14ac:dyDescent="0.25">
      <c r="A148">
        <v>146.77658168852</v>
      </c>
      <c r="B148">
        <v>189.33734651254699</v>
      </c>
      <c r="C148">
        <v>162.37393920598299</v>
      </c>
      <c r="D148">
        <v>48.978089081203599</v>
      </c>
      <c r="E148">
        <v>60.350562448351397</v>
      </c>
      <c r="F148">
        <v>-84.904655196532403</v>
      </c>
      <c r="G148">
        <f t="shared" si="6"/>
        <v>163.11758354607113</v>
      </c>
      <c r="H148">
        <f t="shared" si="7"/>
        <v>129.41008781548368</v>
      </c>
      <c r="I148">
        <f t="shared" si="8"/>
        <v>238.74384171401212</v>
      </c>
    </row>
    <row r="149" spans="1:9" x14ac:dyDescent="0.25">
      <c r="A149">
        <v>148.014174378474</v>
      </c>
      <c r="B149">
        <v>190.48892889972501</v>
      </c>
      <c r="C149">
        <v>163.37751604939501</v>
      </c>
      <c r="D149">
        <v>49.599274601257903</v>
      </c>
      <c r="E149">
        <v>59.777160429839697</v>
      </c>
      <c r="F149">
        <v>-85.5446622155754</v>
      </c>
      <c r="G149">
        <f t="shared" si="6"/>
        <v>164.30357005435957</v>
      </c>
      <c r="H149">
        <f t="shared" si="7"/>
        <v>129.50221758645415</v>
      </c>
      <c r="I149">
        <f t="shared" si="8"/>
        <v>237.5614390316982</v>
      </c>
    </row>
    <row r="150" spans="1:9" x14ac:dyDescent="0.25">
      <c r="A150">
        <v>149.246988718274</v>
      </c>
      <c r="B150">
        <v>192.252140106648</v>
      </c>
      <c r="C150">
        <v>164.737520199827</v>
      </c>
      <c r="D150">
        <v>49.694841604343203</v>
      </c>
      <c r="E150">
        <v>59.060407906700199</v>
      </c>
      <c r="F150">
        <v>-86.094657637938695</v>
      </c>
      <c r="G150">
        <f t="shared" si="6"/>
        <v>165.74854314100875</v>
      </c>
      <c r="H150">
        <f t="shared" si="7"/>
        <v>129.60063227041994</v>
      </c>
      <c r="I150">
        <f t="shared" si="8"/>
        <v>236.11982126990404</v>
      </c>
    </row>
    <row r="151" spans="1:9" x14ac:dyDescent="0.25">
      <c r="A151">
        <v>150.70438551532499</v>
      </c>
      <c r="B151">
        <v>193.71431525385299</v>
      </c>
      <c r="C151">
        <v>166.257357138901</v>
      </c>
      <c r="D151">
        <v>49.312573592002103</v>
      </c>
      <c r="E151">
        <v>58.582572891273799</v>
      </c>
      <c r="F151">
        <v>-86.364661910399604</v>
      </c>
      <c r="G151">
        <f t="shared" si="6"/>
        <v>167.20785127812135</v>
      </c>
      <c r="H151">
        <f t="shared" si="7"/>
        <v>129.69316124463532</v>
      </c>
      <c r="I151">
        <f t="shared" si="8"/>
        <v>234.66344953577374</v>
      </c>
    </row>
    <row r="152" spans="1:9" x14ac:dyDescent="0.25">
      <c r="A152">
        <v>151.88463800342799</v>
      </c>
      <c r="B152">
        <v>195.439299659542</v>
      </c>
      <c r="C152">
        <v>167.564799437636</v>
      </c>
      <c r="D152">
        <v>48.548037567319902</v>
      </c>
      <c r="E152">
        <v>58.152521377390102</v>
      </c>
      <c r="F152">
        <v>-86.9146573327629</v>
      </c>
      <c r="G152">
        <f t="shared" si="6"/>
        <v>168.60599653325878</v>
      </c>
      <c r="H152">
        <f t="shared" si="7"/>
        <v>129.76841412961056</v>
      </c>
      <c r="I152">
        <f t="shared" si="8"/>
        <v>233.26733093129695</v>
      </c>
    </row>
    <row r="153" spans="1:9" x14ac:dyDescent="0.25">
      <c r="A153">
        <v>152.84508638443501</v>
      </c>
      <c r="B153">
        <v>196.31851608792701</v>
      </c>
      <c r="C153">
        <v>168.37926443306699</v>
      </c>
      <c r="D153">
        <v>48.309120059606698</v>
      </c>
      <c r="E153">
        <v>58.295871882017998</v>
      </c>
      <c r="F153">
        <v>-87.194656112059803</v>
      </c>
      <c r="G153">
        <f t="shared" si="6"/>
        <v>169.51770574269256</v>
      </c>
      <c r="H153">
        <f t="shared" si="7"/>
        <v>129.81303584659472</v>
      </c>
      <c r="I153">
        <f t="shared" si="8"/>
        <v>232.35671433528097</v>
      </c>
    </row>
    <row r="154" spans="1:9" x14ac:dyDescent="0.25">
      <c r="A154">
        <v>153.55228220726599</v>
      </c>
      <c r="B154">
        <v>197.15472736492299</v>
      </c>
      <c r="C154">
        <v>169.14427428737</v>
      </c>
      <c r="D154">
        <v>47.831285044180298</v>
      </c>
      <c r="E154">
        <v>57.865820368134202</v>
      </c>
      <c r="F154">
        <v>-87.444656112059803</v>
      </c>
      <c r="G154">
        <f t="shared" si="6"/>
        <v>170.27650774718953</v>
      </c>
      <c r="H154">
        <f t="shared" si="7"/>
        <v>129.84686656394612</v>
      </c>
      <c r="I154">
        <f t="shared" si="8"/>
        <v>231.59866686671973</v>
      </c>
    </row>
    <row r="155" spans="1:9" x14ac:dyDescent="0.25">
      <c r="A155">
        <v>154.49361718765601</v>
      </c>
      <c r="B155">
        <v>198.239412849941</v>
      </c>
      <c r="C155">
        <v>170.21511389801199</v>
      </c>
      <c r="D155">
        <v>47.592367536467101</v>
      </c>
      <c r="E155">
        <v>56.957933838824097</v>
      </c>
      <c r="F155">
        <v>-88.004661300048099</v>
      </c>
      <c r="G155">
        <f t="shared" si="6"/>
        <v>171.27518292943077</v>
      </c>
      <c r="H155">
        <f t="shared" si="7"/>
        <v>129.88163862730133</v>
      </c>
      <c r="I155">
        <f t="shared" si="8"/>
        <v>230.60059721823092</v>
      </c>
    </row>
    <row r="156" spans="1:9" x14ac:dyDescent="0.25">
      <c r="A156">
        <v>155.200813010487</v>
      </c>
      <c r="B156">
        <v>199.30020658418701</v>
      </c>
      <c r="C156">
        <v>170.984748098522</v>
      </c>
      <c r="D156">
        <v>47.401233530296601</v>
      </c>
      <c r="E156">
        <v>55.858913303343499</v>
      </c>
      <c r="F156">
        <v>-88.274657943114505</v>
      </c>
      <c r="G156">
        <f t="shared" si="6"/>
        <v>172.12381791682776</v>
      </c>
      <c r="H156">
        <f t="shared" si="7"/>
        <v>129.90718962552771</v>
      </c>
      <c r="I156">
        <f t="shared" si="8"/>
        <v>229.75234696722953</v>
      </c>
    </row>
    <row r="157" spans="1:9" x14ac:dyDescent="0.25">
      <c r="A157">
        <v>156.38106549859</v>
      </c>
      <c r="B157">
        <v>200.34666526797099</v>
      </c>
      <c r="C157">
        <v>171.97801709704001</v>
      </c>
      <c r="D157">
        <v>47.401233530296601</v>
      </c>
      <c r="E157">
        <v>54.616542263234898</v>
      </c>
      <c r="F157">
        <v>-88.504661300048099</v>
      </c>
      <c r="G157">
        <f t="shared" si="6"/>
        <v>173.22379412233937</v>
      </c>
      <c r="H157">
        <f t="shared" si="7"/>
        <v>129.93589418776881</v>
      </c>
      <c r="I157">
        <f t="shared" si="8"/>
        <v>228.65274535719149</v>
      </c>
    </row>
    <row r="158" spans="1:9" x14ac:dyDescent="0.25">
      <c r="A158">
        <v>157.32240047898</v>
      </c>
      <c r="B158">
        <v>201.38356725144601</v>
      </c>
      <c r="C158">
        <v>172.967915652145</v>
      </c>
      <c r="D158">
        <v>47.162316022583397</v>
      </c>
      <c r="E158">
        <v>53.6130887308395</v>
      </c>
      <c r="F158">
        <v>-88.714660384520698</v>
      </c>
      <c r="G158">
        <f t="shared" si="6"/>
        <v>174.20335590396337</v>
      </c>
      <c r="H158">
        <f t="shared" si="7"/>
        <v>129.95786725403983</v>
      </c>
      <c r="I158">
        <f t="shared" si="8"/>
        <v>227.67343005128791</v>
      </c>
    </row>
    <row r="159" spans="1:9" x14ac:dyDescent="0.25">
      <c r="A159">
        <v>157.96747774980599</v>
      </c>
      <c r="B159">
        <v>202.42524758507599</v>
      </c>
      <c r="C159">
        <v>173.69624526943801</v>
      </c>
      <c r="D159">
        <v>46.5411305025291</v>
      </c>
      <c r="E159">
        <v>52.705202201529403</v>
      </c>
      <c r="F159">
        <v>-89.074660994872303</v>
      </c>
      <c r="G159">
        <f t="shared" si="6"/>
        <v>175.00707439991095</v>
      </c>
      <c r="H159">
        <f t="shared" si="7"/>
        <v>129.970846914145</v>
      </c>
      <c r="I159">
        <f t="shared" si="8"/>
        <v>226.86981636975193</v>
      </c>
    </row>
    <row r="160" spans="1:9" x14ac:dyDescent="0.25">
      <c r="A160">
        <v>158.76068387541301</v>
      </c>
      <c r="B160">
        <v>203.19456195991199</v>
      </c>
      <c r="C160">
        <v>174.43087263686701</v>
      </c>
      <c r="D160">
        <v>44.964274951622002</v>
      </c>
      <c r="E160">
        <v>52.179583684560299</v>
      </c>
      <c r="F160">
        <v>-89.224654891356593</v>
      </c>
      <c r="G160">
        <f t="shared" si="6"/>
        <v>175.78594547505537</v>
      </c>
      <c r="H160">
        <f t="shared" si="7"/>
        <v>129.98138652897268</v>
      </c>
      <c r="I160">
        <f t="shared" si="8"/>
        <v>226.09101660844232</v>
      </c>
    </row>
    <row r="161" spans="1:9" x14ac:dyDescent="0.25">
      <c r="A161">
        <v>159.50610649947899</v>
      </c>
      <c r="B161">
        <v>204.37959279816999</v>
      </c>
      <c r="C161">
        <v>175.21329708796</v>
      </c>
      <c r="D161">
        <v>43.0529348899165</v>
      </c>
      <c r="E161">
        <v>50.793862139823901</v>
      </c>
      <c r="F161">
        <v>-89.384658553465997</v>
      </c>
      <c r="G161">
        <f t="shared" si="6"/>
        <v>176.70721138479814</v>
      </c>
      <c r="H161">
        <f t="shared" si="7"/>
        <v>129.99128048983107</v>
      </c>
      <c r="I161">
        <f t="shared" si="8"/>
        <v>225.16980382846546</v>
      </c>
    </row>
    <row r="162" spans="1:9" x14ac:dyDescent="0.25">
      <c r="A162">
        <v>160.122513669379</v>
      </c>
      <c r="B162">
        <v>204.91954636560101</v>
      </c>
      <c r="C162">
        <v>175.70931142688201</v>
      </c>
      <c r="D162">
        <v>39.708089781931903</v>
      </c>
      <c r="E162">
        <v>48.356903561149302</v>
      </c>
      <c r="F162">
        <v>-89.574660994872303</v>
      </c>
      <c r="G162">
        <f t="shared" si="6"/>
        <v>177.27774639321677</v>
      </c>
      <c r="H162">
        <f t="shared" si="7"/>
        <v>129.99551585526348</v>
      </c>
      <c r="I162">
        <f t="shared" si="8"/>
        <v>224.5992845408766</v>
      </c>
    </row>
    <row r="163" spans="1:9" x14ac:dyDescent="0.25">
      <c r="A163">
        <v>160.810596091593</v>
      </c>
      <c r="B163">
        <v>205.71275249120899</v>
      </c>
      <c r="C163">
        <v>176.52227236879801</v>
      </c>
      <c r="D163">
        <v>34.881956126125502</v>
      </c>
      <c r="E163">
        <v>43.291852397629697</v>
      </c>
      <c r="F163">
        <v>-90.114661910399604</v>
      </c>
      <c r="G163">
        <f t="shared" si="6"/>
        <v>178.00787829678836</v>
      </c>
      <c r="H163">
        <f t="shared" si="7"/>
        <v>129.99405469592961</v>
      </c>
      <c r="I163">
        <f t="shared" si="8"/>
        <v>223.86915409936188</v>
      </c>
    </row>
    <row r="164" spans="1:9" x14ac:dyDescent="0.25">
      <c r="A164">
        <v>161.56557541596601</v>
      </c>
      <c r="B164">
        <v>206.548963768205</v>
      </c>
      <c r="C164">
        <v>177.44375462176299</v>
      </c>
      <c r="D164">
        <v>30.0558224703191</v>
      </c>
      <c r="E164">
        <v>36.124327166234103</v>
      </c>
      <c r="F164">
        <v>-90.834655501708198</v>
      </c>
      <c r="G164">
        <f t="shared" si="6"/>
        <v>178.79535040221057</v>
      </c>
      <c r="H164">
        <f t="shared" si="7"/>
        <v>129.9825836122929</v>
      </c>
      <c r="I164">
        <f t="shared" si="8"/>
        <v>223.081765547846</v>
      </c>
    </row>
    <row r="165" spans="1:9" x14ac:dyDescent="0.25">
      <c r="A165">
        <v>162.05774548185499</v>
      </c>
      <c r="B165">
        <v>207.232267840265</v>
      </c>
      <c r="C165">
        <v>177.935924687652</v>
      </c>
      <c r="D165">
        <v>27.332162882388701</v>
      </c>
      <c r="E165">
        <v>30.629224488830701</v>
      </c>
      <c r="F165">
        <v>-90.834655501708198</v>
      </c>
      <c r="G165">
        <f t="shared" si="6"/>
        <v>179.36397407056796</v>
      </c>
      <c r="H165">
        <f t="shared" si="7"/>
        <v>129.97430048757948</v>
      </c>
      <c r="I165">
        <f t="shared" si="8"/>
        <v>222.51320221270981</v>
      </c>
    </row>
    <row r="166" spans="1:9" x14ac:dyDescent="0.25">
      <c r="A166">
        <v>162.75060625422401</v>
      </c>
      <c r="B166">
        <v>208.01591726556401</v>
      </c>
      <c r="C166">
        <v>178.80685366498699</v>
      </c>
      <c r="D166">
        <v>23.3661322543498</v>
      </c>
      <c r="E166">
        <v>25.898657836109599</v>
      </c>
      <c r="F166">
        <v>-91.604659774169093</v>
      </c>
      <c r="G166">
        <f t="shared" si="6"/>
        <v>180.093150304109</v>
      </c>
      <c r="H166">
        <f t="shared" si="7"/>
        <v>129.95388141267179</v>
      </c>
      <c r="I166">
        <f t="shared" si="8"/>
        <v>221.78431193225532</v>
      </c>
    </row>
    <row r="167" spans="1:9" x14ac:dyDescent="0.25">
      <c r="A167">
        <v>163.027750563171</v>
      </c>
      <c r="B167">
        <v>208.22616467235201</v>
      </c>
      <c r="C167">
        <v>178.97778795381601</v>
      </c>
      <c r="D167">
        <v>22.171544715783899</v>
      </c>
      <c r="E167">
        <v>25.134121811427399</v>
      </c>
      <c r="F167">
        <v>-91.774657943114505</v>
      </c>
      <c r="G167">
        <f t="shared" si="6"/>
        <v>180.3301564717606</v>
      </c>
      <c r="H167">
        <f t="shared" si="7"/>
        <v>129.94654164641858</v>
      </c>
      <c r="I167">
        <f t="shared" si="8"/>
        <v>221.54741944327299</v>
      </c>
    </row>
    <row r="168" spans="1:9" x14ac:dyDescent="0.25">
      <c r="A168">
        <v>163.577260830911</v>
      </c>
      <c r="B168">
        <v>208.87124194317801</v>
      </c>
      <c r="C168">
        <v>179.56661133951499</v>
      </c>
      <c r="D168">
        <v>21.359225189559002</v>
      </c>
      <c r="E168">
        <v>24.608503294458401</v>
      </c>
      <c r="F168">
        <v>-91.944656112059803</v>
      </c>
      <c r="G168">
        <f t="shared" si="6"/>
        <v>180.91789354073501</v>
      </c>
      <c r="H168">
        <f t="shared" si="7"/>
        <v>129.92659729683098</v>
      </c>
      <c r="I168">
        <f t="shared" si="8"/>
        <v>220.96002086890789</v>
      </c>
    </row>
    <row r="169" spans="1:9" x14ac:dyDescent="0.25">
      <c r="A169">
        <v>163.90218864140101</v>
      </c>
      <c r="B169">
        <v>209.29173675675301</v>
      </c>
      <c r="C169">
        <v>179.94935318147799</v>
      </c>
      <c r="D169">
        <v>19.6390191340241</v>
      </c>
      <c r="E169">
        <v>23.0316477435513</v>
      </c>
      <c r="F169">
        <v>-92.194656112059803</v>
      </c>
      <c r="G169">
        <f t="shared" si="6"/>
        <v>181.28104815245899</v>
      </c>
      <c r="H169">
        <f t="shared" si="7"/>
        <v>129.91269043288568</v>
      </c>
      <c r="I169">
        <f t="shared" si="8"/>
        <v>220.59713263383873</v>
      </c>
    </row>
    <row r="170" spans="1:9" x14ac:dyDescent="0.25">
      <c r="A170">
        <v>164.46125560945001</v>
      </c>
      <c r="B170">
        <v>210.06105113158901</v>
      </c>
      <c r="C170">
        <v>180.545421976554</v>
      </c>
      <c r="D170">
        <v>17.679895570775901</v>
      </c>
      <c r="E170">
        <v>20.2124211525357</v>
      </c>
      <c r="F170">
        <v>-92.354659774169093</v>
      </c>
      <c r="G170">
        <f t="shared" si="6"/>
        <v>181.92421408322278</v>
      </c>
      <c r="H170">
        <f t="shared" si="7"/>
        <v>129.88626596151286</v>
      </c>
      <c r="I170">
        <f t="shared" si="8"/>
        <v>219.95450975702224</v>
      </c>
    </row>
    <row r="171" spans="1:9" x14ac:dyDescent="0.25">
      <c r="A171">
        <v>164.8530803221</v>
      </c>
      <c r="B171">
        <v>210.43376244362199</v>
      </c>
      <c r="C171">
        <v>180.864945367665</v>
      </c>
      <c r="D171">
        <v>11.993658887202001</v>
      </c>
      <c r="E171">
        <v>14.5261844689618</v>
      </c>
      <c r="F171">
        <v>-92.584655501708198</v>
      </c>
      <c r="G171">
        <f t="shared" si="6"/>
        <v>182.30457075550257</v>
      </c>
      <c r="H171">
        <f t="shared" si="7"/>
        <v>129.86911360614661</v>
      </c>
      <c r="I171">
        <f t="shared" si="8"/>
        <v>219.57454002815803</v>
      </c>
    </row>
    <row r="172" spans="1:9" x14ac:dyDescent="0.25">
      <c r="A172">
        <v>164.95342567533899</v>
      </c>
      <c r="B172">
        <v>210.538886147016</v>
      </c>
      <c r="C172">
        <v>181.027730862927</v>
      </c>
      <c r="D172">
        <v>6.4985562097987302</v>
      </c>
      <c r="E172">
        <v>8.1231952622484105</v>
      </c>
      <c r="F172">
        <v>-92.854659774169093</v>
      </c>
      <c r="G172">
        <f t="shared" si="6"/>
        <v>182.4068274488036</v>
      </c>
      <c r="H172">
        <f t="shared" si="7"/>
        <v>129.8640209567981</v>
      </c>
      <c r="I172">
        <f t="shared" si="8"/>
        <v>219.47241022718165</v>
      </c>
    </row>
    <row r="173" spans="1:9" x14ac:dyDescent="0.25">
      <c r="A173">
        <v>164.97253907595601</v>
      </c>
      <c r="B173">
        <v>210.55799954763299</v>
      </c>
      <c r="C173">
        <v>181.04684426354399</v>
      </c>
      <c r="D173">
        <v>3.6793296187830999</v>
      </c>
      <c r="E173">
        <v>4.9694841604343196</v>
      </c>
      <c r="F173">
        <v>-92.854659774169093</v>
      </c>
      <c r="G173">
        <f t="shared" si="6"/>
        <v>182.42594084942061</v>
      </c>
      <c r="H173">
        <f t="shared" si="7"/>
        <v>129.86306905972361</v>
      </c>
      <c r="I173">
        <f t="shared" si="8"/>
        <v>219.45332054475617</v>
      </c>
    </row>
    <row r="174" spans="1:9" x14ac:dyDescent="0.25">
      <c r="A174">
        <v>165.020322577499</v>
      </c>
      <c r="B174">
        <v>210.60578304917499</v>
      </c>
      <c r="C174">
        <v>181.08769036360499</v>
      </c>
      <c r="D174">
        <v>2.1024740678760598</v>
      </c>
      <c r="E174">
        <v>2.1980410709613301</v>
      </c>
      <c r="F174">
        <v>-92.824660994872303</v>
      </c>
      <c r="G174">
        <f t="shared" si="6"/>
        <v>182.47372435096298</v>
      </c>
      <c r="H174">
        <f t="shared" si="7"/>
        <v>129.86071430468152</v>
      </c>
      <c r="I174">
        <f t="shared" si="8"/>
        <v>219.40559509925441</v>
      </c>
    </row>
    <row r="175" spans="1:9" x14ac:dyDescent="0.25">
      <c r="A175">
        <v>165.025100927653</v>
      </c>
      <c r="B175">
        <v>210.61533974948401</v>
      </c>
      <c r="C175">
        <v>181.08321825700301</v>
      </c>
      <c r="D175">
        <v>1.4335050462791299</v>
      </c>
      <c r="E175">
        <v>1.3857215447364899</v>
      </c>
      <c r="F175">
        <v>-92.784660079344903</v>
      </c>
      <c r="G175">
        <f t="shared" si="6"/>
        <v>182.48041404117902</v>
      </c>
      <c r="H175">
        <f t="shared" si="7"/>
        <v>129.86038930377285</v>
      </c>
      <c r="I175">
        <f t="shared" si="8"/>
        <v>219.39891330835707</v>
      </c>
    </row>
    <row r="176" spans="1:9" x14ac:dyDescent="0.25">
      <c r="A176">
        <v>165.029879277807</v>
      </c>
      <c r="B176">
        <v>210.61533974948401</v>
      </c>
      <c r="C176">
        <v>181.09709482431001</v>
      </c>
      <c r="D176">
        <v>0.90788652931011604</v>
      </c>
      <c r="E176">
        <v>0.90788652931011604</v>
      </c>
      <c r="F176">
        <v>-92.724654891356593</v>
      </c>
      <c r="G176">
        <f t="shared" si="6"/>
        <v>182.4823253812406</v>
      </c>
      <c r="H176">
        <f t="shared" si="7"/>
        <v>129.86029844578096</v>
      </c>
      <c r="I176">
        <f t="shared" si="8"/>
        <v>219.39700412904219</v>
      </c>
    </row>
    <row r="177" spans="1:9" x14ac:dyDescent="0.25">
      <c r="A177">
        <v>165.00598752703601</v>
      </c>
      <c r="B177">
        <v>210.56755624794101</v>
      </c>
      <c r="C177">
        <v>181.07012352721199</v>
      </c>
      <c r="D177">
        <v>0.43005151388373902</v>
      </c>
      <c r="E177">
        <v>0.28670100925582598</v>
      </c>
      <c r="F177">
        <v>-92.634658553465997</v>
      </c>
      <c r="G177">
        <f t="shared" si="6"/>
        <v>182.4440985800064</v>
      </c>
      <c r="H177">
        <f t="shared" si="7"/>
        <v>129.86205562720528</v>
      </c>
      <c r="I177">
        <f t="shared" si="8"/>
        <v>219.43519052250952</v>
      </c>
    </row>
    <row r="178" spans="1:9" x14ac:dyDescent="0.25">
      <c r="A178">
        <v>164.94386897503099</v>
      </c>
      <c r="B178">
        <v>210.500659345781</v>
      </c>
      <c r="C178">
        <v>181.00785097125899</v>
      </c>
      <c r="D178">
        <v>-0.47783501542637702</v>
      </c>
      <c r="E178">
        <v>-0.86010302776747904</v>
      </c>
      <c r="F178">
        <v>-92.614661910399604</v>
      </c>
      <c r="G178">
        <f t="shared" si="6"/>
        <v>182.3791130179084</v>
      </c>
      <c r="H178">
        <f t="shared" si="7"/>
        <v>129.86502017898655</v>
      </c>
      <c r="I178">
        <f t="shared" si="8"/>
        <v>219.5001084300076</v>
      </c>
    </row>
    <row r="179" spans="1:9" x14ac:dyDescent="0.25">
      <c r="A179">
        <v>164.87697207287101</v>
      </c>
      <c r="B179">
        <v>210.424205743313</v>
      </c>
      <c r="C179">
        <v>180.92908607786001</v>
      </c>
      <c r="D179">
        <v>-1.4335050462791299</v>
      </c>
      <c r="E179">
        <v>-1.8635565601628701</v>
      </c>
      <c r="F179">
        <v>-92.624656417235599</v>
      </c>
      <c r="G179">
        <f t="shared" si="6"/>
        <v>182.30648209556358</v>
      </c>
      <c r="H179">
        <f t="shared" si="7"/>
        <v>129.8683461578492</v>
      </c>
      <c r="I179">
        <f t="shared" si="8"/>
        <v>219.5726631593177</v>
      </c>
    </row>
    <row r="180" spans="1:9" x14ac:dyDescent="0.25">
      <c r="A180">
        <v>164.814853520866</v>
      </c>
      <c r="B180">
        <v>210.39075729223299</v>
      </c>
      <c r="C180">
        <v>180.869280581129</v>
      </c>
      <c r="D180">
        <v>-2.1502575694186898</v>
      </c>
      <c r="E180">
        <v>-2.2458245725039698</v>
      </c>
      <c r="F180">
        <v>-92.634658553465997</v>
      </c>
      <c r="G180">
        <f t="shared" si="6"/>
        <v>182.25583158392857</v>
      </c>
      <c r="H180">
        <f t="shared" si="7"/>
        <v>129.87067442323641</v>
      </c>
      <c r="I180">
        <f t="shared" si="8"/>
        <v>219.62326013066161</v>
      </c>
    </row>
    <row r="181" spans="1:9" x14ac:dyDescent="0.25">
      <c r="A181">
        <v>164.75273496886001</v>
      </c>
      <c r="B181">
        <v>210.35253049099899</v>
      </c>
      <c r="C181">
        <v>180.81178637533</v>
      </c>
      <c r="D181">
        <v>-2.7714430894729798</v>
      </c>
      <c r="E181">
        <v>-2.6280925848450698</v>
      </c>
      <c r="F181">
        <v>-92.654655196532403</v>
      </c>
      <c r="G181">
        <f t="shared" si="6"/>
        <v>182.20326973223138</v>
      </c>
      <c r="H181">
        <f t="shared" si="7"/>
        <v>129.87310887262413</v>
      </c>
      <c r="I181">
        <f t="shared" si="8"/>
        <v>219.6757655752366</v>
      </c>
    </row>
    <row r="182" spans="1:9" x14ac:dyDescent="0.25">
      <c r="A182">
        <v>164.69061641685499</v>
      </c>
      <c r="B182">
        <v>210.30952533961101</v>
      </c>
      <c r="C182">
        <v>180.76354439063201</v>
      </c>
      <c r="D182">
        <v>-2.8670100925582598</v>
      </c>
      <c r="E182">
        <v>-2.29360807404661</v>
      </c>
      <c r="F182">
        <v>-92.714660384520698</v>
      </c>
      <c r="G182">
        <f t="shared" si="6"/>
        <v>182.14879654047317</v>
      </c>
      <c r="H182">
        <f t="shared" si="7"/>
        <v>129.87568883395284</v>
      </c>
      <c r="I182">
        <f t="shared" si="8"/>
        <v>219.73017763658211</v>
      </c>
    </row>
    <row r="183" spans="1:9" x14ac:dyDescent="0.25">
      <c r="A183">
        <v>164.66194631592899</v>
      </c>
      <c r="B183">
        <v>210.28085523868501</v>
      </c>
      <c r="C183">
        <v>180.74181169118799</v>
      </c>
      <c r="D183">
        <v>-2.3891750771318798</v>
      </c>
      <c r="E183">
        <v>-1.7679895570775901</v>
      </c>
      <c r="F183">
        <v>-92.744659163817602</v>
      </c>
      <c r="G183">
        <f t="shared" si="6"/>
        <v>182.12012643954716</v>
      </c>
      <c r="H183">
        <f t="shared" si="7"/>
        <v>129.87706170232298</v>
      </c>
      <c r="I183">
        <f t="shared" si="8"/>
        <v>219.758814848729</v>
      </c>
    </row>
    <row r="185" spans="1:9" x14ac:dyDescent="0.25">
      <c r="H185">
        <v>129.65734938721877</v>
      </c>
      <c r="I185">
        <v>209.45028083862027</v>
      </c>
    </row>
    <row r="292" spans="7:7" x14ac:dyDescent="0.25">
      <c r="G292">
        <v>276.81221361157691</v>
      </c>
    </row>
    <row r="293" spans="7:7" x14ac:dyDescent="0.25">
      <c r="G293">
        <f>(G290-G292)/G292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Original</vt:lpstr>
      <vt:lpstr>Center</vt:lpstr>
      <vt:lpstr>Left</vt:lpstr>
      <vt:lpstr>Right</vt:lpstr>
      <vt:lpstr>Logfile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2019-04-10T04:52:15Z</dcterms:created>
  <dcterms:modified xsi:type="dcterms:W3CDTF">2019-09-08T06:52:35Z</dcterms:modified>
</cp:coreProperties>
</file>